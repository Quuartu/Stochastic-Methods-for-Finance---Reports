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equartucci/Desktop/"/>
    </mc:Choice>
  </mc:AlternateContent>
  <xr:revisionPtr revIDLastSave="0" documentId="13_ncr:1_{655A0FA2-0D9C-984D-A7E8-CD6631BEC094}" xr6:coauthVersionLast="47" xr6:coauthVersionMax="47" xr10:uidLastSave="{00000000-0000-0000-0000-000000000000}"/>
  <bookViews>
    <workbookView xWindow="0" yWindow="660" windowWidth="30240" windowHeight="17760" xr2:uid="{1C5AF5C5-98E7-9647-BCDE-3D32251B3AC4}"/>
  </bookViews>
  <sheets>
    <sheet name="Report" sheetId="1" r:id="rId1"/>
    <sheet name="3month" sheetId="6" r:id="rId2"/>
    <sheet name="6month" sheetId="5" r:id="rId3"/>
  </sheets>
  <definedNames>
    <definedName name="_xlchart.v1.0" hidden="1">'6month'!$H$2:$H$126</definedName>
    <definedName name="_xlchart.v1.1" hidden="1">'6month'!$H$2:$H$126</definedName>
    <definedName name="ExternalData_1" localSheetId="1" hidden="1">'3month'!$A$1:$G$63</definedName>
    <definedName name="ExternalData_1" localSheetId="2" hidden="1">'6month'!$A$1:$G$127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E6" i="1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F11" i="1"/>
  <c r="F5" i="1"/>
  <c r="E11" i="1"/>
  <c r="E12" i="1" s="1"/>
  <c r="E5" i="1"/>
  <c r="E7" i="1" l="1"/>
  <c r="E9" i="1" s="1"/>
  <c r="F12" i="1"/>
  <c r="E8" i="1" l="1"/>
  <c r="E15" i="1" s="1"/>
  <c r="E16" i="1"/>
  <c r="E13" i="1" l="1"/>
  <c r="E14" i="1" s="1"/>
  <c r="E17" i="1" s="1"/>
  <c r="E19" i="1" l="1"/>
  <c r="E18" i="1"/>
  <c r="F7" i="1"/>
  <c r="F8" i="1" l="1"/>
  <c r="F15" i="1" s="1"/>
  <c r="F9" i="1"/>
  <c r="F16" i="1" l="1"/>
  <c r="F13" i="1"/>
  <c r="F14" i="1" s="1"/>
  <c r="F17" i="1" l="1"/>
  <c r="F18" i="1" s="1"/>
  <c r="F19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FE4753-DABF-DD4E-9537-D964A920C14B}" keepAlive="1" name="Query - MP Cronologia Dati" description="Connection to the 'MP Cronologia Dati' query in the workbook." type="5" refreshedVersion="8" background="1" saveData="1">
    <dbPr connection="Provider=Microsoft.Mashup.OleDb.1;Data Source=$Workbook$;Location=&quot;MP Cronologia Dati&quot;;Extended Properties=&quot;&quot;" command="SELECT * FROM [MP Cronologia Dati]"/>
  </connection>
  <connection id="2" xr16:uid="{D5A145F5-2FDA-E44D-BAF7-EF034757D910}" keepAlive="1" name="Query - MP Cronologia Dati (2)" description="Connection to the 'MP Cronologia Dati (2)' query in the workbook." type="5" refreshedVersion="8" background="1" saveData="1">
    <dbPr connection="Provider=Microsoft.Mashup.OleDb.1;Data Source=$Workbook$;Location=&quot;MP Cronologia Dati (2)&quot;;Extended Properties=&quot;&quot;" command="SELECT * FROM [MP Cronologia Dati (2)]"/>
  </connection>
  <connection id="3" xr16:uid="{A84F75D8-2AB5-5049-B310-E332D6F4D9A9}" keepAlive="1" name="Query - MP Cronologia Dati (3)" description="Connection to the 'MP Cronologia Dati (3)' query in the workbook." type="5" refreshedVersion="8" background="1" saveData="1">
    <dbPr connection="Provider=Microsoft.Mashup.OleDb.1;Data Source=$Workbook$;Location=&quot;MP Cronologia Dati (3)&quot;;Extended Properties=&quot;&quot;" command="SELECT * FROM [MP Cronologia Dati (3)]"/>
  </connection>
  <connection id="4" xr16:uid="{D7FA433C-12AB-FE46-B9C7-6C1359EB39B1}" keepAlive="1" name="Query - MP Cronologia Dati-2" description="Connection to the 'MP Cronologia Dati-2' query in the workbook." type="5" refreshedVersion="8" background="1" saveData="1">
    <dbPr connection="Provider=Microsoft.Mashup.OleDb.1;Data Source=$Workbook$;Location=&quot;MP Cronologia Dati-2&quot;;Extended Properties=&quot;&quot;" command="SELECT * FROM [MP Cronologia Dati-2]"/>
  </connection>
  <connection id="5" xr16:uid="{5E75F71D-6514-624C-96AF-8CB8C62372CC}" keepAlive="1" name="Query - MP Cronologia Dati-2 (2)" description="Connection to the 'MP Cronologia Dati-2 (2)' query in the workbook." type="5" refreshedVersion="8" background="1" saveData="1">
    <dbPr connection="Provider=Microsoft.Mashup.OleDb.1;Data Source=$Workbook$;Location=&quot;MP Cronologia Dati-2 (2)&quot;;Extended Properties=&quot;&quot;" command="SELECT * FROM [MP Cronologia Dati-2 (2)]"/>
  </connection>
</connections>
</file>

<file path=xl/sharedStrings.xml><?xml version="1.0" encoding="utf-8"?>
<sst xmlns="http://schemas.openxmlformats.org/spreadsheetml/2006/main" count="423" uniqueCount="290">
  <si>
    <t>S0</t>
  </si>
  <si>
    <t>K</t>
  </si>
  <si>
    <t>Bid</t>
  </si>
  <si>
    <t>Ask</t>
  </si>
  <si>
    <t>Data</t>
  </si>
  <si>
    <t>Apertura</t>
  </si>
  <si>
    <t>Mid/Price</t>
  </si>
  <si>
    <t>Return</t>
  </si>
  <si>
    <t>SigmaY</t>
  </si>
  <si>
    <t>SigmaD</t>
  </si>
  <si>
    <t>u</t>
  </si>
  <si>
    <t>d</t>
  </si>
  <si>
    <t>Rate(SOFR)</t>
  </si>
  <si>
    <t>Capitalisation Factor</t>
  </si>
  <si>
    <t>Discount Factor</t>
  </si>
  <si>
    <t>q</t>
  </si>
  <si>
    <t>1-q</t>
  </si>
  <si>
    <t>fu</t>
  </si>
  <si>
    <t>fd</t>
  </si>
  <si>
    <t>P0</t>
  </si>
  <si>
    <t>3 month analysis</t>
  </si>
  <si>
    <t>6 month analysis</t>
  </si>
  <si>
    <t>Ultimo</t>
  </si>
  <si>
    <t>Massimo</t>
  </si>
  <si>
    <t>Minimo</t>
  </si>
  <si>
    <t>Vol.</t>
  </si>
  <si>
    <t>Var. %</t>
  </si>
  <si>
    <t>13.03.2026</t>
  </si>
  <si>
    <t>5,47M</t>
  </si>
  <si>
    <t>12.03.2026</t>
  </si>
  <si>
    <t>4,13M</t>
  </si>
  <si>
    <t>11.03.2026</t>
  </si>
  <si>
    <t>3,63M</t>
  </si>
  <si>
    <t>10.03.2026</t>
  </si>
  <si>
    <t>5,49M</t>
  </si>
  <si>
    <t>09.03.2026</t>
  </si>
  <si>
    <t>4,70M</t>
  </si>
  <si>
    <t>06.03.2026</t>
  </si>
  <si>
    <t>5,59M</t>
  </si>
  <si>
    <t>05.03.2026</t>
  </si>
  <si>
    <t>5,98M</t>
  </si>
  <si>
    <t>04.03.2026</t>
  </si>
  <si>
    <t>4,45M</t>
  </si>
  <si>
    <t>03.03.2026</t>
  </si>
  <si>
    <t>6,70M</t>
  </si>
  <si>
    <t>02.03.2026</t>
  </si>
  <si>
    <t>10,22M</t>
  </si>
  <si>
    <t>27.02.2026</t>
  </si>
  <si>
    <t>6,85M</t>
  </si>
  <si>
    <t>26.02.2026</t>
  </si>
  <si>
    <t>6,67M</t>
  </si>
  <si>
    <t>25.02.2026</t>
  </si>
  <si>
    <t>3,98M</t>
  </si>
  <si>
    <t>24.02.2026</t>
  </si>
  <si>
    <t>4,82M</t>
  </si>
  <si>
    <t>23.02.2026</t>
  </si>
  <si>
    <t>3,84M</t>
  </si>
  <si>
    <t>20.02.2026</t>
  </si>
  <si>
    <t>5,73M</t>
  </si>
  <si>
    <t>19.02.2026</t>
  </si>
  <si>
    <t>3,14M</t>
  </si>
  <si>
    <t>18.02.2026</t>
  </si>
  <si>
    <t>3,07M</t>
  </si>
  <si>
    <t>17.02.2026</t>
  </si>
  <si>
    <t>5,16M</t>
  </si>
  <si>
    <t>13.02.2026</t>
  </si>
  <si>
    <t>4,56M</t>
  </si>
  <si>
    <t>12.02.2026</t>
  </si>
  <si>
    <t>6,65M</t>
  </si>
  <si>
    <t>11.02.2026</t>
  </si>
  <si>
    <t>4,15M</t>
  </si>
  <si>
    <t>10.02.2026</t>
  </si>
  <si>
    <t>4,10M</t>
  </si>
  <si>
    <t>09.02.2026</t>
  </si>
  <si>
    <t>5,22M</t>
  </si>
  <si>
    <t>06.02.2026</t>
  </si>
  <si>
    <t>6,95M</t>
  </si>
  <si>
    <t>05.02.2026</t>
  </si>
  <si>
    <t>7,76M</t>
  </si>
  <si>
    <t>04.02.2026</t>
  </si>
  <si>
    <t>11,10M</t>
  </si>
  <si>
    <t>03.02.2026</t>
  </si>
  <si>
    <t>11,93M</t>
  </si>
  <si>
    <t>02.02.2026</t>
  </si>
  <si>
    <t>10,04M</t>
  </si>
  <si>
    <t>30.01.2026</t>
  </si>
  <si>
    <t>10,41M</t>
  </si>
  <si>
    <t>29.01.2026</t>
  </si>
  <si>
    <t>17,26M</t>
  </si>
  <si>
    <t>28.01.2026</t>
  </si>
  <si>
    <t>9,25M</t>
  </si>
  <si>
    <t>27.01.2026</t>
  </si>
  <si>
    <t>9,53M</t>
  </si>
  <si>
    <t>26.01.2026</t>
  </si>
  <si>
    <t>18,36M</t>
  </si>
  <si>
    <t>23.01.2026</t>
  </si>
  <si>
    <t>8,08M</t>
  </si>
  <si>
    <t>22.01.2026</t>
  </si>
  <si>
    <t>10,52M</t>
  </si>
  <si>
    <t>21.01.2026</t>
  </si>
  <si>
    <t>14,36M</t>
  </si>
  <si>
    <t>20.01.2026</t>
  </si>
  <si>
    <t>11,66M</t>
  </si>
  <si>
    <t>16.01.2026</t>
  </si>
  <si>
    <t>6,76M</t>
  </si>
  <si>
    <t>15.01.2026</t>
  </si>
  <si>
    <t>10,53M</t>
  </si>
  <si>
    <t>14.01.2026</t>
  </si>
  <si>
    <t>12,39M</t>
  </si>
  <si>
    <t>13.01.2026</t>
  </si>
  <si>
    <t>9,95M</t>
  </si>
  <si>
    <t>12.01.2026</t>
  </si>
  <si>
    <t>12,15M</t>
  </si>
  <si>
    <t>09.01.2026</t>
  </si>
  <si>
    <t>9,17M</t>
  </si>
  <si>
    <t>08.01.2026</t>
  </si>
  <si>
    <t>9,31M</t>
  </si>
  <si>
    <t>07.01.2026</t>
  </si>
  <si>
    <t>12,89M</t>
  </si>
  <si>
    <t>06.01.2026</t>
  </si>
  <si>
    <t>9,96M</t>
  </si>
  <si>
    <t>05.01.2026</t>
  </si>
  <si>
    <t>6,98M</t>
  </si>
  <si>
    <t>02.01.2026</t>
  </si>
  <si>
    <t>6,46M</t>
  </si>
  <si>
    <t>31.12.2025</t>
  </si>
  <si>
    <t>6,91M</t>
  </si>
  <si>
    <t>30.12.2025</t>
  </si>
  <si>
    <t>6,21M</t>
  </si>
  <si>
    <t>29.12.2025</t>
  </si>
  <si>
    <t>4,72M</t>
  </si>
  <si>
    <t>26.12.2025</t>
  </si>
  <si>
    <t>3,94M</t>
  </si>
  <si>
    <t>24.12.2025</t>
  </si>
  <si>
    <t>2,36M</t>
  </si>
  <si>
    <t>23.12.2025</t>
  </si>
  <si>
    <t>4,41M</t>
  </si>
  <si>
    <t>22.12.2025</t>
  </si>
  <si>
    <t>7,09M</t>
  </si>
  <si>
    <t>19.12.2025</t>
  </si>
  <si>
    <t>9,05M</t>
  </si>
  <si>
    <t>18.12.2025</t>
  </si>
  <si>
    <t>6,14M</t>
  </si>
  <si>
    <t>17.12.2025</t>
  </si>
  <si>
    <t>5,09M</t>
  </si>
  <si>
    <t>16.12.2025</t>
  </si>
  <si>
    <t>5,17M</t>
  </si>
  <si>
    <t>15.12.2025</t>
  </si>
  <si>
    <t>6,60M</t>
  </si>
  <si>
    <t>12.12.2025</t>
  </si>
  <si>
    <t>7,22M</t>
  </si>
  <si>
    <t>11.12.2025</t>
  </si>
  <si>
    <t>4,96M</t>
  </si>
  <si>
    <t>10.12.2025</t>
  </si>
  <si>
    <t>6,51M</t>
  </si>
  <si>
    <t>09.12.2025</t>
  </si>
  <si>
    <t>4,53M</t>
  </si>
  <si>
    <t>08.12.2025</t>
  </si>
  <si>
    <t>5,79M</t>
  </si>
  <si>
    <t>05.12.2025</t>
  </si>
  <si>
    <t>04.12.2025</t>
  </si>
  <si>
    <t>7,92M</t>
  </si>
  <si>
    <t>03.12.2025</t>
  </si>
  <si>
    <t>6,48M</t>
  </si>
  <si>
    <t>02.12.2025</t>
  </si>
  <si>
    <t>6,35M</t>
  </si>
  <si>
    <t>01.12.2025</t>
  </si>
  <si>
    <t>5,74M</t>
  </si>
  <si>
    <t>28.11.2025</t>
  </si>
  <si>
    <t>3,18M</t>
  </si>
  <si>
    <t>26.11.2025</t>
  </si>
  <si>
    <t>5,89M</t>
  </si>
  <si>
    <t>25.11.2025</t>
  </si>
  <si>
    <t>6,62M</t>
  </si>
  <si>
    <t>24.11.2025</t>
  </si>
  <si>
    <t>9,29M</t>
  </si>
  <si>
    <t>21.11.2025</t>
  </si>
  <si>
    <t>11,07M</t>
  </si>
  <si>
    <t>20.11.2025</t>
  </si>
  <si>
    <t>16,55M</t>
  </si>
  <si>
    <t>19.11.2025</t>
  </si>
  <si>
    <t>20,51M</t>
  </si>
  <si>
    <t>18.11.2025</t>
  </si>
  <si>
    <t>12,08M</t>
  </si>
  <si>
    <t>17.11.2025</t>
  </si>
  <si>
    <t>5,93M</t>
  </si>
  <si>
    <t>14.11.2025</t>
  </si>
  <si>
    <t>10,33M</t>
  </si>
  <si>
    <t>13.11.2025</t>
  </si>
  <si>
    <t>10,76M</t>
  </si>
  <si>
    <t>12.11.2025</t>
  </si>
  <si>
    <t>8,84M</t>
  </si>
  <si>
    <t>11.11.2025</t>
  </si>
  <si>
    <t>9,47M</t>
  </si>
  <si>
    <t>10.11.2025</t>
  </si>
  <si>
    <t>18,82M</t>
  </si>
  <si>
    <t>07.11.2025</t>
  </si>
  <si>
    <t>23,40M</t>
  </si>
  <si>
    <t>06.11.2025</t>
  </si>
  <si>
    <t>15,18M</t>
  </si>
  <si>
    <t>05.11.2025</t>
  </si>
  <si>
    <t>8,65M</t>
  </si>
  <si>
    <t>04.11.2025</t>
  </si>
  <si>
    <t>13,68M</t>
  </si>
  <si>
    <t>03.11.2025</t>
  </si>
  <si>
    <t>14,16M</t>
  </si>
  <si>
    <t>31.10.2025</t>
  </si>
  <si>
    <t>13,88M</t>
  </si>
  <si>
    <t>30.10.2025</t>
  </si>
  <si>
    <t>14,30M</t>
  </si>
  <si>
    <t>29.10.2025</t>
  </si>
  <si>
    <t>9,12M</t>
  </si>
  <si>
    <t>28.10.2025</t>
  </si>
  <si>
    <t>10,85M</t>
  </si>
  <si>
    <t>27.10.2025</t>
  </si>
  <si>
    <t>24,75M</t>
  </si>
  <si>
    <t>24.10.2025</t>
  </si>
  <si>
    <t>11,40M</t>
  </si>
  <si>
    <t>23.10.2025</t>
  </si>
  <si>
    <t>10,97M</t>
  </si>
  <si>
    <t>22.10.2025</t>
  </si>
  <si>
    <t>21,85M</t>
  </si>
  <si>
    <t>21.10.2025</t>
  </si>
  <si>
    <t>17,62M</t>
  </si>
  <si>
    <t>20.10.2025</t>
  </si>
  <si>
    <t>14,96M</t>
  </si>
  <si>
    <t>17.10.2025</t>
  </si>
  <si>
    <t>14,93M</t>
  </si>
  <si>
    <t>16.10.2025</t>
  </si>
  <si>
    <t>18,65M</t>
  </si>
  <si>
    <t>15.10.2025</t>
  </si>
  <si>
    <t>29,99M</t>
  </si>
  <si>
    <t>14.10.2025</t>
  </si>
  <si>
    <t>40,36M</t>
  </si>
  <si>
    <t>13.10.2025</t>
  </si>
  <si>
    <t>50,24M</t>
  </si>
  <si>
    <t>10.10.2025</t>
  </si>
  <si>
    <t>52,33M</t>
  </si>
  <si>
    <t>09.10.2025</t>
  </si>
  <si>
    <t>24,84M</t>
  </si>
  <si>
    <t>08.10.2025</t>
  </si>
  <si>
    <t>11,49M</t>
  </si>
  <si>
    <t>07.10.2025</t>
  </si>
  <si>
    <t>15,26M</t>
  </si>
  <si>
    <t>06.10.2025</t>
  </si>
  <si>
    <t>10,86M</t>
  </si>
  <si>
    <t>03.10.2025</t>
  </si>
  <si>
    <t>14,68M</t>
  </si>
  <si>
    <t>02.10.2025</t>
  </si>
  <si>
    <t>13,41M</t>
  </si>
  <si>
    <t>01.10.2025</t>
  </si>
  <si>
    <t>8,05M</t>
  </si>
  <si>
    <t>30.09.2025</t>
  </si>
  <si>
    <t>7,99M</t>
  </si>
  <si>
    <t>29.09.2025</t>
  </si>
  <si>
    <t>12,54M</t>
  </si>
  <si>
    <t>26.09.2025</t>
  </si>
  <si>
    <t>19,00M</t>
  </si>
  <si>
    <t>25.09.2025</t>
  </si>
  <si>
    <t>26,00M</t>
  </si>
  <si>
    <t>24.09.2025</t>
  </si>
  <si>
    <t>13,36M</t>
  </si>
  <si>
    <t>23.09.2025</t>
  </si>
  <si>
    <t>14,19M</t>
  </si>
  <si>
    <t>22.09.2025</t>
  </si>
  <si>
    <t>10,58M</t>
  </si>
  <si>
    <t>19.09.2025</t>
  </si>
  <si>
    <t>37,40M</t>
  </si>
  <si>
    <t>18.09.2025</t>
  </si>
  <si>
    <t>14,05M</t>
  </si>
  <si>
    <t>17.09.2025</t>
  </si>
  <si>
    <t>11,29M</t>
  </si>
  <si>
    <t>16.09.2025</t>
  </si>
  <si>
    <t>11,28M</t>
  </si>
  <si>
    <t>15.09.2025</t>
  </si>
  <si>
    <t>10,80M</t>
  </si>
  <si>
    <t>12.09.2025</t>
  </si>
  <si>
    <t>5,97M</t>
  </si>
  <si>
    <t>18/06/2026</t>
  </si>
  <si>
    <t>18/09/26</t>
  </si>
  <si>
    <t>Expiration</t>
  </si>
  <si>
    <t>Model Spread ($)</t>
  </si>
  <si>
    <t>Model Spread (%)</t>
  </si>
  <si>
    <t xml:space="preserve">MP Materials (MP) </t>
  </si>
  <si>
    <t>https://it.finance.yahoo.com/quote/MP/</t>
  </si>
  <si>
    <t>USD</t>
  </si>
  <si>
    <t>link</t>
  </si>
  <si>
    <t>Currency</t>
  </si>
  <si>
    <t>14/03/26</t>
  </si>
  <si>
    <t>Report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</si>
</sst>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dd/mm/yy;@"/>
    <numFmt numFmtId="175" formatCode="0.0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2"/>
      <color rgb="FF00206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0" fillId="0" borderId="0" xfId="0" applyNumberFormat="1"/>
    <xf numFmtId="0" fontId="0" fillId="0" borderId="0" xfId="0" applyAlignment="1"/>
    <xf numFmtId="169" fontId="0" fillId="0" borderId="4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Border="1"/>
    <xf numFmtId="2" fontId="0" fillId="0" borderId="4" xfId="0" applyNumberFormat="1" applyBorder="1"/>
    <xf numFmtId="2" fontId="3" fillId="0" borderId="4" xfId="0" applyNumberFormat="1" applyFont="1" applyFill="1" applyBorder="1"/>
    <xf numFmtId="2" fontId="3" fillId="0" borderId="6" xfId="0" applyNumberFormat="1" applyFont="1" applyFill="1" applyBorder="1"/>
    <xf numFmtId="0" fontId="0" fillId="5" borderId="3" xfId="0" applyFill="1" applyBorder="1"/>
    <xf numFmtId="2" fontId="3" fillId="0" borderId="4" xfId="0" applyNumberFormat="1" applyFont="1" applyBorder="1"/>
    <xf numFmtId="10" fontId="0" fillId="0" borderId="4" xfId="0" applyNumberFormat="1" applyBorder="1"/>
    <xf numFmtId="175" fontId="0" fillId="0" borderId="4" xfId="0" applyNumberFormat="1" applyBorder="1"/>
    <xf numFmtId="10" fontId="3" fillId="0" borderId="4" xfId="0" applyNumberFormat="1" applyFont="1" applyBorder="1"/>
    <xf numFmtId="0" fontId="0" fillId="5" borderId="5" xfId="0" applyFill="1" applyBorder="1"/>
    <xf numFmtId="0" fontId="0" fillId="5" borderId="7" xfId="0" applyFill="1" applyBorder="1"/>
    <xf numFmtId="10" fontId="0" fillId="0" borderId="6" xfId="0" applyNumberFormat="1" applyBorder="1"/>
    <xf numFmtId="0" fontId="0" fillId="0" borderId="0" xfId="0" applyFill="1" applyBorder="1"/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left"/>
    </xf>
    <xf numFmtId="2" fontId="3" fillId="0" borderId="4" xfId="0" applyNumberFormat="1" applyFont="1" applyBorder="1" applyAlignment="1">
      <alignment horizontal="left"/>
    </xf>
    <xf numFmtId="10" fontId="0" fillId="0" borderId="4" xfId="0" applyNumberFormat="1" applyBorder="1" applyAlignment="1">
      <alignment horizontal="left"/>
    </xf>
    <xf numFmtId="175" fontId="0" fillId="0" borderId="4" xfId="0" applyNumberFormat="1" applyBorder="1" applyAlignment="1">
      <alignment horizontal="left"/>
    </xf>
    <xf numFmtId="10" fontId="3" fillId="0" borderId="4" xfId="0" applyNumberFormat="1" applyFont="1" applyBorder="1" applyAlignment="1">
      <alignment horizontal="left"/>
    </xf>
    <xf numFmtId="2" fontId="0" fillId="0" borderId="4" xfId="0" applyNumberFormat="1" applyBorder="1" applyAlignment="1">
      <alignment horizontal="left"/>
    </xf>
    <xf numFmtId="10" fontId="0" fillId="0" borderId="6" xfId="1" applyNumberFormat="1" applyFont="1" applyBorder="1" applyAlignment="1">
      <alignment horizontal="left"/>
    </xf>
    <xf numFmtId="169" fontId="0" fillId="0" borderId="8" xfId="0" applyNumberFormat="1" applyBorder="1" applyAlignment="1">
      <alignment horizontal="right"/>
    </xf>
    <xf numFmtId="0" fontId="0" fillId="5" borderId="9" xfId="0" applyFill="1" applyBorder="1"/>
    <xf numFmtId="2" fontId="0" fillId="0" borderId="10" xfId="0" applyNumberFormat="1" applyFill="1" applyBorder="1" applyAlignment="1">
      <alignment horizontal="left"/>
    </xf>
    <xf numFmtId="2" fontId="0" fillId="0" borderId="11" xfId="0" applyNumberFormat="1" applyBorder="1"/>
    <xf numFmtId="2" fontId="0" fillId="0" borderId="10" xfId="0" applyNumberFormat="1" applyFill="1" applyBorder="1"/>
    <xf numFmtId="0" fontId="0" fillId="4" borderId="4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98DD7EE-ECC4-E84A-B94E-71A666AC448F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Data" tableColumnId="1"/>
      <queryTableField id="2" name="Ultimo" tableColumnId="2"/>
      <queryTableField id="3" name="Apertura" tableColumnId="3"/>
      <queryTableField id="4" name="Massimo" tableColumnId="4"/>
      <queryTableField id="5" name="Minimo" tableColumnId="5"/>
      <queryTableField id="6" name="Vol." tableColumnId="6"/>
      <queryTableField id="7" name="Var. %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D53803B-F579-AD4F-A83C-86D29FC8D8F9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Data" tableColumnId="1"/>
      <queryTableField id="2" name="Ultimo" tableColumnId="2"/>
      <queryTableField id="3" name="Apertura" tableColumnId="3"/>
      <queryTableField id="4" name="Massimo" tableColumnId="4"/>
      <queryTableField id="5" name="Minimo" tableColumnId="5"/>
      <queryTableField id="6" name="Vol." tableColumnId="6"/>
      <queryTableField id="7" name="Var. %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CB9849-38F8-D74E-8ABD-2EB1920EF42C}" name="MP_Cronologia_Dati_2__2" displayName="MP_Cronologia_Dati_2__2" ref="A1:H63" tableType="queryTable" totalsRowShown="0">
  <autoFilter ref="A1:H63" xr:uid="{EFCB9849-38F8-D74E-8ABD-2EB1920EF42C}"/>
  <tableColumns count="8">
    <tableColumn id="1" xr3:uid="{67077C67-BD99-7942-844F-EB8D71073BCA}" uniqueName="1" name="Data" queryTableFieldId="1" dataDxfId="3"/>
    <tableColumn id="2" xr3:uid="{924377BF-BE9A-214E-A47F-9230105E7AE2}" uniqueName="2" name="Ultimo" queryTableFieldId="2"/>
    <tableColumn id="3" xr3:uid="{43878561-A6CC-9944-BBC8-B0E53CB3986C}" uniqueName="3" name="Apertura" queryTableFieldId="3"/>
    <tableColumn id="4" xr3:uid="{9A946C46-71EC-7944-91DE-4ECDA9DAA75B}" uniqueName="4" name="Massimo" queryTableFieldId="4"/>
    <tableColumn id="5" xr3:uid="{FACDA076-7457-1C4D-ABAC-7A9A5D49C061}" uniqueName="5" name="Minimo" queryTableFieldId="5"/>
    <tableColumn id="6" xr3:uid="{849D0D49-B826-D447-AB00-85D2CAD83A36}" uniqueName="6" name="Vol." queryTableFieldId="6" dataDxfId="2"/>
    <tableColumn id="7" xr3:uid="{48E0F8FB-DAFD-304A-9A0D-5E34583283D2}" uniqueName="7" name="Var. %" queryTableFieldId="7"/>
    <tableColumn id="8" xr3:uid="{79E30738-97CB-4F4D-8979-ACA0139C5423}" uniqueName="8" name="Return" queryTableFieldId="8" dataDxfId="1">
      <calculatedColumnFormula>(B2-B3)/B3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CC96EF-969F-F547-9DB9-848EE11D9394}" name="MP_Cronologia_Dati__3" displayName="MP_Cronologia_Dati__3" ref="A1:H127" tableType="queryTable" totalsRowShown="0">
  <autoFilter ref="A1:H127" xr:uid="{70CC96EF-969F-F547-9DB9-848EE11D9394}"/>
  <tableColumns count="8">
    <tableColumn id="1" xr3:uid="{9C24469F-E9D2-C84D-BF92-7475BA61B221}" uniqueName="1" name="Data" queryTableFieldId="1" dataDxfId="5"/>
    <tableColumn id="2" xr3:uid="{6BF9ECE6-2E69-4443-A5E6-A90A3CAF53E2}" uniqueName="2" name="Ultimo" queryTableFieldId="2"/>
    <tableColumn id="3" xr3:uid="{AE87D4AD-4D65-AB44-B396-D22D7B8BFDB2}" uniqueName="3" name="Apertura" queryTableFieldId="3"/>
    <tableColumn id="4" xr3:uid="{B2B3E9E7-663B-E24E-981F-AACA5DF88462}" uniqueName="4" name="Massimo" queryTableFieldId="4"/>
    <tableColumn id="5" xr3:uid="{FC18BCE7-0615-6443-8202-9A476EAD7DC7}" uniqueName="5" name="Minimo" queryTableFieldId="5"/>
    <tableColumn id="6" xr3:uid="{7945CE5D-B1F2-8A47-86D6-A91EC9F01B8D}" uniqueName="6" name="Vol." queryTableFieldId="6" dataDxfId="4"/>
    <tableColumn id="7" xr3:uid="{59A26A4C-F1A3-E548-9292-E6A64051E4F0}" uniqueName="7" name="Var. %" queryTableFieldId="7"/>
    <tableColumn id="8" xr3:uid="{AD846E51-4A54-5442-A7BD-E150CDE722EE}" uniqueName="8" name="Return" queryTableFieldId="8" dataDxfId="0">
      <calculatedColumnFormula>(B2-B3)/B3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D4D4C-E61F-434B-93AD-59B3C420CF7A}">
  <dimension ref="A1:J66"/>
  <sheetViews>
    <sheetView tabSelected="1" zoomScale="170" zoomScaleNormal="170" workbookViewId="0">
      <selection activeCell="B17" sqref="B17"/>
    </sheetView>
  </sheetViews>
  <sheetFormatPr baseColWidth="10" defaultRowHeight="16" x14ac:dyDescent="0.2"/>
  <cols>
    <col min="1" max="1" width="12.33203125" bestFit="1" customWidth="1"/>
    <col min="2" max="2" width="33" customWidth="1"/>
    <col min="3" max="3" width="8.83203125" customWidth="1"/>
    <col min="4" max="4" width="18.5" bestFit="1" customWidth="1"/>
    <col min="5" max="5" width="19.6640625" customWidth="1"/>
    <col min="6" max="6" width="18.6640625" customWidth="1"/>
    <col min="7" max="7" width="14.5" bestFit="1" customWidth="1"/>
    <col min="8" max="8" width="18.5" bestFit="1" customWidth="1"/>
    <col min="9" max="9" width="12.1640625" bestFit="1" customWidth="1"/>
  </cols>
  <sheetData>
    <row r="1" spans="1:10" x14ac:dyDescent="0.2">
      <c r="A1" s="6" t="s">
        <v>283</v>
      </c>
      <c r="B1" s="7"/>
      <c r="D1" s="8"/>
      <c r="E1" s="34" t="s">
        <v>20</v>
      </c>
      <c r="F1" s="21" t="s">
        <v>21</v>
      </c>
      <c r="J1" s="3"/>
    </row>
    <row r="2" spans="1:10" x14ac:dyDescent="0.2">
      <c r="A2" s="12" t="s">
        <v>286</v>
      </c>
      <c r="B2" s="5" t="s">
        <v>284</v>
      </c>
      <c r="D2" s="12" t="s">
        <v>280</v>
      </c>
      <c r="E2" s="4" t="s">
        <v>278</v>
      </c>
      <c r="F2" s="22" t="s">
        <v>279</v>
      </c>
      <c r="H2" s="20"/>
    </row>
    <row r="3" spans="1:10" x14ac:dyDescent="0.2">
      <c r="A3" s="12" t="s">
        <v>287</v>
      </c>
      <c r="B3" s="5" t="s">
        <v>285</v>
      </c>
      <c r="D3" s="12" t="s">
        <v>2</v>
      </c>
      <c r="E3" s="13">
        <v>9.4499999999999993</v>
      </c>
      <c r="F3" s="23">
        <v>12.25</v>
      </c>
      <c r="H3" s="20"/>
    </row>
    <row r="4" spans="1:10" ht="17" thickBot="1" x14ac:dyDescent="0.25">
      <c r="A4" s="12" t="s">
        <v>0</v>
      </c>
      <c r="B4" s="10">
        <v>57.21</v>
      </c>
      <c r="D4" s="12" t="s">
        <v>3</v>
      </c>
      <c r="E4" s="13">
        <v>9.6</v>
      </c>
      <c r="F4" s="23">
        <v>13.25</v>
      </c>
      <c r="H4" s="20"/>
      <c r="J4" s="3"/>
    </row>
    <row r="5" spans="1:10" ht="17" thickBot="1" x14ac:dyDescent="0.25">
      <c r="A5" s="17" t="s">
        <v>1</v>
      </c>
      <c r="B5" s="11">
        <v>55</v>
      </c>
      <c r="D5" s="30" t="s">
        <v>6</v>
      </c>
      <c r="E5" s="33">
        <f>(E3+E4)/2</f>
        <v>9.5249999999999986</v>
      </c>
      <c r="F5" s="31">
        <f>(F3+F4)/2</f>
        <v>12.75</v>
      </c>
      <c r="H5" s="20"/>
    </row>
    <row r="6" spans="1:10" x14ac:dyDescent="0.2">
      <c r="D6" s="12" t="s">
        <v>9</v>
      </c>
      <c r="E6" s="14">
        <f>_xlfn.STDEV.S('3month'!H2:H62)</f>
        <v>4.3509116376459336E-2</v>
      </c>
      <c r="F6" s="24">
        <f>_xlfn.STDEV.S('6month'!H2:H126)</f>
        <v>5.1421292122757978E-2</v>
      </c>
      <c r="H6" s="20"/>
    </row>
    <row r="7" spans="1:10" x14ac:dyDescent="0.2">
      <c r="A7" s="18" t="s">
        <v>289</v>
      </c>
      <c r="B7" s="29" t="s">
        <v>288</v>
      </c>
      <c r="D7" s="12" t="s">
        <v>8</v>
      </c>
      <c r="E7" s="14">
        <f>E6*SQRT(252)</f>
        <v>0.69068581017767483</v>
      </c>
      <c r="F7" s="24">
        <f>F6*SQRT(252)</f>
        <v>0.81628770630253333</v>
      </c>
      <c r="H7" s="20"/>
    </row>
    <row r="8" spans="1:10" x14ac:dyDescent="0.2">
      <c r="D8" s="12" t="s">
        <v>10</v>
      </c>
      <c r="E8" s="15">
        <f>EXP(E7*SQRT(3/12))</f>
        <v>1.4124741812196304</v>
      </c>
      <c r="F8" s="25">
        <f>EXP(F7*SQRT(0.5))</f>
        <v>1.7810490996734236</v>
      </c>
      <c r="H8" s="20"/>
    </row>
    <row r="9" spans="1:10" x14ac:dyDescent="0.2">
      <c r="D9" s="12" t="s">
        <v>11</v>
      </c>
      <c r="E9" s="15">
        <f>EXP(-E7*SQRT(3/12))</f>
        <v>0.70797754273747437</v>
      </c>
      <c r="F9" s="25">
        <f>EXP(-F7*SQRT(0.5))</f>
        <v>0.56146683445355994</v>
      </c>
      <c r="H9" s="20"/>
    </row>
    <row r="10" spans="1:10" x14ac:dyDescent="0.2">
      <c r="D10" s="12" t="s">
        <v>12</v>
      </c>
      <c r="E10" s="16">
        <v>3.6832799999999999E-2</v>
      </c>
      <c r="F10" s="26">
        <v>3.6640300000000001E-2</v>
      </c>
      <c r="H10" s="20"/>
    </row>
    <row r="11" spans="1:10" x14ac:dyDescent="0.2">
      <c r="D11" s="12" t="s">
        <v>13</v>
      </c>
      <c r="E11" s="15">
        <f>1+(E10*0.25)</f>
        <v>1.0092082</v>
      </c>
      <c r="F11" s="25">
        <f>1+(F10*0.5)</f>
        <v>1.0183201500000001</v>
      </c>
      <c r="H11" s="20"/>
    </row>
    <row r="12" spans="1:10" x14ac:dyDescent="0.2">
      <c r="D12" s="12" t="s">
        <v>14</v>
      </c>
      <c r="E12" s="15">
        <f>1/E11</f>
        <v>0.99087581729914598</v>
      </c>
      <c r="F12" s="25">
        <f>1/F11</f>
        <v>0.9820094397621415</v>
      </c>
      <c r="H12" s="20"/>
    </row>
    <row r="13" spans="1:10" x14ac:dyDescent="0.2">
      <c r="D13" s="12" t="s">
        <v>15</v>
      </c>
      <c r="E13" s="14">
        <f>(E11-E9)/(E8-E9)</f>
        <v>0.42758281701887124</v>
      </c>
      <c r="F13" s="24">
        <f>(F11-F9)/(F8-F9)</f>
        <v>0.3745981952796596</v>
      </c>
      <c r="H13" s="20"/>
    </row>
    <row r="14" spans="1:10" x14ac:dyDescent="0.2">
      <c r="D14" s="12" t="s">
        <v>16</v>
      </c>
      <c r="E14" s="14">
        <f>1-E13</f>
        <v>0.57241718298112876</v>
      </c>
      <c r="F14" s="24">
        <f>1-F13</f>
        <v>0.62540180472034046</v>
      </c>
      <c r="H14" s="20"/>
    </row>
    <row r="15" spans="1:10" x14ac:dyDescent="0.2">
      <c r="D15" s="12" t="s">
        <v>17</v>
      </c>
      <c r="E15" s="9">
        <f>MAX((B4*E8)-B5,0)</f>
        <v>25.80764790757506</v>
      </c>
      <c r="F15" s="27">
        <f>MAX((B4*F8)-B5,0)</f>
        <v>46.893818992316568</v>
      </c>
      <c r="H15" s="20"/>
    </row>
    <row r="16" spans="1:10" ht="17" thickBot="1" x14ac:dyDescent="0.25">
      <c r="D16" s="12" t="s">
        <v>18</v>
      </c>
      <c r="E16" s="9">
        <f>MAX((B4*E9)-B5,0)</f>
        <v>0</v>
      </c>
      <c r="F16" s="27">
        <f>MAX((F11*F9)-F12,0)</f>
        <v>0</v>
      </c>
      <c r="H16" s="20"/>
    </row>
    <row r="17" spans="4:8" ht="17" thickBot="1" x14ac:dyDescent="0.25">
      <c r="D17" s="30" t="s">
        <v>19</v>
      </c>
      <c r="E17" s="33">
        <f>E12*((E13*E15)+(E14*E16))</f>
        <v>10.934222287286332</v>
      </c>
      <c r="F17" s="31">
        <f>F12*((F13*F15)+(F14*F16))</f>
        <v>17.2503116670065</v>
      </c>
      <c r="H17" s="20"/>
    </row>
    <row r="18" spans="4:8" x14ac:dyDescent="0.2">
      <c r="D18" s="12" t="s">
        <v>281</v>
      </c>
      <c r="E18" s="32">
        <f>E17-E5</f>
        <v>1.4092222872863331</v>
      </c>
      <c r="F18" s="27">
        <f>F17-F5</f>
        <v>4.5003116670064998</v>
      </c>
      <c r="H18" s="20"/>
    </row>
    <row r="19" spans="4:8" x14ac:dyDescent="0.2">
      <c r="D19" s="17" t="s">
        <v>282</v>
      </c>
      <c r="E19" s="19">
        <f>(E17-E5)/E5</f>
        <v>0.14794984643426071</v>
      </c>
      <c r="F19" s="28">
        <f>(F17-F5)/F5</f>
        <v>0.35296562094168626</v>
      </c>
      <c r="H19" s="20"/>
    </row>
    <row r="20" spans="4:8" x14ac:dyDescent="0.2">
      <c r="H20" s="20"/>
    </row>
    <row r="25" spans="4:8" x14ac:dyDescent="0.2">
      <c r="D25" s="1"/>
    </row>
    <row r="26" spans="4:8" x14ac:dyDescent="0.2">
      <c r="D26" s="1"/>
    </row>
    <row r="27" spans="4:8" x14ac:dyDescent="0.2">
      <c r="D27" s="1"/>
    </row>
    <row r="28" spans="4:8" x14ac:dyDescent="0.2">
      <c r="D28" s="1"/>
    </row>
    <row r="29" spans="4:8" x14ac:dyDescent="0.2">
      <c r="D29" s="1"/>
    </row>
    <row r="30" spans="4:8" x14ac:dyDescent="0.2">
      <c r="D30" s="1"/>
    </row>
    <row r="31" spans="4:8" x14ac:dyDescent="0.2">
      <c r="D31" s="1"/>
    </row>
    <row r="32" spans="4:8" x14ac:dyDescent="0.2">
      <c r="D32" s="1"/>
    </row>
    <row r="33" spans="4:4" x14ac:dyDescent="0.2">
      <c r="D33" s="1"/>
    </row>
    <row r="34" spans="4:4" x14ac:dyDescent="0.2">
      <c r="D34" s="1"/>
    </row>
    <row r="35" spans="4:4" x14ac:dyDescent="0.2">
      <c r="D35" s="1"/>
    </row>
    <row r="36" spans="4:4" x14ac:dyDescent="0.2">
      <c r="D36" s="1"/>
    </row>
    <row r="37" spans="4:4" x14ac:dyDescent="0.2">
      <c r="D37" s="1"/>
    </row>
    <row r="38" spans="4:4" x14ac:dyDescent="0.2">
      <c r="D38" s="1"/>
    </row>
    <row r="39" spans="4:4" x14ac:dyDescent="0.2">
      <c r="D39" s="1"/>
    </row>
    <row r="40" spans="4:4" x14ac:dyDescent="0.2">
      <c r="D40" s="1"/>
    </row>
    <row r="41" spans="4:4" x14ac:dyDescent="0.2">
      <c r="D41" s="1"/>
    </row>
    <row r="42" spans="4:4" x14ac:dyDescent="0.2">
      <c r="D42" s="1"/>
    </row>
    <row r="43" spans="4:4" x14ac:dyDescent="0.2">
      <c r="D43" s="1"/>
    </row>
    <row r="44" spans="4:4" x14ac:dyDescent="0.2">
      <c r="D44" s="1"/>
    </row>
    <row r="45" spans="4:4" x14ac:dyDescent="0.2">
      <c r="D45" s="1"/>
    </row>
    <row r="46" spans="4:4" x14ac:dyDescent="0.2">
      <c r="D46" s="1"/>
    </row>
    <row r="47" spans="4:4" x14ac:dyDescent="0.2">
      <c r="D47" s="1"/>
    </row>
    <row r="48" spans="4:4" x14ac:dyDescent="0.2">
      <c r="D48" s="1"/>
    </row>
    <row r="49" spans="4:4" x14ac:dyDescent="0.2">
      <c r="D49" s="1"/>
    </row>
    <row r="50" spans="4:4" x14ac:dyDescent="0.2">
      <c r="D50" s="1"/>
    </row>
    <row r="51" spans="4:4" x14ac:dyDescent="0.2">
      <c r="D51" s="1"/>
    </row>
    <row r="52" spans="4:4" x14ac:dyDescent="0.2">
      <c r="D52" s="1"/>
    </row>
    <row r="53" spans="4:4" x14ac:dyDescent="0.2">
      <c r="D53" s="1"/>
    </row>
    <row r="54" spans="4:4" x14ac:dyDescent="0.2">
      <c r="D54" s="1"/>
    </row>
    <row r="55" spans="4:4" x14ac:dyDescent="0.2">
      <c r="D55" s="1"/>
    </row>
    <row r="56" spans="4:4" x14ac:dyDescent="0.2">
      <c r="D56" s="1"/>
    </row>
    <row r="57" spans="4:4" x14ac:dyDescent="0.2">
      <c r="D57" s="1"/>
    </row>
    <row r="58" spans="4:4" x14ac:dyDescent="0.2">
      <c r="D58" s="1"/>
    </row>
    <row r="59" spans="4:4" x14ac:dyDescent="0.2">
      <c r="D59" s="1"/>
    </row>
    <row r="60" spans="4:4" x14ac:dyDescent="0.2">
      <c r="D60" s="1"/>
    </row>
    <row r="61" spans="4:4" x14ac:dyDescent="0.2">
      <c r="D61" s="1"/>
    </row>
    <row r="62" spans="4:4" x14ac:dyDescent="0.2">
      <c r="D62" s="1"/>
    </row>
    <row r="63" spans="4:4" x14ac:dyDescent="0.2">
      <c r="D63" s="1"/>
    </row>
    <row r="64" spans="4:4" x14ac:dyDescent="0.2">
      <c r="D64" s="1"/>
    </row>
    <row r="65" spans="4:4" x14ac:dyDescent="0.2">
      <c r="D65" s="1"/>
    </row>
    <row r="66" spans="4:4" x14ac:dyDescent="0.2">
      <c r="D66" s="1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38DDE-2CFA-AE49-9B1E-E6037CB1BF6B}">
  <dimension ref="A1:H63"/>
  <sheetViews>
    <sheetView workbookViewId="0">
      <selection activeCell="E20" sqref="E20"/>
    </sheetView>
  </sheetViews>
  <sheetFormatPr baseColWidth="10" defaultRowHeight="16" x14ac:dyDescent="0.2"/>
  <cols>
    <col min="1" max="1" width="10.1640625" bestFit="1" customWidth="1"/>
    <col min="2" max="2" width="9.1640625" bestFit="1" customWidth="1"/>
    <col min="4" max="4" width="11.33203125" bestFit="1" customWidth="1"/>
    <col min="5" max="5" width="9.83203125" bestFit="1" customWidth="1"/>
    <col min="6" max="6" width="7.1640625" bestFit="1" customWidth="1"/>
    <col min="7" max="7" width="8.83203125" bestFit="1" customWidth="1"/>
  </cols>
  <sheetData>
    <row r="1" spans="1:8" x14ac:dyDescent="0.2">
      <c r="A1" t="s">
        <v>4</v>
      </c>
      <c r="B1" t="s">
        <v>22</v>
      </c>
      <c r="C1" t="s">
        <v>5</v>
      </c>
      <c r="D1" t="s">
        <v>23</v>
      </c>
      <c r="E1" t="s">
        <v>24</v>
      </c>
      <c r="F1" t="s">
        <v>25</v>
      </c>
      <c r="G1" t="s">
        <v>26</v>
      </c>
      <c r="H1" t="s">
        <v>7</v>
      </c>
    </row>
    <row r="2" spans="1:8" x14ac:dyDescent="0.2">
      <c r="A2" s="2" t="s">
        <v>27</v>
      </c>
      <c r="B2">
        <v>5721</v>
      </c>
      <c r="C2">
        <v>6022</v>
      </c>
      <c r="D2">
        <v>6109</v>
      </c>
      <c r="E2">
        <v>5663</v>
      </c>
      <c r="F2" s="2" t="s">
        <v>28</v>
      </c>
      <c r="G2">
        <v>-4.7</v>
      </c>
      <c r="H2">
        <f>(B2-B3)/B3</f>
        <v>-4.6976511744127938E-2</v>
      </c>
    </row>
    <row r="3" spans="1:8" x14ac:dyDescent="0.2">
      <c r="A3" s="2" t="s">
        <v>29</v>
      </c>
      <c r="B3">
        <v>6003</v>
      </c>
      <c r="C3">
        <v>6161</v>
      </c>
      <c r="D3">
        <v>6279</v>
      </c>
      <c r="E3">
        <v>5909</v>
      </c>
      <c r="F3" s="2" t="s">
        <v>30</v>
      </c>
      <c r="G3">
        <v>-3.57</v>
      </c>
      <c r="H3">
        <f t="shared" ref="H2:H33" si="0">(B3-B4)/B4</f>
        <v>-3.566265060240964E-2</v>
      </c>
    </row>
    <row r="4" spans="1:8" x14ac:dyDescent="0.2">
      <c r="A4" s="2" t="s">
        <v>31</v>
      </c>
      <c r="B4">
        <v>6225</v>
      </c>
      <c r="C4">
        <v>6066</v>
      </c>
      <c r="D4">
        <v>6302</v>
      </c>
      <c r="E4">
        <v>6038</v>
      </c>
      <c r="F4" s="2" t="s">
        <v>32</v>
      </c>
      <c r="G4">
        <v>1.0900000000000001</v>
      </c>
      <c r="H4">
        <f t="shared" si="0"/>
        <v>1.0880155894771029E-2</v>
      </c>
    </row>
    <row r="5" spans="1:8" x14ac:dyDescent="0.2">
      <c r="A5" s="2" t="s">
        <v>33</v>
      </c>
      <c r="B5">
        <v>6158</v>
      </c>
      <c r="C5">
        <v>6072</v>
      </c>
      <c r="D5">
        <v>6307</v>
      </c>
      <c r="E5">
        <v>5946</v>
      </c>
      <c r="F5" s="2" t="s">
        <v>34</v>
      </c>
      <c r="G5">
        <v>2.12</v>
      </c>
      <c r="H5">
        <f t="shared" si="0"/>
        <v>2.1227197346600332E-2</v>
      </c>
    </row>
    <row r="6" spans="1:8" x14ac:dyDescent="0.2">
      <c r="A6" s="2" t="s">
        <v>35</v>
      </c>
      <c r="B6">
        <v>6030</v>
      </c>
      <c r="C6">
        <v>5704</v>
      </c>
      <c r="D6">
        <v>6050</v>
      </c>
      <c r="E6">
        <v>5652</v>
      </c>
      <c r="F6" s="2" t="s">
        <v>36</v>
      </c>
      <c r="G6">
        <v>3.55</v>
      </c>
      <c r="H6">
        <f t="shared" si="0"/>
        <v>3.5548686244204021E-2</v>
      </c>
    </row>
    <row r="7" spans="1:8" x14ac:dyDescent="0.2">
      <c r="A7" s="2" t="s">
        <v>37</v>
      </c>
      <c r="B7">
        <v>5823</v>
      </c>
      <c r="C7">
        <v>5703</v>
      </c>
      <c r="D7">
        <v>6064</v>
      </c>
      <c r="E7">
        <v>5634</v>
      </c>
      <c r="F7" s="2" t="s">
        <v>38</v>
      </c>
      <c r="G7">
        <v>-0.43</v>
      </c>
      <c r="H7">
        <f t="shared" si="0"/>
        <v>-4.2749658002735978E-3</v>
      </c>
    </row>
    <row r="8" spans="1:8" x14ac:dyDescent="0.2">
      <c r="A8" s="2" t="s">
        <v>39</v>
      </c>
      <c r="B8">
        <v>5848</v>
      </c>
      <c r="C8">
        <v>6093</v>
      </c>
      <c r="D8">
        <v>6269</v>
      </c>
      <c r="E8">
        <v>5774</v>
      </c>
      <c r="F8" s="2" t="s">
        <v>40</v>
      </c>
      <c r="G8">
        <v>-5.08</v>
      </c>
      <c r="H8">
        <f t="shared" si="0"/>
        <v>-5.080344099983769E-2</v>
      </c>
    </row>
    <row r="9" spans="1:8" x14ac:dyDescent="0.2">
      <c r="A9" s="2" t="s">
        <v>41</v>
      </c>
      <c r="B9">
        <v>6161</v>
      </c>
      <c r="C9">
        <v>6200</v>
      </c>
      <c r="D9">
        <v>6294</v>
      </c>
      <c r="E9">
        <v>6021</v>
      </c>
      <c r="F9" s="2" t="s">
        <v>42</v>
      </c>
      <c r="G9">
        <v>0.34</v>
      </c>
      <c r="H9">
        <f t="shared" si="0"/>
        <v>3.4201954397394137E-3</v>
      </c>
    </row>
    <row r="10" spans="1:8" x14ac:dyDescent="0.2">
      <c r="A10" s="2" t="s">
        <v>43</v>
      </c>
      <c r="B10">
        <v>6140</v>
      </c>
      <c r="C10">
        <v>6162</v>
      </c>
      <c r="D10">
        <v>6339</v>
      </c>
      <c r="E10">
        <v>5924</v>
      </c>
      <c r="F10" s="2" t="s">
        <v>44</v>
      </c>
      <c r="G10">
        <v>-3.66</v>
      </c>
      <c r="H10">
        <f t="shared" si="0"/>
        <v>-3.6560489565353835E-2</v>
      </c>
    </row>
    <row r="11" spans="1:8" x14ac:dyDescent="0.2">
      <c r="A11" s="2" t="s">
        <v>45</v>
      </c>
      <c r="B11">
        <v>6373</v>
      </c>
      <c r="C11">
        <v>5743</v>
      </c>
      <c r="D11">
        <v>6390</v>
      </c>
      <c r="E11">
        <v>5719</v>
      </c>
      <c r="F11" s="2" t="s">
        <v>46</v>
      </c>
      <c r="G11">
        <v>8.26</v>
      </c>
      <c r="H11">
        <f t="shared" si="0"/>
        <v>8.2554781722439269E-2</v>
      </c>
    </row>
    <row r="12" spans="1:8" x14ac:dyDescent="0.2">
      <c r="A12" s="2" t="s">
        <v>47</v>
      </c>
      <c r="B12">
        <v>5887</v>
      </c>
      <c r="C12">
        <v>5884</v>
      </c>
      <c r="D12">
        <v>6068</v>
      </c>
      <c r="E12">
        <v>5701</v>
      </c>
      <c r="F12" s="2" t="s">
        <v>48</v>
      </c>
      <c r="G12">
        <v>-1.88</v>
      </c>
      <c r="H12">
        <f t="shared" si="0"/>
        <v>-1.8833333333333334E-2</v>
      </c>
    </row>
    <row r="13" spans="1:8" x14ac:dyDescent="0.2">
      <c r="A13" s="2" t="s">
        <v>49</v>
      </c>
      <c r="B13">
        <v>6000</v>
      </c>
      <c r="C13">
        <v>5957</v>
      </c>
      <c r="D13">
        <v>6029</v>
      </c>
      <c r="E13">
        <v>5801</v>
      </c>
      <c r="F13" s="2" t="s">
        <v>50</v>
      </c>
      <c r="G13">
        <v>2.2799999999999998</v>
      </c>
      <c r="H13">
        <f t="shared" si="0"/>
        <v>2.2843504943743608E-2</v>
      </c>
    </row>
    <row r="14" spans="1:8" x14ac:dyDescent="0.2">
      <c r="A14" s="2" t="s">
        <v>51</v>
      </c>
      <c r="B14">
        <v>5866</v>
      </c>
      <c r="C14">
        <v>5979</v>
      </c>
      <c r="D14">
        <v>6016</v>
      </c>
      <c r="E14">
        <v>5865</v>
      </c>
      <c r="F14" s="2" t="s">
        <v>52</v>
      </c>
      <c r="G14">
        <v>0.38</v>
      </c>
      <c r="H14">
        <f t="shared" si="0"/>
        <v>3.7645448323066393E-3</v>
      </c>
    </row>
    <row r="15" spans="1:8" x14ac:dyDescent="0.2">
      <c r="A15" s="2" t="s">
        <v>53</v>
      </c>
      <c r="B15">
        <v>5844</v>
      </c>
      <c r="C15">
        <v>5511</v>
      </c>
      <c r="D15">
        <v>5873</v>
      </c>
      <c r="E15">
        <v>5421</v>
      </c>
      <c r="F15" s="2" t="s">
        <v>54</v>
      </c>
      <c r="G15">
        <v>4.92</v>
      </c>
      <c r="H15">
        <f t="shared" si="0"/>
        <v>4.919210053859964E-2</v>
      </c>
    </row>
    <row r="16" spans="1:8" x14ac:dyDescent="0.2">
      <c r="A16" s="2" t="s">
        <v>55</v>
      </c>
      <c r="B16">
        <v>5570</v>
      </c>
      <c r="C16">
        <v>5419</v>
      </c>
      <c r="D16">
        <v>5598</v>
      </c>
      <c r="E16">
        <v>5389</v>
      </c>
      <c r="F16" s="2" t="s">
        <v>56</v>
      </c>
      <c r="G16">
        <v>0.65</v>
      </c>
      <c r="H16">
        <f t="shared" si="0"/>
        <v>6.5052403324900613E-3</v>
      </c>
    </row>
    <row r="17" spans="1:8" x14ac:dyDescent="0.2">
      <c r="A17" s="2" t="s">
        <v>57</v>
      </c>
      <c r="B17">
        <v>5534</v>
      </c>
      <c r="C17">
        <v>5770</v>
      </c>
      <c r="D17">
        <v>5894</v>
      </c>
      <c r="E17">
        <v>5504</v>
      </c>
      <c r="F17" s="2" t="s">
        <v>58</v>
      </c>
      <c r="G17">
        <v>-5.5</v>
      </c>
      <c r="H17">
        <f t="shared" si="0"/>
        <v>-5.4986338797814206E-2</v>
      </c>
    </row>
    <row r="18" spans="1:8" x14ac:dyDescent="0.2">
      <c r="A18" s="2" t="s">
        <v>59</v>
      </c>
      <c r="B18">
        <v>5856</v>
      </c>
      <c r="C18">
        <v>5767</v>
      </c>
      <c r="D18">
        <v>5900</v>
      </c>
      <c r="E18">
        <v>5610</v>
      </c>
      <c r="F18" s="2" t="s">
        <v>60</v>
      </c>
      <c r="G18">
        <v>1.07</v>
      </c>
      <c r="H18">
        <f t="shared" si="0"/>
        <v>1.0700724887814981E-2</v>
      </c>
    </row>
    <row r="19" spans="1:8" x14ac:dyDescent="0.2">
      <c r="A19" s="2" t="s">
        <v>61</v>
      </c>
      <c r="B19">
        <v>5794</v>
      </c>
      <c r="C19">
        <v>5740</v>
      </c>
      <c r="D19">
        <v>5859</v>
      </c>
      <c r="E19">
        <v>5660</v>
      </c>
      <c r="F19" s="2" t="s">
        <v>62</v>
      </c>
      <c r="G19">
        <v>1.74</v>
      </c>
      <c r="H19">
        <f t="shared" si="0"/>
        <v>1.7383669885864792E-2</v>
      </c>
    </row>
    <row r="20" spans="1:8" x14ac:dyDescent="0.2">
      <c r="A20" s="2" t="s">
        <v>63</v>
      </c>
      <c r="B20">
        <v>5695</v>
      </c>
      <c r="C20">
        <v>5670</v>
      </c>
      <c r="D20">
        <v>5747</v>
      </c>
      <c r="E20">
        <v>5459</v>
      </c>
      <c r="F20" s="2" t="s">
        <v>64</v>
      </c>
      <c r="G20">
        <v>-1.86</v>
      </c>
      <c r="H20">
        <f t="shared" si="0"/>
        <v>-1.8611063243150094E-2</v>
      </c>
    </row>
    <row r="21" spans="1:8" x14ac:dyDescent="0.2">
      <c r="A21" s="2" t="s">
        <v>65</v>
      </c>
      <c r="B21">
        <v>5803</v>
      </c>
      <c r="C21">
        <v>5755</v>
      </c>
      <c r="D21">
        <v>5851</v>
      </c>
      <c r="E21">
        <v>5528</v>
      </c>
      <c r="F21" s="2" t="s">
        <v>66</v>
      </c>
      <c r="G21">
        <v>1.27</v>
      </c>
      <c r="H21">
        <f t="shared" si="0"/>
        <v>1.2739965095986039E-2</v>
      </c>
    </row>
    <row r="22" spans="1:8" x14ac:dyDescent="0.2">
      <c r="A22" s="2" t="s">
        <v>67</v>
      </c>
      <c r="B22">
        <v>5730</v>
      </c>
      <c r="C22">
        <v>5933</v>
      </c>
      <c r="D22">
        <v>6000</v>
      </c>
      <c r="E22">
        <v>5658</v>
      </c>
      <c r="F22" s="2" t="s">
        <v>68</v>
      </c>
      <c r="G22">
        <v>-5.41</v>
      </c>
      <c r="H22">
        <f t="shared" si="0"/>
        <v>-5.4143281611092768E-2</v>
      </c>
    </row>
    <row r="23" spans="1:8" x14ac:dyDescent="0.2">
      <c r="A23" s="2" t="s">
        <v>69</v>
      </c>
      <c r="B23">
        <v>6058</v>
      </c>
      <c r="C23">
        <v>6275</v>
      </c>
      <c r="D23">
        <v>6370</v>
      </c>
      <c r="E23">
        <v>5881</v>
      </c>
      <c r="F23" s="2" t="s">
        <v>70</v>
      </c>
      <c r="G23">
        <v>-2.82</v>
      </c>
      <c r="H23">
        <f t="shared" si="0"/>
        <v>-2.8232274623034969E-2</v>
      </c>
    </row>
    <row r="24" spans="1:8" x14ac:dyDescent="0.2">
      <c r="A24" s="2" t="s">
        <v>71</v>
      </c>
      <c r="B24">
        <v>6234</v>
      </c>
      <c r="C24">
        <v>6227</v>
      </c>
      <c r="D24">
        <v>6390</v>
      </c>
      <c r="E24">
        <v>6160</v>
      </c>
      <c r="F24" s="2" t="s">
        <v>72</v>
      </c>
      <c r="G24">
        <v>-0.73</v>
      </c>
      <c r="H24">
        <f t="shared" si="0"/>
        <v>-7.3248407643312103E-3</v>
      </c>
    </row>
    <row r="25" spans="1:8" x14ac:dyDescent="0.2">
      <c r="A25" s="2" t="s">
        <v>73</v>
      </c>
      <c r="B25">
        <v>6280</v>
      </c>
      <c r="C25">
        <v>6135</v>
      </c>
      <c r="D25">
        <v>6330</v>
      </c>
      <c r="E25">
        <v>5982</v>
      </c>
      <c r="F25" s="2" t="s">
        <v>74</v>
      </c>
      <c r="G25">
        <v>2.5099999999999998</v>
      </c>
      <c r="H25">
        <f t="shared" si="0"/>
        <v>2.5138752856676459E-2</v>
      </c>
    </row>
    <row r="26" spans="1:8" x14ac:dyDescent="0.2">
      <c r="A26" s="2" t="s">
        <v>75</v>
      </c>
      <c r="B26">
        <v>6126</v>
      </c>
      <c r="C26">
        <v>5901</v>
      </c>
      <c r="D26">
        <v>6151</v>
      </c>
      <c r="E26">
        <v>5831</v>
      </c>
      <c r="F26" s="2" t="s">
        <v>76</v>
      </c>
      <c r="G26">
        <v>8.33</v>
      </c>
      <c r="H26">
        <f t="shared" si="0"/>
        <v>8.3289124668435008E-2</v>
      </c>
    </row>
    <row r="27" spans="1:8" x14ac:dyDescent="0.2">
      <c r="A27" s="2" t="s">
        <v>77</v>
      </c>
      <c r="B27">
        <v>5655</v>
      </c>
      <c r="C27">
        <v>5829</v>
      </c>
      <c r="D27">
        <v>5961</v>
      </c>
      <c r="E27">
        <v>5605</v>
      </c>
      <c r="F27" s="2" t="s">
        <v>78</v>
      </c>
      <c r="G27">
        <v>-6.61</v>
      </c>
      <c r="H27">
        <f t="shared" si="0"/>
        <v>-6.6061106523534266E-2</v>
      </c>
    </row>
    <row r="28" spans="1:8" x14ac:dyDescent="0.2">
      <c r="A28" s="2" t="s">
        <v>79</v>
      </c>
      <c r="B28">
        <v>6055</v>
      </c>
      <c r="C28">
        <v>6525</v>
      </c>
      <c r="D28">
        <v>6525</v>
      </c>
      <c r="E28">
        <v>5724</v>
      </c>
      <c r="F28" s="2" t="s">
        <v>80</v>
      </c>
      <c r="G28">
        <v>-6.28</v>
      </c>
      <c r="H28">
        <f t="shared" si="0"/>
        <v>-6.2838569880823397E-2</v>
      </c>
    </row>
    <row r="29" spans="1:8" x14ac:dyDescent="0.2">
      <c r="A29" s="2" t="s">
        <v>81</v>
      </c>
      <c r="B29">
        <v>6461</v>
      </c>
      <c r="C29">
        <v>6179</v>
      </c>
      <c r="D29">
        <v>6495</v>
      </c>
      <c r="E29">
        <v>6060</v>
      </c>
      <c r="F29" s="2" t="s">
        <v>82</v>
      </c>
      <c r="G29">
        <v>9.3000000000000007</v>
      </c>
      <c r="H29">
        <f t="shared" si="0"/>
        <v>9.3046861783116219E-2</v>
      </c>
    </row>
    <row r="30" spans="1:8" x14ac:dyDescent="0.2">
      <c r="A30" s="2" t="s">
        <v>83</v>
      </c>
      <c r="B30">
        <v>5911</v>
      </c>
      <c r="C30">
        <v>6019</v>
      </c>
      <c r="D30">
        <v>6288</v>
      </c>
      <c r="E30">
        <v>5892</v>
      </c>
      <c r="F30" s="2" t="s">
        <v>84</v>
      </c>
      <c r="G30">
        <v>0.57999999999999996</v>
      </c>
      <c r="H30">
        <f t="shared" si="0"/>
        <v>5.7852645907776074E-3</v>
      </c>
    </row>
    <row r="31" spans="1:8" x14ac:dyDescent="0.2">
      <c r="A31" s="2" t="s">
        <v>85</v>
      </c>
      <c r="B31">
        <v>5877</v>
      </c>
      <c r="C31">
        <v>6105</v>
      </c>
      <c r="D31">
        <v>6364</v>
      </c>
      <c r="E31">
        <v>5750</v>
      </c>
      <c r="F31" s="2" t="s">
        <v>86</v>
      </c>
      <c r="G31">
        <v>-5.45</v>
      </c>
      <c r="H31">
        <f t="shared" si="0"/>
        <v>-5.4536679536679539E-2</v>
      </c>
    </row>
    <row r="32" spans="1:8" x14ac:dyDescent="0.2">
      <c r="A32" s="2" t="s">
        <v>87</v>
      </c>
      <c r="B32">
        <v>6216</v>
      </c>
      <c r="C32">
        <v>6485</v>
      </c>
      <c r="D32">
        <v>6520</v>
      </c>
      <c r="E32">
        <v>5828</v>
      </c>
      <c r="F32" s="2" t="s">
        <v>88</v>
      </c>
      <c r="G32">
        <v>-7.24</v>
      </c>
      <c r="H32">
        <f t="shared" si="0"/>
        <v>-7.2377257125802119E-2</v>
      </c>
    </row>
    <row r="33" spans="1:8" x14ac:dyDescent="0.2">
      <c r="A33" s="2" t="s">
        <v>89</v>
      </c>
      <c r="B33">
        <v>6701</v>
      </c>
      <c r="C33">
        <v>6753</v>
      </c>
      <c r="D33">
        <v>6797</v>
      </c>
      <c r="E33">
        <v>6512</v>
      </c>
      <c r="F33" s="2" t="s">
        <v>90</v>
      </c>
      <c r="G33">
        <v>0.42</v>
      </c>
      <c r="H33">
        <f t="shared" si="0"/>
        <v>4.1960137869024427E-3</v>
      </c>
    </row>
    <row r="34" spans="1:8" x14ac:dyDescent="0.2">
      <c r="A34" s="2" t="s">
        <v>91</v>
      </c>
      <c r="B34">
        <v>6673</v>
      </c>
      <c r="C34">
        <v>6357</v>
      </c>
      <c r="D34">
        <v>6805</v>
      </c>
      <c r="E34">
        <v>6343</v>
      </c>
      <c r="F34" s="2" t="s">
        <v>92</v>
      </c>
      <c r="G34">
        <v>5.19</v>
      </c>
      <c r="H34">
        <f t="shared" ref="H34:H63" si="1">(B34-B35)/B35</f>
        <v>5.1860025220680957E-2</v>
      </c>
    </row>
    <row r="35" spans="1:8" x14ac:dyDescent="0.2">
      <c r="A35" s="2" t="s">
        <v>93</v>
      </c>
      <c r="B35">
        <v>6344</v>
      </c>
      <c r="C35">
        <v>7266</v>
      </c>
      <c r="D35">
        <v>7293</v>
      </c>
      <c r="E35">
        <v>6262</v>
      </c>
      <c r="F35" s="2" t="s">
        <v>94</v>
      </c>
      <c r="G35">
        <v>-8.82</v>
      </c>
      <c r="H35">
        <f t="shared" si="1"/>
        <v>-8.824374820350675E-2</v>
      </c>
    </row>
    <row r="36" spans="1:8" x14ac:dyDescent="0.2">
      <c r="A36" s="2" t="s">
        <v>95</v>
      </c>
      <c r="B36">
        <v>6958</v>
      </c>
      <c r="C36">
        <v>6948</v>
      </c>
      <c r="D36">
        <v>7046</v>
      </c>
      <c r="E36">
        <v>6617</v>
      </c>
      <c r="F36" s="2" t="s">
        <v>96</v>
      </c>
      <c r="G36">
        <v>1.77</v>
      </c>
      <c r="H36">
        <f t="shared" si="1"/>
        <v>1.7697820681585492E-2</v>
      </c>
    </row>
    <row r="37" spans="1:8" x14ac:dyDescent="0.2">
      <c r="A37" s="2" t="s">
        <v>97</v>
      </c>
      <c r="B37">
        <v>6837</v>
      </c>
      <c r="C37">
        <v>6608</v>
      </c>
      <c r="D37">
        <v>7092</v>
      </c>
      <c r="E37">
        <v>6575</v>
      </c>
      <c r="F37" s="2" t="s">
        <v>98</v>
      </c>
      <c r="G37">
        <v>5.75</v>
      </c>
      <c r="H37">
        <f t="shared" si="1"/>
        <v>5.754060324825986E-2</v>
      </c>
    </row>
    <row r="38" spans="1:8" x14ac:dyDescent="0.2">
      <c r="A38" s="2" t="s">
        <v>99</v>
      </c>
      <c r="B38">
        <v>6465</v>
      </c>
      <c r="C38">
        <v>6936</v>
      </c>
      <c r="D38">
        <v>7094</v>
      </c>
      <c r="E38">
        <v>6152</v>
      </c>
      <c r="F38" s="2" t="s">
        <v>100</v>
      </c>
      <c r="G38">
        <v>-5.45</v>
      </c>
      <c r="H38">
        <f t="shared" si="1"/>
        <v>-5.45481134834747E-2</v>
      </c>
    </row>
    <row r="39" spans="1:8" x14ac:dyDescent="0.2">
      <c r="A39" s="2" t="s">
        <v>101</v>
      </c>
      <c r="B39">
        <v>6838</v>
      </c>
      <c r="C39">
        <v>6838</v>
      </c>
      <c r="D39">
        <v>7169</v>
      </c>
      <c r="E39">
        <v>6691</v>
      </c>
      <c r="F39" s="2" t="s">
        <v>102</v>
      </c>
      <c r="G39">
        <v>-0.87</v>
      </c>
      <c r="H39">
        <f t="shared" si="1"/>
        <v>-8.6981733835894467E-3</v>
      </c>
    </row>
    <row r="40" spans="1:8" x14ac:dyDescent="0.2">
      <c r="A40" s="2" t="s">
        <v>103</v>
      </c>
      <c r="B40">
        <v>6898</v>
      </c>
      <c r="C40">
        <v>6725</v>
      </c>
      <c r="D40">
        <v>6965</v>
      </c>
      <c r="E40">
        <v>6568</v>
      </c>
      <c r="F40" s="2" t="s">
        <v>104</v>
      </c>
      <c r="G40">
        <v>3.42</v>
      </c>
      <c r="H40">
        <f t="shared" si="1"/>
        <v>3.4182908545727135E-2</v>
      </c>
    </row>
    <row r="41" spans="1:8" x14ac:dyDescent="0.2">
      <c r="A41" s="2" t="s">
        <v>105</v>
      </c>
      <c r="B41">
        <v>6670</v>
      </c>
      <c r="C41">
        <v>6824</v>
      </c>
      <c r="D41">
        <v>6848</v>
      </c>
      <c r="E41">
        <v>6580</v>
      </c>
      <c r="F41" s="2" t="s">
        <v>106</v>
      </c>
      <c r="G41">
        <v>-3.75</v>
      </c>
      <c r="H41">
        <f t="shared" si="1"/>
        <v>-3.751803751803752E-2</v>
      </c>
    </row>
    <row r="42" spans="1:8" x14ac:dyDescent="0.2">
      <c r="A42" s="2" t="s">
        <v>107</v>
      </c>
      <c r="B42">
        <v>6930</v>
      </c>
      <c r="C42">
        <v>6403</v>
      </c>
      <c r="D42">
        <v>7007</v>
      </c>
      <c r="E42">
        <v>6220</v>
      </c>
      <c r="F42" s="2" t="s">
        <v>108</v>
      </c>
      <c r="G42">
        <v>8.59</v>
      </c>
      <c r="H42">
        <f t="shared" si="1"/>
        <v>8.586649952992792E-2</v>
      </c>
    </row>
    <row r="43" spans="1:8" x14ac:dyDescent="0.2">
      <c r="A43" s="2" t="s">
        <v>109</v>
      </c>
      <c r="B43">
        <v>6382</v>
      </c>
      <c r="C43">
        <v>6772</v>
      </c>
      <c r="D43">
        <v>6844</v>
      </c>
      <c r="E43">
        <v>6340</v>
      </c>
      <c r="F43" s="2" t="s">
        <v>110</v>
      </c>
      <c r="G43">
        <v>-2.33</v>
      </c>
      <c r="H43">
        <f t="shared" si="1"/>
        <v>-2.3262932353841446E-2</v>
      </c>
    </row>
    <row r="44" spans="1:8" x14ac:dyDescent="0.2">
      <c r="A44" s="2" t="s">
        <v>111</v>
      </c>
      <c r="B44">
        <v>6534</v>
      </c>
      <c r="C44">
        <v>6337</v>
      </c>
      <c r="D44">
        <v>6700</v>
      </c>
      <c r="E44">
        <v>6223</v>
      </c>
      <c r="F44" s="2" t="s">
        <v>112</v>
      </c>
      <c r="G44">
        <v>5.39</v>
      </c>
      <c r="H44">
        <f t="shared" si="1"/>
        <v>5.3870967741935484E-2</v>
      </c>
    </row>
    <row r="45" spans="1:8" x14ac:dyDescent="0.2">
      <c r="A45" s="2" t="s">
        <v>113</v>
      </c>
      <c r="B45">
        <v>6200</v>
      </c>
      <c r="C45">
        <v>6189</v>
      </c>
      <c r="D45">
        <v>6298</v>
      </c>
      <c r="E45">
        <v>5935</v>
      </c>
      <c r="F45" s="2" t="s">
        <v>114</v>
      </c>
      <c r="G45">
        <v>1.54</v>
      </c>
      <c r="H45">
        <f t="shared" si="1"/>
        <v>1.53946937438585E-2</v>
      </c>
    </row>
    <row r="46" spans="1:8" x14ac:dyDescent="0.2">
      <c r="A46" s="2" t="s">
        <v>115</v>
      </c>
      <c r="B46">
        <v>6106</v>
      </c>
      <c r="C46">
        <v>6158</v>
      </c>
      <c r="D46">
        <v>6555</v>
      </c>
      <c r="E46">
        <v>6075</v>
      </c>
      <c r="F46" s="2" t="s">
        <v>116</v>
      </c>
      <c r="G46">
        <v>-2.2999999999999998</v>
      </c>
      <c r="H46">
        <f t="shared" si="1"/>
        <v>-2.3040000000000001E-2</v>
      </c>
    </row>
    <row r="47" spans="1:8" x14ac:dyDescent="0.2">
      <c r="A47" s="2" t="s">
        <v>117</v>
      </c>
      <c r="B47">
        <v>6250</v>
      </c>
      <c r="C47">
        <v>6040</v>
      </c>
      <c r="D47">
        <v>6408</v>
      </c>
      <c r="E47">
        <v>5982</v>
      </c>
      <c r="F47" s="2" t="s">
        <v>118</v>
      </c>
      <c r="G47">
        <v>4.4800000000000004</v>
      </c>
      <c r="H47">
        <f t="shared" si="1"/>
        <v>4.4801069876295556E-2</v>
      </c>
    </row>
    <row r="48" spans="1:8" x14ac:dyDescent="0.2">
      <c r="A48" s="2" t="s">
        <v>119</v>
      </c>
      <c r="B48">
        <v>5982</v>
      </c>
      <c r="C48">
        <v>6080</v>
      </c>
      <c r="D48">
        <v>6116</v>
      </c>
      <c r="E48">
        <v>5826</v>
      </c>
      <c r="F48" s="2" t="s">
        <v>120</v>
      </c>
      <c r="G48">
        <v>2.0499999999999998</v>
      </c>
      <c r="H48">
        <f t="shared" si="1"/>
        <v>2.0470829068577279E-2</v>
      </c>
    </row>
    <row r="49" spans="1:8" x14ac:dyDescent="0.2">
      <c r="A49" s="2" t="s">
        <v>121</v>
      </c>
      <c r="B49">
        <v>5862</v>
      </c>
      <c r="C49">
        <v>5723</v>
      </c>
      <c r="D49">
        <v>5880</v>
      </c>
      <c r="E49">
        <v>5642</v>
      </c>
      <c r="F49" s="2" t="s">
        <v>122</v>
      </c>
      <c r="G49">
        <v>6.64</v>
      </c>
      <c r="H49">
        <f t="shared" si="1"/>
        <v>6.6399854466072397E-2</v>
      </c>
    </row>
    <row r="50" spans="1:8" x14ac:dyDescent="0.2">
      <c r="A50" s="2" t="s">
        <v>123</v>
      </c>
      <c r="B50">
        <v>5497</v>
      </c>
      <c r="C50">
        <v>5148</v>
      </c>
      <c r="D50">
        <v>5525</v>
      </c>
      <c r="E50">
        <v>5091</v>
      </c>
      <c r="F50" s="2" t="s">
        <v>124</v>
      </c>
      <c r="G50">
        <v>8.81</v>
      </c>
      <c r="H50">
        <f t="shared" si="1"/>
        <v>8.8083927157561359E-2</v>
      </c>
    </row>
    <row r="51" spans="1:8" x14ac:dyDescent="0.2">
      <c r="A51" s="2" t="s">
        <v>125</v>
      </c>
      <c r="B51">
        <v>5052</v>
      </c>
      <c r="C51">
        <v>5087</v>
      </c>
      <c r="D51">
        <v>5123</v>
      </c>
      <c r="E51">
        <v>4976</v>
      </c>
      <c r="F51" s="2" t="s">
        <v>126</v>
      </c>
      <c r="G51">
        <v>0.16</v>
      </c>
      <c r="H51">
        <f t="shared" si="1"/>
        <v>1.5860428231562252E-3</v>
      </c>
    </row>
    <row r="52" spans="1:8" x14ac:dyDescent="0.2">
      <c r="A52" s="2" t="s">
        <v>127</v>
      </c>
      <c r="B52">
        <v>5044</v>
      </c>
      <c r="C52">
        <v>5198</v>
      </c>
      <c r="D52">
        <v>5225</v>
      </c>
      <c r="E52">
        <v>5040</v>
      </c>
      <c r="F52" s="2" t="s">
        <v>128</v>
      </c>
      <c r="G52">
        <v>-2.87</v>
      </c>
      <c r="H52">
        <f t="shared" si="1"/>
        <v>-2.8692470633545158E-2</v>
      </c>
    </row>
    <row r="53" spans="1:8" x14ac:dyDescent="0.2">
      <c r="A53" s="2" t="s">
        <v>129</v>
      </c>
      <c r="B53">
        <v>5193</v>
      </c>
      <c r="C53">
        <v>5237</v>
      </c>
      <c r="D53">
        <v>5387</v>
      </c>
      <c r="E53">
        <v>5162</v>
      </c>
      <c r="F53" s="2" t="s">
        <v>130</v>
      </c>
      <c r="G53">
        <v>-2.72</v>
      </c>
      <c r="H53">
        <f t="shared" si="1"/>
        <v>-2.7163731734732108E-2</v>
      </c>
    </row>
    <row r="54" spans="1:8" x14ac:dyDescent="0.2">
      <c r="A54" s="2" t="s">
        <v>131</v>
      </c>
      <c r="B54">
        <v>5338</v>
      </c>
      <c r="C54">
        <v>5454</v>
      </c>
      <c r="D54">
        <v>5460</v>
      </c>
      <c r="E54">
        <v>5208</v>
      </c>
      <c r="F54" s="2" t="s">
        <v>132</v>
      </c>
      <c r="G54">
        <v>-2.13</v>
      </c>
      <c r="H54">
        <f t="shared" si="1"/>
        <v>-2.1268793546021268E-2</v>
      </c>
    </row>
    <row r="55" spans="1:8" x14ac:dyDescent="0.2">
      <c r="A55" s="2" t="s">
        <v>133</v>
      </c>
      <c r="B55">
        <v>5454</v>
      </c>
      <c r="C55">
        <v>5376</v>
      </c>
      <c r="D55">
        <v>5527</v>
      </c>
      <c r="E55">
        <v>5340</v>
      </c>
      <c r="F55" s="2" t="s">
        <v>134</v>
      </c>
      <c r="G55">
        <v>0.61</v>
      </c>
      <c r="H55">
        <f t="shared" si="1"/>
        <v>6.0874377421140007E-3</v>
      </c>
    </row>
    <row r="56" spans="1:8" x14ac:dyDescent="0.2">
      <c r="A56" s="2" t="s">
        <v>135</v>
      </c>
      <c r="B56">
        <v>5421</v>
      </c>
      <c r="C56">
        <v>5383</v>
      </c>
      <c r="D56">
        <v>5550</v>
      </c>
      <c r="E56">
        <v>5334</v>
      </c>
      <c r="F56" s="2" t="s">
        <v>136</v>
      </c>
      <c r="G56">
        <v>-0.33</v>
      </c>
      <c r="H56">
        <f t="shared" si="1"/>
        <v>-3.3094318808604521E-3</v>
      </c>
    </row>
    <row r="57" spans="1:8" x14ac:dyDescent="0.2">
      <c r="A57" s="2" t="s">
        <v>137</v>
      </c>
      <c r="B57">
        <v>5439</v>
      </c>
      <c r="C57">
        <v>5454</v>
      </c>
      <c r="D57">
        <v>5525</v>
      </c>
      <c r="E57">
        <v>5376</v>
      </c>
      <c r="F57" s="2" t="s">
        <v>138</v>
      </c>
      <c r="G57">
        <v>0.78</v>
      </c>
      <c r="H57">
        <f t="shared" si="1"/>
        <v>7.7821011673151752E-3</v>
      </c>
    </row>
    <row r="58" spans="1:8" x14ac:dyDescent="0.2">
      <c r="A58" s="2" t="s">
        <v>139</v>
      </c>
      <c r="B58">
        <v>5397</v>
      </c>
      <c r="C58">
        <v>5218</v>
      </c>
      <c r="D58">
        <v>5447</v>
      </c>
      <c r="E58">
        <v>5218</v>
      </c>
      <c r="F58" s="2" t="s">
        <v>140</v>
      </c>
      <c r="G58">
        <v>3.71</v>
      </c>
      <c r="H58">
        <f t="shared" si="1"/>
        <v>3.7086856264411994E-2</v>
      </c>
    </row>
    <row r="59" spans="1:8" x14ac:dyDescent="0.2">
      <c r="A59" s="2" t="s">
        <v>141</v>
      </c>
      <c r="B59">
        <v>5204</v>
      </c>
      <c r="C59">
        <v>5344</v>
      </c>
      <c r="D59">
        <v>5511</v>
      </c>
      <c r="E59">
        <v>5141</v>
      </c>
      <c r="F59" s="2" t="s">
        <v>142</v>
      </c>
      <c r="G59">
        <v>0.02</v>
      </c>
      <c r="H59">
        <f t="shared" si="1"/>
        <v>1.9219680953296174E-4</v>
      </c>
    </row>
    <row r="60" spans="1:8" x14ac:dyDescent="0.2">
      <c r="A60" s="2" t="s">
        <v>143</v>
      </c>
      <c r="B60">
        <v>5203</v>
      </c>
      <c r="C60">
        <v>5413</v>
      </c>
      <c r="D60">
        <v>5576</v>
      </c>
      <c r="E60">
        <v>5202</v>
      </c>
      <c r="F60" s="2" t="s">
        <v>144</v>
      </c>
      <c r="G60">
        <v>-2.6</v>
      </c>
      <c r="H60">
        <f t="shared" si="1"/>
        <v>-2.6020217147135906E-2</v>
      </c>
    </row>
    <row r="61" spans="1:8" x14ac:dyDescent="0.2">
      <c r="A61" s="2" t="s">
        <v>145</v>
      </c>
      <c r="B61">
        <v>5342</v>
      </c>
      <c r="C61">
        <v>5255</v>
      </c>
      <c r="D61">
        <v>5387</v>
      </c>
      <c r="E61">
        <v>5210</v>
      </c>
      <c r="F61" s="2" t="s">
        <v>146</v>
      </c>
      <c r="G61">
        <v>0.3</v>
      </c>
      <c r="H61">
        <f t="shared" si="1"/>
        <v>3.0041306796845663E-3</v>
      </c>
    </row>
    <row r="62" spans="1:8" x14ac:dyDescent="0.2">
      <c r="A62" s="2" t="s">
        <v>147</v>
      </c>
      <c r="B62">
        <v>5326</v>
      </c>
      <c r="C62">
        <v>5707</v>
      </c>
      <c r="D62">
        <v>5782</v>
      </c>
      <c r="E62">
        <v>5304</v>
      </c>
      <c r="F62" s="2" t="s">
        <v>148</v>
      </c>
      <c r="G62">
        <v>-6</v>
      </c>
      <c r="H62">
        <f t="shared" si="1"/>
        <v>-6.0007059654076947E-2</v>
      </c>
    </row>
    <row r="63" spans="1:8" x14ac:dyDescent="0.2">
      <c r="A63" s="2" t="s">
        <v>149</v>
      </c>
      <c r="B63">
        <v>5666</v>
      </c>
      <c r="C63">
        <v>5955</v>
      </c>
      <c r="D63">
        <v>5975</v>
      </c>
      <c r="E63">
        <v>5576</v>
      </c>
      <c r="F63" s="2" t="s">
        <v>150</v>
      </c>
      <c r="G63">
        <v>-5.58</v>
      </c>
      <c r="H63" t="e">
        <f t="shared" si="1"/>
        <v>#DIV/0!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DB8A-AE58-7B4C-911A-DDFB0D3C3D2C}">
  <dimension ref="A1:H127"/>
  <sheetViews>
    <sheetView workbookViewId="0">
      <selection activeCell="M107" sqref="M107"/>
    </sheetView>
  </sheetViews>
  <sheetFormatPr baseColWidth="10" defaultRowHeight="16" x14ac:dyDescent="0.2"/>
  <cols>
    <col min="1" max="1" width="10.1640625" bestFit="1" customWidth="1"/>
    <col min="2" max="2" width="9.1640625" bestFit="1" customWidth="1"/>
    <col min="4" max="4" width="11.33203125" bestFit="1" customWidth="1"/>
    <col min="5" max="5" width="9.83203125" bestFit="1" customWidth="1"/>
    <col min="6" max="6" width="7.1640625" bestFit="1" customWidth="1"/>
    <col min="7" max="7" width="8.83203125" bestFit="1" customWidth="1"/>
  </cols>
  <sheetData>
    <row r="1" spans="1:8" x14ac:dyDescent="0.2">
      <c r="A1" t="s">
        <v>4</v>
      </c>
      <c r="B1" t="s">
        <v>22</v>
      </c>
      <c r="C1" t="s">
        <v>5</v>
      </c>
      <c r="D1" t="s">
        <v>23</v>
      </c>
      <c r="E1" t="s">
        <v>24</v>
      </c>
      <c r="F1" t="s">
        <v>25</v>
      </c>
      <c r="G1" t="s">
        <v>26</v>
      </c>
      <c r="H1" t="s">
        <v>7</v>
      </c>
    </row>
    <row r="2" spans="1:8" x14ac:dyDescent="0.2">
      <c r="A2" s="2" t="s">
        <v>27</v>
      </c>
      <c r="B2">
        <v>5721</v>
      </c>
      <c r="C2">
        <v>6022</v>
      </c>
      <c r="D2">
        <v>6109</v>
      </c>
      <c r="E2">
        <v>5663</v>
      </c>
      <c r="F2" s="2" t="s">
        <v>28</v>
      </c>
      <c r="G2">
        <v>-4.7</v>
      </c>
      <c r="H2">
        <f>(B2-B3)/B3</f>
        <v>-4.6976511744127938E-2</v>
      </c>
    </row>
    <row r="3" spans="1:8" x14ac:dyDescent="0.2">
      <c r="A3" s="2" t="s">
        <v>29</v>
      </c>
      <c r="B3">
        <v>6003</v>
      </c>
      <c r="C3">
        <v>6161</v>
      </c>
      <c r="D3">
        <v>6279</v>
      </c>
      <c r="E3">
        <v>5909</v>
      </c>
      <c r="F3" s="2" t="s">
        <v>30</v>
      </c>
      <c r="G3">
        <v>-3.57</v>
      </c>
      <c r="H3">
        <f t="shared" ref="H2:H33" si="0">(B3-B4)/B4</f>
        <v>-3.566265060240964E-2</v>
      </c>
    </row>
    <row r="4" spans="1:8" x14ac:dyDescent="0.2">
      <c r="A4" s="2" t="s">
        <v>31</v>
      </c>
      <c r="B4">
        <v>6225</v>
      </c>
      <c r="C4">
        <v>6066</v>
      </c>
      <c r="D4">
        <v>6302</v>
      </c>
      <c r="E4">
        <v>6038</v>
      </c>
      <c r="F4" s="2" t="s">
        <v>32</v>
      </c>
      <c r="G4">
        <v>1.0900000000000001</v>
      </c>
      <c r="H4">
        <f t="shared" si="0"/>
        <v>1.0880155894771029E-2</v>
      </c>
    </row>
    <row r="5" spans="1:8" x14ac:dyDescent="0.2">
      <c r="A5" s="2" t="s">
        <v>33</v>
      </c>
      <c r="B5">
        <v>6158</v>
      </c>
      <c r="C5">
        <v>6072</v>
      </c>
      <c r="D5">
        <v>6307</v>
      </c>
      <c r="E5">
        <v>5946</v>
      </c>
      <c r="F5" s="2" t="s">
        <v>34</v>
      </c>
      <c r="G5">
        <v>2.12</v>
      </c>
      <c r="H5">
        <f t="shared" si="0"/>
        <v>2.1227197346600332E-2</v>
      </c>
    </row>
    <row r="6" spans="1:8" x14ac:dyDescent="0.2">
      <c r="A6" s="2" t="s">
        <v>35</v>
      </c>
      <c r="B6">
        <v>6030</v>
      </c>
      <c r="C6">
        <v>5704</v>
      </c>
      <c r="D6">
        <v>6050</v>
      </c>
      <c r="E6">
        <v>5652</v>
      </c>
      <c r="F6" s="2" t="s">
        <v>36</v>
      </c>
      <c r="G6">
        <v>3.55</v>
      </c>
      <c r="H6">
        <f t="shared" si="0"/>
        <v>3.5548686244204021E-2</v>
      </c>
    </row>
    <row r="7" spans="1:8" x14ac:dyDescent="0.2">
      <c r="A7" s="2" t="s">
        <v>37</v>
      </c>
      <c r="B7">
        <v>5823</v>
      </c>
      <c r="C7">
        <v>5703</v>
      </c>
      <c r="D7">
        <v>6064</v>
      </c>
      <c r="E7">
        <v>5634</v>
      </c>
      <c r="F7" s="2" t="s">
        <v>38</v>
      </c>
      <c r="G7">
        <v>-0.43</v>
      </c>
      <c r="H7">
        <f t="shared" si="0"/>
        <v>-4.2749658002735978E-3</v>
      </c>
    </row>
    <row r="8" spans="1:8" x14ac:dyDescent="0.2">
      <c r="A8" s="2" t="s">
        <v>39</v>
      </c>
      <c r="B8">
        <v>5848</v>
      </c>
      <c r="C8">
        <v>6093</v>
      </c>
      <c r="D8">
        <v>6269</v>
      </c>
      <c r="E8">
        <v>5774</v>
      </c>
      <c r="F8" s="2" t="s">
        <v>40</v>
      </c>
      <c r="G8">
        <v>-5.08</v>
      </c>
      <c r="H8">
        <f t="shared" si="0"/>
        <v>-5.080344099983769E-2</v>
      </c>
    </row>
    <row r="9" spans="1:8" x14ac:dyDescent="0.2">
      <c r="A9" s="2" t="s">
        <v>41</v>
      </c>
      <c r="B9">
        <v>6161</v>
      </c>
      <c r="C9">
        <v>6200</v>
      </c>
      <c r="D9">
        <v>6294</v>
      </c>
      <c r="E9">
        <v>6021</v>
      </c>
      <c r="F9" s="2" t="s">
        <v>42</v>
      </c>
      <c r="G9">
        <v>0.34</v>
      </c>
      <c r="H9">
        <f t="shared" si="0"/>
        <v>3.4201954397394137E-3</v>
      </c>
    </row>
    <row r="10" spans="1:8" x14ac:dyDescent="0.2">
      <c r="A10" s="2" t="s">
        <v>43</v>
      </c>
      <c r="B10">
        <v>6140</v>
      </c>
      <c r="C10">
        <v>6162</v>
      </c>
      <c r="D10">
        <v>6339</v>
      </c>
      <c r="E10">
        <v>5924</v>
      </c>
      <c r="F10" s="2" t="s">
        <v>44</v>
      </c>
      <c r="G10">
        <v>-3.66</v>
      </c>
      <c r="H10">
        <f t="shared" si="0"/>
        <v>-3.6560489565353835E-2</v>
      </c>
    </row>
    <row r="11" spans="1:8" x14ac:dyDescent="0.2">
      <c r="A11" s="2" t="s">
        <v>45</v>
      </c>
      <c r="B11">
        <v>6373</v>
      </c>
      <c r="C11">
        <v>5743</v>
      </c>
      <c r="D11">
        <v>6390</v>
      </c>
      <c r="E11">
        <v>5719</v>
      </c>
      <c r="F11" s="2" t="s">
        <v>46</v>
      </c>
      <c r="G11">
        <v>8.26</v>
      </c>
      <c r="H11">
        <f t="shared" si="0"/>
        <v>8.2554781722439269E-2</v>
      </c>
    </row>
    <row r="12" spans="1:8" x14ac:dyDescent="0.2">
      <c r="A12" s="2" t="s">
        <v>47</v>
      </c>
      <c r="B12">
        <v>5887</v>
      </c>
      <c r="C12">
        <v>5884</v>
      </c>
      <c r="D12">
        <v>6068</v>
      </c>
      <c r="E12">
        <v>5701</v>
      </c>
      <c r="F12" s="2" t="s">
        <v>48</v>
      </c>
      <c r="G12">
        <v>-1.88</v>
      </c>
      <c r="H12">
        <f t="shared" si="0"/>
        <v>-1.8833333333333334E-2</v>
      </c>
    </row>
    <row r="13" spans="1:8" x14ac:dyDescent="0.2">
      <c r="A13" s="2" t="s">
        <v>49</v>
      </c>
      <c r="B13">
        <v>6000</v>
      </c>
      <c r="C13">
        <v>5957</v>
      </c>
      <c r="D13">
        <v>6029</v>
      </c>
      <c r="E13">
        <v>5801</v>
      </c>
      <c r="F13" s="2" t="s">
        <v>50</v>
      </c>
      <c r="G13">
        <v>2.2799999999999998</v>
      </c>
      <c r="H13">
        <f t="shared" si="0"/>
        <v>2.2843504943743608E-2</v>
      </c>
    </row>
    <row r="14" spans="1:8" x14ac:dyDescent="0.2">
      <c r="A14" s="2" t="s">
        <v>51</v>
      </c>
      <c r="B14">
        <v>5866</v>
      </c>
      <c r="C14">
        <v>5979</v>
      </c>
      <c r="D14">
        <v>6016</v>
      </c>
      <c r="E14">
        <v>5865</v>
      </c>
      <c r="F14" s="2" t="s">
        <v>52</v>
      </c>
      <c r="G14">
        <v>0.38</v>
      </c>
      <c r="H14">
        <f t="shared" si="0"/>
        <v>3.7645448323066393E-3</v>
      </c>
    </row>
    <row r="15" spans="1:8" x14ac:dyDescent="0.2">
      <c r="A15" s="2" t="s">
        <v>53</v>
      </c>
      <c r="B15">
        <v>5844</v>
      </c>
      <c r="C15">
        <v>5511</v>
      </c>
      <c r="D15">
        <v>5873</v>
      </c>
      <c r="E15">
        <v>5421</v>
      </c>
      <c r="F15" s="2" t="s">
        <v>54</v>
      </c>
      <c r="G15">
        <v>4.92</v>
      </c>
      <c r="H15">
        <f t="shared" si="0"/>
        <v>4.919210053859964E-2</v>
      </c>
    </row>
    <row r="16" spans="1:8" x14ac:dyDescent="0.2">
      <c r="A16" s="2" t="s">
        <v>55</v>
      </c>
      <c r="B16">
        <v>5570</v>
      </c>
      <c r="C16">
        <v>5419</v>
      </c>
      <c r="D16">
        <v>5598</v>
      </c>
      <c r="E16">
        <v>5389</v>
      </c>
      <c r="F16" s="2" t="s">
        <v>56</v>
      </c>
      <c r="G16">
        <v>0.65</v>
      </c>
      <c r="H16">
        <f t="shared" si="0"/>
        <v>6.5052403324900613E-3</v>
      </c>
    </row>
    <row r="17" spans="1:8" x14ac:dyDescent="0.2">
      <c r="A17" s="2" t="s">
        <v>57</v>
      </c>
      <c r="B17">
        <v>5534</v>
      </c>
      <c r="C17">
        <v>5770</v>
      </c>
      <c r="D17">
        <v>5894</v>
      </c>
      <c r="E17">
        <v>5504</v>
      </c>
      <c r="F17" s="2" t="s">
        <v>58</v>
      </c>
      <c r="G17">
        <v>-5.5</v>
      </c>
      <c r="H17">
        <f t="shared" si="0"/>
        <v>-5.4986338797814206E-2</v>
      </c>
    </row>
    <row r="18" spans="1:8" x14ac:dyDescent="0.2">
      <c r="A18" s="2" t="s">
        <v>59</v>
      </c>
      <c r="B18">
        <v>5856</v>
      </c>
      <c r="C18">
        <v>5767</v>
      </c>
      <c r="D18">
        <v>5900</v>
      </c>
      <c r="E18">
        <v>5610</v>
      </c>
      <c r="F18" s="2" t="s">
        <v>60</v>
      </c>
      <c r="G18">
        <v>1.07</v>
      </c>
      <c r="H18">
        <f t="shared" si="0"/>
        <v>1.0700724887814981E-2</v>
      </c>
    </row>
    <row r="19" spans="1:8" x14ac:dyDescent="0.2">
      <c r="A19" s="2" t="s">
        <v>61</v>
      </c>
      <c r="B19">
        <v>5794</v>
      </c>
      <c r="C19">
        <v>5740</v>
      </c>
      <c r="D19">
        <v>5859</v>
      </c>
      <c r="E19">
        <v>5660</v>
      </c>
      <c r="F19" s="2" t="s">
        <v>62</v>
      </c>
      <c r="G19">
        <v>1.74</v>
      </c>
      <c r="H19">
        <f t="shared" si="0"/>
        <v>1.7383669885864792E-2</v>
      </c>
    </row>
    <row r="20" spans="1:8" x14ac:dyDescent="0.2">
      <c r="A20" s="2" t="s">
        <v>63</v>
      </c>
      <c r="B20">
        <v>5695</v>
      </c>
      <c r="C20">
        <v>5670</v>
      </c>
      <c r="D20">
        <v>5747</v>
      </c>
      <c r="E20">
        <v>5459</v>
      </c>
      <c r="F20" s="2" t="s">
        <v>64</v>
      </c>
      <c r="G20">
        <v>-1.86</v>
      </c>
      <c r="H20">
        <f t="shared" si="0"/>
        <v>-1.8611063243150094E-2</v>
      </c>
    </row>
    <row r="21" spans="1:8" x14ac:dyDescent="0.2">
      <c r="A21" s="2" t="s">
        <v>65</v>
      </c>
      <c r="B21">
        <v>5803</v>
      </c>
      <c r="C21">
        <v>5755</v>
      </c>
      <c r="D21">
        <v>5851</v>
      </c>
      <c r="E21">
        <v>5528</v>
      </c>
      <c r="F21" s="2" t="s">
        <v>66</v>
      </c>
      <c r="G21">
        <v>1.27</v>
      </c>
      <c r="H21">
        <f t="shared" si="0"/>
        <v>1.2739965095986039E-2</v>
      </c>
    </row>
    <row r="22" spans="1:8" x14ac:dyDescent="0.2">
      <c r="A22" s="2" t="s">
        <v>67</v>
      </c>
      <c r="B22">
        <v>5730</v>
      </c>
      <c r="C22">
        <v>5933</v>
      </c>
      <c r="D22">
        <v>6000</v>
      </c>
      <c r="E22">
        <v>5658</v>
      </c>
      <c r="F22" s="2" t="s">
        <v>68</v>
      </c>
      <c r="G22">
        <v>-5.41</v>
      </c>
      <c r="H22">
        <f t="shared" si="0"/>
        <v>-5.4143281611092768E-2</v>
      </c>
    </row>
    <row r="23" spans="1:8" x14ac:dyDescent="0.2">
      <c r="A23" s="2" t="s">
        <v>69</v>
      </c>
      <c r="B23">
        <v>6058</v>
      </c>
      <c r="C23">
        <v>6275</v>
      </c>
      <c r="D23">
        <v>6370</v>
      </c>
      <c r="E23">
        <v>5881</v>
      </c>
      <c r="F23" s="2" t="s">
        <v>70</v>
      </c>
      <c r="G23">
        <v>-2.82</v>
      </c>
      <c r="H23">
        <f t="shared" si="0"/>
        <v>-2.8232274623034969E-2</v>
      </c>
    </row>
    <row r="24" spans="1:8" x14ac:dyDescent="0.2">
      <c r="A24" s="2" t="s">
        <v>71</v>
      </c>
      <c r="B24">
        <v>6234</v>
      </c>
      <c r="C24">
        <v>6227</v>
      </c>
      <c r="D24">
        <v>6390</v>
      </c>
      <c r="E24">
        <v>6160</v>
      </c>
      <c r="F24" s="2" t="s">
        <v>72</v>
      </c>
      <c r="G24">
        <v>-0.73</v>
      </c>
      <c r="H24">
        <f t="shared" si="0"/>
        <v>-7.3248407643312103E-3</v>
      </c>
    </row>
    <row r="25" spans="1:8" x14ac:dyDescent="0.2">
      <c r="A25" s="2" t="s">
        <v>73</v>
      </c>
      <c r="B25">
        <v>6280</v>
      </c>
      <c r="C25">
        <v>6135</v>
      </c>
      <c r="D25">
        <v>6330</v>
      </c>
      <c r="E25">
        <v>5982</v>
      </c>
      <c r="F25" s="2" t="s">
        <v>74</v>
      </c>
      <c r="G25">
        <v>2.5099999999999998</v>
      </c>
      <c r="H25">
        <f t="shared" si="0"/>
        <v>2.5138752856676459E-2</v>
      </c>
    </row>
    <row r="26" spans="1:8" x14ac:dyDescent="0.2">
      <c r="A26" s="2" t="s">
        <v>75</v>
      </c>
      <c r="B26">
        <v>6126</v>
      </c>
      <c r="C26">
        <v>5901</v>
      </c>
      <c r="D26">
        <v>6151</v>
      </c>
      <c r="E26">
        <v>5831</v>
      </c>
      <c r="F26" s="2" t="s">
        <v>76</v>
      </c>
      <c r="G26">
        <v>8.33</v>
      </c>
      <c r="H26">
        <f t="shared" si="0"/>
        <v>8.3289124668435008E-2</v>
      </c>
    </row>
    <row r="27" spans="1:8" x14ac:dyDescent="0.2">
      <c r="A27" s="2" t="s">
        <v>77</v>
      </c>
      <c r="B27">
        <v>5655</v>
      </c>
      <c r="C27">
        <v>5829</v>
      </c>
      <c r="D27">
        <v>5961</v>
      </c>
      <c r="E27">
        <v>5605</v>
      </c>
      <c r="F27" s="2" t="s">
        <v>78</v>
      </c>
      <c r="G27">
        <v>-6.61</v>
      </c>
      <c r="H27">
        <f t="shared" si="0"/>
        <v>-6.6061106523534266E-2</v>
      </c>
    </row>
    <row r="28" spans="1:8" x14ac:dyDescent="0.2">
      <c r="A28" s="2" t="s">
        <v>79</v>
      </c>
      <c r="B28">
        <v>6055</v>
      </c>
      <c r="C28">
        <v>6525</v>
      </c>
      <c r="D28">
        <v>6525</v>
      </c>
      <c r="E28">
        <v>5724</v>
      </c>
      <c r="F28" s="2" t="s">
        <v>80</v>
      </c>
      <c r="G28">
        <v>-6.28</v>
      </c>
      <c r="H28">
        <f t="shared" si="0"/>
        <v>-6.2838569880823397E-2</v>
      </c>
    </row>
    <row r="29" spans="1:8" x14ac:dyDescent="0.2">
      <c r="A29" s="2" t="s">
        <v>81</v>
      </c>
      <c r="B29">
        <v>6461</v>
      </c>
      <c r="C29">
        <v>6179</v>
      </c>
      <c r="D29">
        <v>6495</v>
      </c>
      <c r="E29">
        <v>6060</v>
      </c>
      <c r="F29" s="2" t="s">
        <v>82</v>
      </c>
      <c r="G29">
        <v>9.3000000000000007</v>
      </c>
      <c r="H29">
        <f t="shared" si="0"/>
        <v>9.3046861783116219E-2</v>
      </c>
    </row>
    <row r="30" spans="1:8" x14ac:dyDescent="0.2">
      <c r="A30" s="2" t="s">
        <v>83</v>
      </c>
      <c r="B30">
        <v>5911</v>
      </c>
      <c r="C30">
        <v>6019</v>
      </c>
      <c r="D30">
        <v>6288</v>
      </c>
      <c r="E30">
        <v>5892</v>
      </c>
      <c r="F30" s="2" t="s">
        <v>84</v>
      </c>
      <c r="G30">
        <v>0.57999999999999996</v>
      </c>
      <c r="H30">
        <f t="shared" si="0"/>
        <v>5.7852645907776074E-3</v>
      </c>
    </row>
    <row r="31" spans="1:8" x14ac:dyDescent="0.2">
      <c r="A31" s="2" t="s">
        <v>85</v>
      </c>
      <c r="B31">
        <v>5877</v>
      </c>
      <c r="C31">
        <v>6105</v>
      </c>
      <c r="D31">
        <v>6364</v>
      </c>
      <c r="E31">
        <v>5750</v>
      </c>
      <c r="F31" s="2" t="s">
        <v>86</v>
      </c>
      <c r="G31">
        <v>-5.45</v>
      </c>
      <c r="H31">
        <f t="shared" si="0"/>
        <v>-5.4536679536679539E-2</v>
      </c>
    </row>
    <row r="32" spans="1:8" x14ac:dyDescent="0.2">
      <c r="A32" s="2" t="s">
        <v>87</v>
      </c>
      <c r="B32">
        <v>6216</v>
      </c>
      <c r="C32">
        <v>6485</v>
      </c>
      <c r="D32">
        <v>6520</v>
      </c>
      <c r="E32">
        <v>5828</v>
      </c>
      <c r="F32" s="2" t="s">
        <v>88</v>
      </c>
      <c r="G32">
        <v>-7.24</v>
      </c>
      <c r="H32">
        <f t="shared" si="0"/>
        <v>-7.2377257125802119E-2</v>
      </c>
    </row>
    <row r="33" spans="1:8" x14ac:dyDescent="0.2">
      <c r="A33" s="2" t="s">
        <v>89</v>
      </c>
      <c r="B33">
        <v>6701</v>
      </c>
      <c r="C33">
        <v>6753</v>
      </c>
      <c r="D33">
        <v>6797</v>
      </c>
      <c r="E33">
        <v>6512</v>
      </c>
      <c r="F33" s="2" t="s">
        <v>90</v>
      </c>
      <c r="G33">
        <v>0.42</v>
      </c>
      <c r="H33">
        <f t="shared" si="0"/>
        <v>4.1960137869024427E-3</v>
      </c>
    </row>
    <row r="34" spans="1:8" x14ac:dyDescent="0.2">
      <c r="A34" s="2" t="s">
        <v>91</v>
      </c>
      <c r="B34">
        <v>6673</v>
      </c>
      <c r="C34">
        <v>6357</v>
      </c>
      <c r="D34">
        <v>6805</v>
      </c>
      <c r="E34">
        <v>6343</v>
      </c>
      <c r="F34" s="2" t="s">
        <v>92</v>
      </c>
      <c r="G34">
        <v>5.19</v>
      </c>
      <c r="H34">
        <f t="shared" ref="H34:H65" si="1">(B34-B35)/B35</f>
        <v>5.1860025220680957E-2</v>
      </c>
    </row>
    <row r="35" spans="1:8" x14ac:dyDescent="0.2">
      <c r="A35" s="2" t="s">
        <v>93</v>
      </c>
      <c r="B35">
        <v>6344</v>
      </c>
      <c r="C35">
        <v>7266</v>
      </c>
      <c r="D35">
        <v>7293</v>
      </c>
      <c r="E35">
        <v>6262</v>
      </c>
      <c r="F35" s="2" t="s">
        <v>94</v>
      </c>
      <c r="G35">
        <v>-8.82</v>
      </c>
      <c r="H35">
        <f t="shared" si="1"/>
        <v>-8.824374820350675E-2</v>
      </c>
    </row>
    <row r="36" spans="1:8" x14ac:dyDescent="0.2">
      <c r="A36" s="2" t="s">
        <v>95</v>
      </c>
      <c r="B36">
        <v>6958</v>
      </c>
      <c r="C36">
        <v>6948</v>
      </c>
      <c r="D36">
        <v>7046</v>
      </c>
      <c r="E36">
        <v>6617</v>
      </c>
      <c r="F36" s="2" t="s">
        <v>96</v>
      </c>
      <c r="G36">
        <v>1.77</v>
      </c>
      <c r="H36">
        <f t="shared" si="1"/>
        <v>1.7697820681585492E-2</v>
      </c>
    </row>
    <row r="37" spans="1:8" x14ac:dyDescent="0.2">
      <c r="A37" s="2" t="s">
        <v>97</v>
      </c>
      <c r="B37">
        <v>6837</v>
      </c>
      <c r="C37">
        <v>6608</v>
      </c>
      <c r="D37">
        <v>7092</v>
      </c>
      <c r="E37">
        <v>6575</v>
      </c>
      <c r="F37" s="2" t="s">
        <v>98</v>
      </c>
      <c r="G37">
        <v>5.75</v>
      </c>
      <c r="H37">
        <f t="shared" si="1"/>
        <v>5.754060324825986E-2</v>
      </c>
    </row>
    <row r="38" spans="1:8" x14ac:dyDescent="0.2">
      <c r="A38" s="2" t="s">
        <v>99</v>
      </c>
      <c r="B38">
        <v>6465</v>
      </c>
      <c r="C38">
        <v>6936</v>
      </c>
      <c r="D38">
        <v>7094</v>
      </c>
      <c r="E38">
        <v>6152</v>
      </c>
      <c r="F38" s="2" t="s">
        <v>100</v>
      </c>
      <c r="G38">
        <v>-5.45</v>
      </c>
      <c r="H38">
        <f t="shared" si="1"/>
        <v>-5.45481134834747E-2</v>
      </c>
    </row>
    <row r="39" spans="1:8" x14ac:dyDescent="0.2">
      <c r="A39" s="2" t="s">
        <v>101</v>
      </c>
      <c r="B39">
        <v>6838</v>
      </c>
      <c r="C39">
        <v>6838</v>
      </c>
      <c r="D39">
        <v>7169</v>
      </c>
      <c r="E39">
        <v>6691</v>
      </c>
      <c r="F39" s="2" t="s">
        <v>102</v>
      </c>
      <c r="G39">
        <v>-0.87</v>
      </c>
      <c r="H39">
        <f t="shared" si="1"/>
        <v>-8.6981733835894467E-3</v>
      </c>
    </row>
    <row r="40" spans="1:8" x14ac:dyDescent="0.2">
      <c r="A40" s="2" t="s">
        <v>103</v>
      </c>
      <c r="B40">
        <v>6898</v>
      </c>
      <c r="C40">
        <v>6725</v>
      </c>
      <c r="D40">
        <v>6965</v>
      </c>
      <c r="E40">
        <v>6568</v>
      </c>
      <c r="F40" s="2" t="s">
        <v>104</v>
      </c>
      <c r="G40">
        <v>3.42</v>
      </c>
      <c r="H40">
        <f t="shared" si="1"/>
        <v>3.4182908545727135E-2</v>
      </c>
    </row>
    <row r="41" spans="1:8" x14ac:dyDescent="0.2">
      <c r="A41" s="2" t="s">
        <v>105</v>
      </c>
      <c r="B41">
        <v>6670</v>
      </c>
      <c r="C41">
        <v>6824</v>
      </c>
      <c r="D41">
        <v>6848</v>
      </c>
      <c r="E41">
        <v>6580</v>
      </c>
      <c r="F41" s="2" t="s">
        <v>106</v>
      </c>
      <c r="G41">
        <v>-3.75</v>
      </c>
      <c r="H41">
        <f t="shared" si="1"/>
        <v>-3.751803751803752E-2</v>
      </c>
    </row>
    <row r="42" spans="1:8" x14ac:dyDescent="0.2">
      <c r="A42" s="2" t="s">
        <v>107</v>
      </c>
      <c r="B42">
        <v>6930</v>
      </c>
      <c r="C42">
        <v>6403</v>
      </c>
      <c r="D42">
        <v>7007</v>
      </c>
      <c r="E42">
        <v>6220</v>
      </c>
      <c r="F42" s="2" t="s">
        <v>108</v>
      </c>
      <c r="G42">
        <v>8.59</v>
      </c>
      <c r="H42">
        <f t="shared" si="1"/>
        <v>8.586649952992792E-2</v>
      </c>
    </row>
    <row r="43" spans="1:8" x14ac:dyDescent="0.2">
      <c r="A43" s="2" t="s">
        <v>109</v>
      </c>
      <c r="B43">
        <v>6382</v>
      </c>
      <c r="C43">
        <v>6772</v>
      </c>
      <c r="D43">
        <v>6844</v>
      </c>
      <c r="E43">
        <v>6340</v>
      </c>
      <c r="F43" s="2" t="s">
        <v>110</v>
      </c>
      <c r="G43">
        <v>-2.33</v>
      </c>
      <c r="H43">
        <f t="shared" si="1"/>
        <v>-2.3262932353841446E-2</v>
      </c>
    </row>
    <row r="44" spans="1:8" x14ac:dyDescent="0.2">
      <c r="A44" s="2" t="s">
        <v>111</v>
      </c>
      <c r="B44">
        <v>6534</v>
      </c>
      <c r="C44">
        <v>6337</v>
      </c>
      <c r="D44">
        <v>6700</v>
      </c>
      <c r="E44">
        <v>6223</v>
      </c>
      <c r="F44" s="2" t="s">
        <v>112</v>
      </c>
      <c r="G44">
        <v>5.39</v>
      </c>
      <c r="H44">
        <f t="shared" si="1"/>
        <v>5.3870967741935484E-2</v>
      </c>
    </row>
    <row r="45" spans="1:8" x14ac:dyDescent="0.2">
      <c r="A45" s="2" t="s">
        <v>113</v>
      </c>
      <c r="B45">
        <v>6200</v>
      </c>
      <c r="C45">
        <v>6189</v>
      </c>
      <c r="D45">
        <v>6298</v>
      </c>
      <c r="E45">
        <v>5935</v>
      </c>
      <c r="F45" s="2" t="s">
        <v>114</v>
      </c>
      <c r="G45">
        <v>1.54</v>
      </c>
      <c r="H45">
        <f t="shared" si="1"/>
        <v>1.53946937438585E-2</v>
      </c>
    </row>
    <row r="46" spans="1:8" x14ac:dyDescent="0.2">
      <c r="A46" s="2" t="s">
        <v>115</v>
      </c>
      <c r="B46">
        <v>6106</v>
      </c>
      <c r="C46">
        <v>6158</v>
      </c>
      <c r="D46">
        <v>6555</v>
      </c>
      <c r="E46">
        <v>6075</v>
      </c>
      <c r="F46" s="2" t="s">
        <v>116</v>
      </c>
      <c r="G46">
        <v>-2.2999999999999998</v>
      </c>
      <c r="H46">
        <f t="shared" si="1"/>
        <v>-2.3040000000000001E-2</v>
      </c>
    </row>
    <row r="47" spans="1:8" x14ac:dyDescent="0.2">
      <c r="A47" s="2" t="s">
        <v>117</v>
      </c>
      <c r="B47">
        <v>6250</v>
      </c>
      <c r="C47">
        <v>6040</v>
      </c>
      <c r="D47">
        <v>6408</v>
      </c>
      <c r="E47">
        <v>5982</v>
      </c>
      <c r="F47" s="2" t="s">
        <v>118</v>
      </c>
      <c r="G47">
        <v>4.4800000000000004</v>
      </c>
      <c r="H47">
        <f t="shared" si="1"/>
        <v>4.4801069876295556E-2</v>
      </c>
    </row>
    <row r="48" spans="1:8" x14ac:dyDescent="0.2">
      <c r="A48" s="2" t="s">
        <v>119</v>
      </c>
      <c r="B48">
        <v>5982</v>
      </c>
      <c r="C48">
        <v>6080</v>
      </c>
      <c r="D48">
        <v>6116</v>
      </c>
      <c r="E48">
        <v>5826</v>
      </c>
      <c r="F48" s="2" t="s">
        <v>120</v>
      </c>
      <c r="G48">
        <v>2.0499999999999998</v>
      </c>
      <c r="H48">
        <f t="shared" si="1"/>
        <v>2.0470829068577279E-2</v>
      </c>
    </row>
    <row r="49" spans="1:8" x14ac:dyDescent="0.2">
      <c r="A49" s="2" t="s">
        <v>121</v>
      </c>
      <c r="B49">
        <v>5862</v>
      </c>
      <c r="C49">
        <v>5723</v>
      </c>
      <c r="D49">
        <v>5880</v>
      </c>
      <c r="E49">
        <v>5642</v>
      </c>
      <c r="F49" s="2" t="s">
        <v>122</v>
      </c>
      <c r="G49">
        <v>6.64</v>
      </c>
      <c r="H49">
        <f t="shared" si="1"/>
        <v>6.6399854466072397E-2</v>
      </c>
    </row>
    <row r="50" spans="1:8" x14ac:dyDescent="0.2">
      <c r="A50" s="2" t="s">
        <v>123</v>
      </c>
      <c r="B50">
        <v>5497</v>
      </c>
      <c r="C50">
        <v>5148</v>
      </c>
      <c r="D50">
        <v>5525</v>
      </c>
      <c r="E50">
        <v>5091</v>
      </c>
      <c r="F50" s="2" t="s">
        <v>124</v>
      </c>
      <c r="G50">
        <v>8.81</v>
      </c>
      <c r="H50">
        <f t="shared" si="1"/>
        <v>8.8083927157561359E-2</v>
      </c>
    </row>
    <row r="51" spans="1:8" x14ac:dyDescent="0.2">
      <c r="A51" s="2" t="s">
        <v>125</v>
      </c>
      <c r="B51">
        <v>5052</v>
      </c>
      <c r="C51">
        <v>5087</v>
      </c>
      <c r="D51">
        <v>5123</v>
      </c>
      <c r="E51">
        <v>4976</v>
      </c>
      <c r="F51" s="2" t="s">
        <v>126</v>
      </c>
      <c r="G51">
        <v>0.16</v>
      </c>
      <c r="H51">
        <f t="shared" si="1"/>
        <v>1.5860428231562252E-3</v>
      </c>
    </row>
    <row r="52" spans="1:8" x14ac:dyDescent="0.2">
      <c r="A52" s="2" t="s">
        <v>127</v>
      </c>
      <c r="B52">
        <v>5044</v>
      </c>
      <c r="C52">
        <v>5198</v>
      </c>
      <c r="D52">
        <v>5225</v>
      </c>
      <c r="E52">
        <v>5040</v>
      </c>
      <c r="F52" s="2" t="s">
        <v>128</v>
      </c>
      <c r="G52">
        <v>-2.87</v>
      </c>
      <c r="H52">
        <f t="shared" si="1"/>
        <v>-2.8692470633545158E-2</v>
      </c>
    </row>
    <row r="53" spans="1:8" x14ac:dyDescent="0.2">
      <c r="A53" s="2" t="s">
        <v>129</v>
      </c>
      <c r="B53">
        <v>5193</v>
      </c>
      <c r="C53">
        <v>5237</v>
      </c>
      <c r="D53">
        <v>5387</v>
      </c>
      <c r="E53">
        <v>5162</v>
      </c>
      <c r="F53" s="2" t="s">
        <v>130</v>
      </c>
      <c r="G53">
        <v>-2.72</v>
      </c>
      <c r="H53">
        <f t="shared" si="1"/>
        <v>-2.7163731734732108E-2</v>
      </c>
    </row>
    <row r="54" spans="1:8" x14ac:dyDescent="0.2">
      <c r="A54" s="2" t="s">
        <v>131</v>
      </c>
      <c r="B54">
        <v>5338</v>
      </c>
      <c r="C54">
        <v>5454</v>
      </c>
      <c r="D54">
        <v>5460</v>
      </c>
      <c r="E54">
        <v>5208</v>
      </c>
      <c r="F54" s="2" t="s">
        <v>132</v>
      </c>
      <c r="G54">
        <v>-2.13</v>
      </c>
      <c r="H54">
        <f t="shared" si="1"/>
        <v>-2.1268793546021268E-2</v>
      </c>
    </row>
    <row r="55" spans="1:8" x14ac:dyDescent="0.2">
      <c r="A55" s="2" t="s">
        <v>133</v>
      </c>
      <c r="B55">
        <v>5454</v>
      </c>
      <c r="C55">
        <v>5376</v>
      </c>
      <c r="D55">
        <v>5527</v>
      </c>
      <c r="E55">
        <v>5340</v>
      </c>
      <c r="F55" s="2" t="s">
        <v>134</v>
      </c>
      <c r="G55">
        <v>0.61</v>
      </c>
      <c r="H55">
        <f t="shared" si="1"/>
        <v>6.0874377421140007E-3</v>
      </c>
    </row>
    <row r="56" spans="1:8" x14ac:dyDescent="0.2">
      <c r="A56" s="2" t="s">
        <v>135</v>
      </c>
      <c r="B56">
        <v>5421</v>
      </c>
      <c r="C56">
        <v>5383</v>
      </c>
      <c r="D56">
        <v>5550</v>
      </c>
      <c r="E56">
        <v>5334</v>
      </c>
      <c r="F56" s="2" t="s">
        <v>136</v>
      </c>
      <c r="G56">
        <v>-0.33</v>
      </c>
      <c r="H56">
        <f t="shared" si="1"/>
        <v>-3.3094318808604521E-3</v>
      </c>
    </row>
    <row r="57" spans="1:8" x14ac:dyDescent="0.2">
      <c r="A57" s="2" t="s">
        <v>137</v>
      </c>
      <c r="B57">
        <v>5439</v>
      </c>
      <c r="C57">
        <v>5454</v>
      </c>
      <c r="D57">
        <v>5525</v>
      </c>
      <c r="E57">
        <v>5376</v>
      </c>
      <c r="F57" s="2" t="s">
        <v>138</v>
      </c>
      <c r="G57">
        <v>0.78</v>
      </c>
      <c r="H57">
        <f t="shared" si="1"/>
        <v>7.7821011673151752E-3</v>
      </c>
    </row>
    <row r="58" spans="1:8" x14ac:dyDescent="0.2">
      <c r="A58" s="2" t="s">
        <v>139</v>
      </c>
      <c r="B58">
        <v>5397</v>
      </c>
      <c r="C58">
        <v>5218</v>
      </c>
      <c r="D58">
        <v>5447</v>
      </c>
      <c r="E58">
        <v>5218</v>
      </c>
      <c r="F58" s="2" t="s">
        <v>140</v>
      </c>
      <c r="G58">
        <v>3.71</v>
      </c>
      <c r="H58">
        <f t="shared" si="1"/>
        <v>3.7086856264411994E-2</v>
      </c>
    </row>
    <row r="59" spans="1:8" x14ac:dyDescent="0.2">
      <c r="A59" s="2" t="s">
        <v>141</v>
      </c>
      <c r="B59">
        <v>5204</v>
      </c>
      <c r="C59">
        <v>5344</v>
      </c>
      <c r="D59">
        <v>5511</v>
      </c>
      <c r="E59">
        <v>5141</v>
      </c>
      <c r="F59" s="2" t="s">
        <v>142</v>
      </c>
      <c r="G59">
        <v>0.02</v>
      </c>
      <c r="H59">
        <f t="shared" si="1"/>
        <v>1.9219680953296174E-4</v>
      </c>
    </row>
    <row r="60" spans="1:8" x14ac:dyDescent="0.2">
      <c r="A60" s="2" t="s">
        <v>143</v>
      </c>
      <c r="B60">
        <v>5203</v>
      </c>
      <c r="C60">
        <v>5413</v>
      </c>
      <c r="D60">
        <v>5576</v>
      </c>
      <c r="E60">
        <v>5202</v>
      </c>
      <c r="F60" s="2" t="s">
        <v>144</v>
      </c>
      <c r="G60">
        <v>-2.6</v>
      </c>
      <c r="H60">
        <f t="shared" si="1"/>
        <v>-2.6020217147135906E-2</v>
      </c>
    </row>
    <row r="61" spans="1:8" x14ac:dyDescent="0.2">
      <c r="A61" s="2" t="s">
        <v>145</v>
      </c>
      <c r="B61">
        <v>5342</v>
      </c>
      <c r="C61">
        <v>5255</v>
      </c>
      <c r="D61">
        <v>5387</v>
      </c>
      <c r="E61">
        <v>5210</v>
      </c>
      <c r="F61" s="2" t="s">
        <v>146</v>
      </c>
      <c r="G61">
        <v>0.3</v>
      </c>
      <c r="H61">
        <f t="shared" si="1"/>
        <v>3.0041306796845663E-3</v>
      </c>
    </row>
    <row r="62" spans="1:8" x14ac:dyDescent="0.2">
      <c r="A62" s="2" t="s">
        <v>147</v>
      </c>
      <c r="B62">
        <v>5326</v>
      </c>
      <c r="C62">
        <v>5707</v>
      </c>
      <c r="D62">
        <v>5782</v>
      </c>
      <c r="E62">
        <v>5304</v>
      </c>
      <c r="F62" s="2" t="s">
        <v>148</v>
      </c>
      <c r="G62">
        <v>-6</v>
      </c>
      <c r="H62">
        <f t="shared" si="1"/>
        <v>-6.0007059654076947E-2</v>
      </c>
    </row>
    <row r="63" spans="1:8" x14ac:dyDescent="0.2">
      <c r="A63" s="2" t="s">
        <v>149</v>
      </c>
      <c r="B63">
        <v>5666</v>
      </c>
      <c r="C63">
        <v>5955</v>
      </c>
      <c r="D63">
        <v>5975</v>
      </c>
      <c r="E63">
        <v>5576</v>
      </c>
      <c r="F63" s="2" t="s">
        <v>150</v>
      </c>
      <c r="G63">
        <v>-5.58</v>
      </c>
      <c r="H63">
        <f t="shared" si="1"/>
        <v>-5.5824029328445261E-2</v>
      </c>
    </row>
    <row r="64" spans="1:8" x14ac:dyDescent="0.2">
      <c r="A64" s="2" t="s">
        <v>151</v>
      </c>
      <c r="B64">
        <v>6001</v>
      </c>
      <c r="C64">
        <v>5729</v>
      </c>
      <c r="D64">
        <v>6024</v>
      </c>
      <c r="E64">
        <v>5665</v>
      </c>
      <c r="F64" s="2" t="s">
        <v>152</v>
      </c>
      <c r="G64">
        <v>3.41</v>
      </c>
      <c r="H64">
        <f t="shared" si="1"/>
        <v>3.4120282612441842E-2</v>
      </c>
    </row>
    <row r="65" spans="1:8" x14ac:dyDescent="0.2">
      <c r="A65" s="2" t="s">
        <v>153</v>
      </c>
      <c r="B65">
        <v>5803</v>
      </c>
      <c r="C65">
        <v>5976</v>
      </c>
      <c r="D65">
        <v>5990</v>
      </c>
      <c r="E65">
        <v>5730</v>
      </c>
      <c r="F65" s="2" t="s">
        <v>154</v>
      </c>
      <c r="G65">
        <v>-2.99</v>
      </c>
      <c r="H65">
        <f t="shared" si="1"/>
        <v>-2.9923102641257103E-2</v>
      </c>
    </row>
    <row r="66" spans="1:8" x14ac:dyDescent="0.2">
      <c r="A66" s="2" t="s">
        <v>155</v>
      </c>
      <c r="B66">
        <v>5982</v>
      </c>
      <c r="C66">
        <v>6005</v>
      </c>
      <c r="D66">
        <v>6225</v>
      </c>
      <c r="E66">
        <v>5926</v>
      </c>
      <c r="F66" s="2" t="s">
        <v>156</v>
      </c>
      <c r="G66">
        <v>-2.25</v>
      </c>
      <c r="H66">
        <f t="shared" ref="H66:H97" si="2">(B66-B67)/B67</f>
        <v>-2.2549019607843137E-2</v>
      </c>
    </row>
    <row r="67" spans="1:8" x14ac:dyDescent="0.2">
      <c r="A67" s="2" t="s">
        <v>157</v>
      </c>
      <c r="B67">
        <v>6120</v>
      </c>
      <c r="C67">
        <v>6108</v>
      </c>
      <c r="D67">
        <v>6147</v>
      </c>
      <c r="E67">
        <v>5898</v>
      </c>
      <c r="F67" s="2" t="s">
        <v>158</v>
      </c>
      <c r="G67">
        <v>-1.43</v>
      </c>
      <c r="H67">
        <f t="shared" si="2"/>
        <v>-1.4334031244966983E-2</v>
      </c>
    </row>
    <row r="68" spans="1:8" x14ac:dyDescent="0.2">
      <c r="A68" s="2" t="s">
        <v>159</v>
      </c>
      <c r="B68">
        <v>6209</v>
      </c>
      <c r="C68">
        <v>6364</v>
      </c>
      <c r="D68">
        <v>6389</v>
      </c>
      <c r="E68">
        <v>6184</v>
      </c>
      <c r="F68" s="2" t="s">
        <v>90</v>
      </c>
      <c r="G68">
        <v>0.47</v>
      </c>
      <c r="H68">
        <f t="shared" si="2"/>
        <v>4.6925566343042069E-3</v>
      </c>
    </row>
    <row r="69" spans="1:8" x14ac:dyDescent="0.2">
      <c r="A69" s="2" t="s">
        <v>160</v>
      </c>
      <c r="B69">
        <v>6180</v>
      </c>
      <c r="C69">
        <v>5879</v>
      </c>
      <c r="D69">
        <v>6225</v>
      </c>
      <c r="E69">
        <v>5792</v>
      </c>
      <c r="F69" s="2" t="s">
        <v>161</v>
      </c>
      <c r="G69">
        <v>5.26</v>
      </c>
      <c r="H69">
        <f t="shared" si="2"/>
        <v>5.2631578947368418E-2</v>
      </c>
    </row>
    <row r="70" spans="1:8" x14ac:dyDescent="0.2">
      <c r="A70" s="2" t="s">
        <v>162</v>
      </c>
      <c r="B70">
        <v>5871</v>
      </c>
      <c r="C70">
        <v>6032</v>
      </c>
      <c r="D70">
        <v>6032</v>
      </c>
      <c r="E70">
        <v>5724</v>
      </c>
      <c r="F70" s="2" t="s">
        <v>163</v>
      </c>
      <c r="G70">
        <v>-3.5</v>
      </c>
      <c r="H70">
        <f t="shared" si="2"/>
        <v>-3.5009861932938854E-2</v>
      </c>
    </row>
    <row r="71" spans="1:8" x14ac:dyDescent="0.2">
      <c r="A71" s="2" t="s">
        <v>164</v>
      </c>
      <c r="B71">
        <v>6084</v>
      </c>
      <c r="C71">
        <v>5827</v>
      </c>
      <c r="D71">
        <v>6166</v>
      </c>
      <c r="E71">
        <v>5820</v>
      </c>
      <c r="F71" s="2" t="s">
        <v>165</v>
      </c>
      <c r="G71">
        <v>4.72</v>
      </c>
      <c r="H71">
        <f t="shared" si="2"/>
        <v>4.7160068846815832E-2</v>
      </c>
    </row>
    <row r="72" spans="1:8" x14ac:dyDescent="0.2">
      <c r="A72" s="2" t="s">
        <v>166</v>
      </c>
      <c r="B72">
        <v>5810</v>
      </c>
      <c r="C72">
        <v>6044</v>
      </c>
      <c r="D72">
        <v>6050</v>
      </c>
      <c r="E72">
        <v>5810</v>
      </c>
      <c r="F72" s="2" t="s">
        <v>167</v>
      </c>
      <c r="G72">
        <v>-6.21</v>
      </c>
      <c r="H72">
        <f t="shared" si="2"/>
        <v>-6.2146892655367235E-2</v>
      </c>
    </row>
    <row r="73" spans="1:8" x14ac:dyDescent="0.2">
      <c r="A73" s="2" t="s">
        <v>168</v>
      </c>
      <c r="B73">
        <v>6195</v>
      </c>
      <c r="C73">
        <v>6051</v>
      </c>
      <c r="D73">
        <v>6230</v>
      </c>
      <c r="E73">
        <v>6024</v>
      </c>
      <c r="F73" s="2" t="s">
        <v>169</v>
      </c>
      <c r="G73">
        <v>2.99</v>
      </c>
      <c r="H73">
        <f t="shared" si="2"/>
        <v>2.9925187032418952E-2</v>
      </c>
    </row>
    <row r="74" spans="1:8" x14ac:dyDescent="0.2">
      <c r="A74" s="2" t="s">
        <v>170</v>
      </c>
      <c r="B74">
        <v>6015</v>
      </c>
      <c r="C74">
        <v>5877</v>
      </c>
      <c r="D74">
        <v>6103</v>
      </c>
      <c r="E74">
        <v>5872</v>
      </c>
      <c r="F74" s="2" t="s">
        <v>171</v>
      </c>
      <c r="G74">
        <v>3.33</v>
      </c>
      <c r="H74">
        <f t="shared" si="2"/>
        <v>3.3327606940388249E-2</v>
      </c>
    </row>
    <row r="75" spans="1:8" x14ac:dyDescent="0.2">
      <c r="A75" s="2" t="s">
        <v>172</v>
      </c>
      <c r="B75">
        <v>5821</v>
      </c>
      <c r="C75">
        <v>5819</v>
      </c>
      <c r="D75">
        <v>5880</v>
      </c>
      <c r="E75">
        <v>5601</v>
      </c>
      <c r="F75" s="2" t="s">
        <v>173</v>
      </c>
      <c r="G75">
        <v>-1.41</v>
      </c>
      <c r="H75">
        <f t="shared" si="2"/>
        <v>-1.4058265582655827E-2</v>
      </c>
    </row>
    <row r="76" spans="1:8" x14ac:dyDescent="0.2">
      <c r="A76" s="2" t="s">
        <v>174</v>
      </c>
      <c r="B76">
        <v>5904</v>
      </c>
      <c r="C76">
        <v>5678</v>
      </c>
      <c r="D76">
        <v>5949</v>
      </c>
      <c r="E76">
        <v>5598</v>
      </c>
      <c r="F76" s="2" t="s">
        <v>175</v>
      </c>
      <c r="G76">
        <v>6.82</v>
      </c>
      <c r="H76">
        <f t="shared" si="2"/>
        <v>6.8210602496833722E-2</v>
      </c>
    </row>
    <row r="77" spans="1:8" x14ac:dyDescent="0.2">
      <c r="A77" s="2" t="s">
        <v>176</v>
      </c>
      <c r="B77">
        <v>5527</v>
      </c>
      <c r="C77">
        <v>5666</v>
      </c>
      <c r="D77">
        <v>5730</v>
      </c>
      <c r="E77">
        <v>5322</v>
      </c>
      <c r="F77" s="2" t="s">
        <v>177</v>
      </c>
      <c r="G77">
        <v>-2.4900000000000002</v>
      </c>
      <c r="H77">
        <f t="shared" si="2"/>
        <v>-2.487649964714185E-2</v>
      </c>
    </row>
    <row r="78" spans="1:8" x14ac:dyDescent="0.2">
      <c r="A78" s="2" t="s">
        <v>178</v>
      </c>
      <c r="B78">
        <v>5668</v>
      </c>
      <c r="C78">
        <v>6425</v>
      </c>
      <c r="D78">
        <v>6524</v>
      </c>
      <c r="E78">
        <v>5660</v>
      </c>
      <c r="F78" s="2" t="s">
        <v>179</v>
      </c>
      <c r="G78">
        <v>-10.81</v>
      </c>
      <c r="H78">
        <f t="shared" si="2"/>
        <v>-0.10810385523210071</v>
      </c>
    </row>
    <row r="79" spans="1:8" x14ac:dyDescent="0.2">
      <c r="A79" s="2" t="s">
        <v>180</v>
      </c>
      <c r="B79">
        <v>6355</v>
      </c>
      <c r="C79">
        <v>6200</v>
      </c>
      <c r="D79">
        <v>6620</v>
      </c>
      <c r="E79">
        <v>6032</v>
      </c>
      <c r="F79" s="2" t="s">
        <v>181</v>
      </c>
      <c r="G79">
        <v>8.61</v>
      </c>
      <c r="H79">
        <f t="shared" si="2"/>
        <v>8.6139121517689279E-2</v>
      </c>
    </row>
    <row r="80" spans="1:8" x14ac:dyDescent="0.2">
      <c r="A80" s="2" t="s">
        <v>182</v>
      </c>
      <c r="B80">
        <v>5851</v>
      </c>
      <c r="C80">
        <v>5685</v>
      </c>
      <c r="D80">
        <v>6048</v>
      </c>
      <c r="E80">
        <v>5603</v>
      </c>
      <c r="F80" s="2" t="s">
        <v>183</v>
      </c>
      <c r="G80">
        <v>2.69</v>
      </c>
      <c r="H80">
        <f t="shared" si="2"/>
        <v>2.6851526851526853E-2</v>
      </c>
    </row>
    <row r="81" spans="1:8" x14ac:dyDescent="0.2">
      <c r="A81" s="2" t="s">
        <v>184</v>
      </c>
      <c r="B81">
        <v>5698</v>
      </c>
      <c r="C81">
        <v>5811</v>
      </c>
      <c r="D81">
        <v>5875</v>
      </c>
      <c r="E81">
        <v>5552</v>
      </c>
      <c r="F81" s="2" t="s">
        <v>185</v>
      </c>
      <c r="G81">
        <v>-2.83</v>
      </c>
      <c r="H81">
        <f t="shared" si="2"/>
        <v>-2.8308321964529332E-2</v>
      </c>
    </row>
    <row r="82" spans="1:8" x14ac:dyDescent="0.2">
      <c r="A82" s="2" t="s">
        <v>186</v>
      </c>
      <c r="B82">
        <v>5864</v>
      </c>
      <c r="C82">
        <v>5753</v>
      </c>
      <c r="D82">
        <v>5984</v>
      </c>
      <c r="E82">
        <v>5490</v>
      </c>
      <c r="F82" s="2" t="s">
        <v>187</v>
      </c>
      <c r="G82">
        <v>1.91</v>
      </c>
      <c r="H82">
        <f t="shared" si="2"/>
        <v>1.9117135905457074E-2</v>
      </c>
    </row>
    <row r="83" spans="1:8" x14ac:dyDescent="0.2">
      <c r="A83" s="2" t="s">
        <v>188</v>
      </c>
      <c r="B83">
        <v>5754</v>
      </c>
      <c r="C83">
        <v>6016</v>
      </c>
      <c r="D83">
        <v>6120</v>
      </c>
      <c r="E83">
        <v>5669</v>
      </c>
      <c r="F83" s="2" t="s">
        <v>189</v>
      </c>
      <c r="G83">
        <v>-3.65</v>
      </c>
      <c r="H83">
        <f t="shared" si="2"/>
        <v>-3.6503683858004017E-2</v>
      </c>
    </row>
    <row r="84" spans="1:8" x14ac:dyDescent="0.2">
      <c r="A84" s="2" t="s">
        <v>190</v>
      </c>
      <c r="B84">
        <v>5972</v>
      </c>
      <c r="C84">
        <v>6202</v>
      </c>
      <c r="D84">
        <v>6235</v>
      </c>
      <c r="E84">
        <v>5794</v>
      </c>
      <c r="F84" s="2" t="s">
        <v>191</v>
      </c>
      <c r="G84">
        <v>-3.6</v>
      </c>
      <c r="H84">
        <f t="shared" si="2"/>
        <v>-3.5996771589991927E-2</v>
      </c>
    </row>
    <row r="85" spans="1:8" x14ac:dyDescent="0.2">
      <c r="A85" s="2" t="s">
        <v>192</v>
      </c>
      <c r="B85">
        <v>6195</v>
      </c>
      <c r="C85">
        <v>6336</v>
      </c>
      <c r="D85">
        <v>6375</v>
      </c>
      <c r="E85">
        <v>6112</v>
      </c>
      <c r="F85" s="2" t="s">
        <v>193</v>
      </c>
      <c r="G85">
        <v>-3.47</v>
      </c>
      <c r="H85">
        <f t="shared" si="2"/>
        <v>-3.4746026799626052E-2</v>
      </c>
    </row>
    <row r="86" spans="1:8" x14ac:dyDescent="0.2">
      <c r="A86" s="2" t="s">
        <v>194</v>
      </c>
      <c r="B86">
        <v>6418</v>
      </c>
      <c r="C86">
        <v>6155</v>
      </c>
      <c r="D86">
        <v>6595</v>
      </c>
      <c r="E86">
        <v>6042</v>
      </c>
      <c r="F86" s="2" t="s">
        <v>195</v>
      </c>
      <c r="G86">
        <v>9.52</v>
      </c>
      <c r="H86">
        <f t="shared" si="2"/>
        <v>9.5221843003412965E-2</v>
      </c>
    </row>
    <row r="87" spans="1:8" x14ac:dyDescent="0.2">
      <c r="A87" s="2" t="s">
        <v>196</v>
      </c>
      <c r="B87">
        <v>5860</v>
      </c>
      <c r="C87">
        <v>5050</v>
      </c>
      <c r="D87">
        <v>5982</v>
      </c>
      <c r="E87">
        <v>5050</v>
      </c>
      <c r="F87" s="2" t="s">
        <v>197</v>
      </c>
      <c r="G87">
        <v>12.8</v>
      </c>
      <c r="H87">
        <f t="shared" si="2"/>
        <v>0.12800769971126083</v>
      </c>
    </row>
    <row r="88" spans="1:8" x14ac:dyDescent="0.2">
      <c r="A88" s="2" t="s">
        <v>198</v>
      </c>
      <c r="B88">
        <v>5195</v>
      </c>
      <c r="C88">
        <v>5639</v>
      </c>
      <c r="D88">
        <v>5645</v>
      </c>
      <c r="E88">
        <v>5184</v>
      </c>
      <c r="F88" s="2" t="s">
        <v>199</v>
      </c>
      <c r="G88">
        <v>-5.43</v>
      </c>
      <c r="H88">
        <f t="shared" si="2"/>
        <v>-5.4250864736937923E-2</v>
      </c>
    </row>
    <row r="89" spans="1:8" x14ac:dyDescent="0.2">
      <c r="A89" s="2" t="s">
        <v>200</v>
      </c>
      <c r="B89">
        <v>5493</v>
      </c>
      <c r="C89">
        <v>5508</v>
      </c>
      <c r="D89">
        <v>5576</v>
      </c>
      <c r="E89">
        <v>5358</v>
      </c>
      <c r="F89" s="2" t="s">
        <v>201</v>
      </c>
      <c r="G89">
        <v>0.05</v>
      </c>
      <c r="H89">
        <f t="shared" si="2"/>
        <v>5.4644808743169399E-4</v>
      </c>
    </row>
    <row r="90" spans="1:8" x14ac:dyDescent="0.2">
      <c r="A90" s="2" t="s">
        <v>202</v>
      </c>
      <c r="B90">
        <v>5490</v>
      </c>
      <c r="C90">
        <v>5583</v>
      </c>
      <c r="D90">
        <v>5754</v>
      </c>
      <c r="E90">
        <v>5402</v>
      </c>
      <c r="F90" s="2" t="s">
        <v>203</v>
      </c>
      <c r="G90">
        <v>-4.79</v>
      </c>
      <c r="H90">
        <f t="shared" si="2"/>
        <v>-4.7866805411030174E-2</v>
      </c>
    </row>
    <row r="91" spans="1:8" x14ac:dyDescent="0.2">
      <c r="A91" s="2" t="s">
        <v>204</v>
      </c>
      <c r="B91">
        <v>5766</v>
      </c>
      <c r="C91">
        <v>6221</v>
      </c>
      <c r="D91">
        <v>6221</v>
      </c>
      <c r="E91">
        <v>5715</v>
      </c>
      <c r="F91" s="2" t="s">
        <v>205</v>
      </c>
      <c r="G91">
        <v>-8.61</v>
      </c>
      <c r="H91">
        <f t="shared" si="2"/>
        <v>-8.6067522586780784E-2</v>
      </c>
    </row>
    <row r="92" spans="1:8" x14ac:dyDescent="0.2">
      <c r="A92" s="2" t="s">
        <v>206</v>
      </c>
      <c r="B92">
        <v>6309</v>
      </c>
      <c r="C92">
        <v>6478</v>
      </c>
      <c r="D92">
        <v>6495</v>
      </c>
      <c r="E92">
        <v>6145</v>
      </c>
      <c r="F92" s="2" t="s">
        <v>207</v>
      </c>
      <c r="G92">
        <v>-2.82</v>
      </c>
      <c r="H92">
        <f t="shared" si="2"/>
        <v>-2.8188539741219962E-2</v>
      </c>
    </row>
    <row r="93" spans="1:8" x14ac:dyDescent="0.2">
      <c r="A93" s="2" t="s">
        <v>208</v>
      </c>
      <c r="B93">
        <v>6492</v>
      </c>
      <c r="C93">
        <v>6697</v>
      </c>
      <c r="D93">
        <v>6710</v>
      </c>
      <c r="E93">
        <v>6288</v>
      </c>
      <c r="F93" s="2" t="s">
        <v>209</v>
      </c>
      <c r="G93">
        <v>0.98</v>
      </c>
      <c r="H93">
        <f t="shared" si="2"/>
        <v>9.7993467102193196E-3</v>
      </c>
    </row>
    <row r="94" spans="1:8" x14ac:dyDescent="0.2">
      <c r="A94" s="2" t="s">
        <v>210</v>
      </c>
      <c r="B94">
        <v>6429</v>
      </c>
      <c r="C94">
        <v>6544</v>
      </c>
      <c r="D94">
        <v>6560</v>
      </c>
      <c r="E94">
        <v>6330</v>
      </c>
      <c r="F94" s="2" t="s">
        <v>211</v>
      </c>
      <c r="G94">
        <v>-1</v>
      </c>
      <c r="H94">
        <f t="shared" si="2"/>
        <v>-1.0009239297813366E-2</v>
      </c>
    </row>
    <row r="95" spans="1:8" x14ac:dyDescent="0.2">
      <c r="A95" s="2" t="s">
        <v>212</v>
      </c>
      <c r="B95">
        <v>6494</v>
      </c>
      <c r="C95">
        <v>6559</v>
      </c>
      <c r="D95">
        <v>6778</v>
      </c>
      <c r="E95">
        <v>6427</v>
      </c>
      <c r="F95" s="2" t="s">
        <v>213</v>
      </c>
      <c r="G95">
        <v>-0.96</v>
      </c>
      <c r="H95">
        <f t="shared" si="2"/>
        <v>-9.6080524630166239E-3</v>
      </c>
    </row>
    <row r="96" spans="1:8" x14ac:dyDescent="0.2">
      <c r="A96" s="2" t="s">
        <v>214</v>
      </c>
      <c r="B96">
        <v>6557</v>
      </c>
      <c r="C96">
        <v>6743</v>
      </c>
      <c r="D96">
        <v>6773</v>
      </c>
      <c r="E96">
        <v>6240</v>
      </c>
      <c r="F96" s="2" t="s">
        <v>215</v>
      </c>
      <c r="G96">
        <v>-7.4</v>
      </c>
      <c r="H96">
        <f t="shared" si="2"/>
        <v>-7.4000847337946624E-2</v>
      </c>
    </row>
    <row r="97" spans="1:8" x14ac:dyDescent="0.2">
      <c r="A97" s="2" t="s">
        <v>216</v>
      </c>
      <c r="B97">
        <v>7081</v>
      </c>
      <c r="C97">
        <v>6995</v>
      </c>
      <c r="D97">
        <v>7259</v>
      </c>
      <c r="E97">
        <v>6936</v>
      </c>
      <c r="F97" s="2" t="s">
        <v>217</v>
      </c>
      <c r="G97">
        <v>3.45</v>
      </c>
      <c r="H97">
        <f t="shared" si="2"/>
        <v>3.4477720964207453E-2</v>
      </c>
    </row>
    <row r="98" spans="1:8" x14ac:dyDescent="0.2">
      <c r="A98" s="2" t="s">
        <v>218</v>
      </c>
      <c r="B98">
        <v>6845</v>
      </c>
      <c r="C98">
        <v>7088</v>
      </c>
      <c r="D98">
        <v>7146</v>
      </c>
      <c r="E98">
        <v>6810</v>
      </c>
      <c r="F98" s="2" t="s">
        <v>219</v>
      </c>
      <c r="G98">
        <v>-1.93</v>
      </c>
      <c r="H98">
        <f t="shared" ref="H98:H127" si="3">(B98-B99)/B99</f>
        <v>-1.9340974212034383E-2</v>
      </c>
    </row>
    <row r="99" spans="1:8" x14ac:dyDescent="0.2">
      <c r="A99" s="2" t="s">
        <v>220</v>
      </c>
      <c r="B99">
        <v>6980</v>
      </c>
      <c r="C99">
        <v>7207</v>
      </c>
      <c r="D99">
        <v>7348</v>
      </c>
      <c r="E99">
        <v>6631</v>
      </c>
      <c r="F99" s="2" t="s">
        <v>221</v>
      </c>
      <c r="G99">
        <v>-5.82</v>
      </c>
      <c r="H99">
        <f t="shared" si="3"/>
        <v>-5.8156793954931861E-2</v>
      </c>
    </row>
    <row r="100" spans="1:8" x14ac:dyDescent="0.2">
      <c r="A100" s="2" t="s">
        <v>222</v>
      </c>
      <c r="B100">
        <v>7411</v>
      </c>
      <c r="C100">
        <v>8037</v>
      </c>
      <c r="D100">
        <v>8089</v>
      </c>
      <c r="E100">
        <v>7324</v>
      </c>
      <c r="F100" s="2" t="s">
        <v>223</v>
      </c>
      <c r="G100">
        <v>-10.6</v>
      </c>
      <c r="H100">
        <f t="shared" si="3"/>
        <v>-0.1060313630880579</v>
      </c>
    </row>
    <row r="101" spans="1:8" x14ac:dyDescent="0.2">
      <c r="A101" s="2" t="s">
        <v>224</v>
      </c>
      <c r="B101">
        <v>8290</v>
      </c>
      <c r="C101">
        <v>8350</v>
      </c>
      <c r="D101">
        <v>8399</v>
      </c>
      <c r="E101">
        <v>7805</v>
      </c>
      <c r="F101" s="2" t="s">
        <v>225</v>
      </c>
      <c r="G101">
        <v>2.61</v>
      </c>
      <c r="H101">
        <f t="shared" si="3"/>
        <v>2.6117093699715311E-2</v>
      </c>
    </row>
    <row r="102" spans="1:8" x14ac:dyDescent="0.2">
      <c r="A102" s="2" t="s">
        <v>226</v>
      </c>
      <c r="B102">
        <v>8079</v>
      </c>
      <c r="C102">
        <v>8039</v>
      </c>
      <c r="D102">
        <v>8415</v>
      </c>
      <c r="E102">
        <v>7880</v>
      </c>
      <c r="F102" s="2" t="s">
        <v>227</v>
      </c>
      <c r="G102">
        <v>-3.64</v>
      </c>
      <c r="H102">
        <f t="shared" si="3"/>
        <v>-3.6378816793893133E-2</v>
      </c>
    </row>
    <row r="103" spans="1:8" x14ac:dyDescent="0.2">
      <c r="A103" s="2" t="s">
        <v>228</v>
      </c>
      <c r="B103">
        <v>8384</v>
      </c>
      <c r="C103">
        <v>9193</v>
      </c>
      <c r="D103">
        <v>9199</v>
      </c>
      <c r="E103">
        <v>8333</v>
      </c>
      <c r="F103" s="2" t="s">
        <v>229</v>
      </c>
      <c r="G103">
        <v>-6.69</v>
      </c>
      <c r="H103">
        <f t="shared" si="3"/>
        <v>-6.6889259877573728E-2</v>
      </c>
    </row>
    <row r="104" spans="1:8" x14ac:dyDescent="0.2">
      <c r="A104" s="2" t="s">
        <v>230</v>
      </c>
      <c r="B104">
        <v>8985</v>
      </c>
      <c r="C104">
        <v>9671</v>
      </c>
      <c r="D104">
        <v>9700</v>
      </c>
      <c r="E104">
        <v>8650</v>
      </c>
      <c r="F104" s="2" t="s">
        <v>231</v>
      </c>
      <c r="G104">
        <v>-8.92</v>
      </c>
      <c r="H104">
        <f t="shared" si="3"/>
        <v>-8.9204257475924989E-2</v>
      </c>
    </row>
    <row r="105" spans="1:8" x14ac:dyDescent="0.2">
      <c r="A105" s="2" t="s">
        <v>232</v>
      </c>
      <c r="B105">
        <v>9865</v>
      </c>
      <c r="C105">
        <v>9779</v>
      </c>
      <c r="D105">
        <v>10025</v>
      </c>
      <c r="E105">
        <v>8860</v>
      </c>
      <c r="F105" s="2" t="s">
        <v>233</v>
      </c>
      <c r="G105">
        <v>3.78</v>
      </c>
      <c r="H105">
        <f t="shared" si="3"/>
        <v>3.7765621712602566E-2</v>
      </c>
    </row>
    <row r="106" spans="1:8" x14ac:dyDescent="0.2">
      <c r="A106" s="2" t="s">
        <v>234</v>
      </c>
      <c r="B106">
        <v>9506</v>
      </c>
      <c r="C106">
        <v>8680</v>
      </c>
      <c r="D106">
        <v>9897</v>
      </c>
      <c r="E106">
        <v>8550</v>
      </c>
      <c r="F106" s="2" t="s">
        <v>235</v>
      </c>
      <c r="G106">
        <v>21.34</v>
      </c>
      <c r="H106">
        <f t="shared" si="3"/>
        <v>0.21342864437069187</v>
      </c>
    </row>
    <row r="107" spans="1:8" x14ac:dyDescent="0.2">
      <c r="A107" s="2" t="s">
        <v>236</v>
      </c>
      <c r="B107">
        <v>7834</v>
      </c>
      <c r="C107">
        <v>7441</v>
      </c>
      <c r="D107">
        <v>8492</v>
      </c>
      <c r="E107">
        <v>7343</v>
      </c>
      <c r="F107" s="2" t="s">
        <v>237</v>
      </c>
      <c r="G107">
        <v>8.3699999999999992</v>
      </c>
      <c r="H107">
        <f t="shared" si="3"/>
        <v>8.3690690275280116E-2</v>
      </c>
    </row>
    <row r="108" spans="1:8" x14ac:dyDescent="0.2">
      <c r="A108" s="2" t="s">
        <v>238</v>
      </c>
      <c r="B108">
        <v>7229</v>
      </c>
      <c r="C108">
        <v>7365</v>
      </c>
      <c r="D108">
        <v>7832</v>
      </c>
      <c r="E108">
        <v>7152</v>
      </c>
      <c r="F108" s="2" t="s">
        <v>239</v>
      </c>
      <c r="G108">
        <v>2.41</v>
      </c>
      <c r="H108">
        <f t="shared" si="3"/>
        <v>2.4082731265051706E-2</v>
      </c>
    </row>
    <row r="109" spans="1:8" x14ac:dyDescent="0.2">
      <c r="A109" s="2" t="s">
        <v>240</v>
      </c>
      <c r="B109">
        <v>7059</v>
      </c>
      <c r="C109">
        <v>7524</v>
      </c>
      <c r="D109">
        <v>7597</v>
      </c>
      <c r="E109">
        <v>6961</v>
      </c>
      <c r="F109" s="2" t="s">
        <v>241</v>
      </c>
      <c r="G109">
        <v>-4.3099999999999996</v>
      </c>
      <c r="H109">
        <f t="shared" si="3"/>
        <v>-4.3106954046360307E-2</v>
      </c>
    </row>
    <row r="110" spans="1:8" x14ac:dyDescent="0.2">
      <c r="A110" s="2" t="s">
        <v>242</v>
      </c>
      <c r="B110">
        <v>7377</v>
      </c>
      <c r="C110">
        <v>7590</v>
      </c>
      <c r="D110">
        <v>7953</v>
      </c>
      <c r="E110">
        <v>7220</v>
      </c>
      <c r="F110" s="2" t="s">
        <v>243</v>
      </c>
      <c r="G110">
        <v>-0.75</v>
      </c>
      <c r="H110">
        <f t="shared" si="3"/>
        <v>-7.533970133189829E-3</v>
      </c>
    </row>
    <row r="111" spans="1:8" x14ac:dyDescent="0.2">
      <c r="A111" s="2" t="s">
        <v>244</v>
      </c>
      <c r="B111">
        <v>7433</v>
      </c>
      <c r="C111">
        <v>7330</v>
      </c>
      <c r="D111">
        <v>7493</v>
      </c>
      <c r="E111">
        <v>7146</v>
      </c>
      <c r="F111" s="2" t="s">
        <v>245</v>
      </c>
      <c r="G111">
        <v>3.96</v>
      </c>
      <c r="H111">
        <f t="shared" si="3"/>
        <v>3.9580419580419579E-2</v>
      </c>
    </row>
    <row r="112" spans="1:8" x14ac:dyDescent="0.2">
      <c r="A112" s="2" t="s">
        <v>246</v>
      </c>
      <c r="B112">
        <v>7150</v>
      </c>
      <c r="C112">
        <v>7200</v>
      </c>
      <c r="D112">
        <v>7560</v>
      </c>
      <c r="E112">
        <v>7033</v>
      </c>
      <c r="F112" s="2" t="s">
        <v>247</v>
      </c>
      <c r="G112">
        <v>0.76</v>
      </c>
      <c r="H112">
        <f t="shared" si="3"/>
        <v>7.6099210822998869E-3</v>
      </c>
    </row>
    <row r="113" spans="1:8" x14ac:dyDescent="0.2">
      <c r="A113" s="2" t="s">
        <v>248</v>
      </c>
      <c r="B113">
        <v>7096</v>
      </c>
      <c r="C113">
        <v>6880</v>
      </c>
      <c r="D113">
        <v>7174</v>
      </c>
      <c r="E113">
        <v>6742</v>
      </c>
      <c r="F113" s="2" t="s">
        <v>249</v>
      </c>
      <c r="G113">
        <v>4.92</v>
      </c>
      <c r="H113">
        <f t="shared" si="3"/>
        <v>4.9238503622652668E-2</v>
      </c>
    </row>
    <row r="114" spans="1:8" x14ac:dyDescent="0.2">
      <c r="A114" s="2" t="s">
        <v>250</v>
      </c>
      <c r="B114">
        <v>6763</v>
      </c>
      <c r="C114">
        <v>6604</v>
      </c>
      <c r="D114">
        <v>6799</v>
      </c>
      <c r="E114">
        <v>6558</v>
      </c>
      <c r="F114" s="2" t="s">
        <v>251</v>
      </c>
      <c r="G114">
        <v>0.83</v>
      </c>
      <c r="H114">
        <f t="shared" si="3"/>
        <v>8.3494856120471146E-3</v>
      </c>
    </row>
    <row r="115" spans="1:8" x14ac:dyDescent="0.2">
      <c r="A115" s="2" t="s">
        <v>252</v>
      </c>
      <c r="B115">
        <v>6707</v>
      </c>
      <c r="C115">
        <v>6799</v>
      </c>
      <c r="D115">
        <v>6893</v>
      </c>
      <c r="E115">
        <v>6591</v>
      </c>
      <c r="F115" s="2" t="s">
        <v>253</v>
      </c>
      <c r="G115">
        <v>-1.63</v>
      </c>
      <c r="H115">
        <f t="shared" si="3"/>
        <v>-1.6280434144910531E-2</v>
      </c>
    </row>
    <row r="116" spans="1:8" x14ac:dyDescent="0.2">
      <c r="A116" s="2" t="s">
        <v>254</v>
      </c>
      <c r="B116">
        <v>6818</v>
      </c>
      <c r="C116">
        <v>6932</v>
      </c>
      <c r="D116">
        <v>6950</v>
      </c>
      <c r="E116">
        <v>6617</v>
      </c>
      <c r="F116" s="2" t="s">
        <v>255</v>
      </c>
      <c r="G116">
        <v>-0.66</v>
      </c>
      <c r="H116">
        <f t="shared" si="3"/>
        <v>-6.556899315168294E-3</v>
      </c>
    </row>
    <row r="117" spans="1:8" x14ac:dyDescent="0.2">
      <c r="A117" s="2" t="s">
        <v>256</v>
      </c>
      <c r="B117">
        <v>6863</v>
      </c>
      <c r="C117">
        <v>7700</v>
      </c>
      <c r="D117">
        <v>7747</v>
      </c>
      <c r="E117">
        <v>6857</v>
      </c>
      <c r="F117" s="2" t="s">
        <v>257</v>
      </c>
      <c r="G117">
        <v>-11.02</v>
      </c>
      <c r="H117">
        <f t="shared" si="3"/>
        <v>-0.11020355244392584</v>
      </c>
    </row>
    <row r="118" spans="1:8" x14ac:dyDescent="0.2">
      <c r="A118" s="2" t="s">
        <v>258</v>
      </c>
      <c r="B118">
        <v>7713</v>
      </c>
      <c r="C118">
        <v>7050</v>
      </c>
      <c r="D118">
        <v>8223</v>
      </c>
      <c r="E118">
        <v>6880</v>
      </c>
      <c r="F118" s="2" t="s">
        <v>259</v>
      </c>
      <c r="G118">
        <v>8.2799999999999994</v>
      </c>
      <c r="H118">
        <f t="shared" si="3"/>
        <v>8.2830268145444336E-2</v>
      </c>
    </row>
    <row r="119" spans="1:8" x14ac:dyDescent="0.2">
      <c r="A119" s="2" t="s">
        <v>260</v>
      </c>
      <c r="B119">
        <v>7123</v>
      </c>
      <c r="C119">
        <v>7642</v>
      </c>
      <c r="D119">
        <v>7717</v>
      </c>
      <c r="E119">
        <v>7058</v>
      </c>
      <c r="F119" s="2" t="s">
        <v>261</v>
      </c>
      <c r="G119">
        <v>-4.6500000000000004</v>
      </c>
      <c r="H119">
        <f t="shared" si="3"/>
        <v>-4.64524765729585E-2</v>
      </c>
    </row>
    <row r="120" spans="1:8" x14ac:dyDescent="0.2">
      <c r="A120" s="2" t="s">
        <v>262</v>
      </c>
      <c r="B120">
        <v>7470</v>
      </c>
      <c r="C120">
        <v>7400</v>
      </c>
      <c r="D120">
        <v>7669</v>
      </c>
      <c r="E120">
        <v>7276</v>
      </c>
      <c r="F120" s="2" t="s">
        <v>263</v>
      </c>
      <c r="G120">
        <v>2.02</v>
      </c>
      <c r="H120">
        <f t="shared" si="3"/>
        <v>2.0213056541928436E-2</v>
      </c>
    </row>
    <row r="121" spans="1:8" x14ac:dyDescent="0.2">
      <c r="A121" s="2" t="s">
        <v>264</v>
      </c>
      <c r="B121">
        <v>7322</v>
      </c>
      <c r="C121">
        <v>7191</v>
      </c>
      <c r="D121">
        <v>7330</v>
      </c>
      <c r="E121">
        <v>6953</v>
      </c>
      <c r="F121" s="2" t="s">
        <v>265</v>
      </c>
      <c r="G121">
        <v>0</v>
      </c>
      <c r="H121">
        <f t="shared" si="3"/>
        <v>0</v>
      </c>
    </row>
    <row r="122" spans="1:8" x14ac:dyDescent="0.2">
      <c r="A122" s="2" t="s">
        <v>266</v>
      </c>
      <c r="B122">
        <v>7322</v>
      </c>
      <c r="C122">
        <v>7300</v>
      </c>
      <c r="D122">
        <v>7592</v>
      </c>
      <c r="E122">
        <v>7050</v>
      </c>
      <c r="F122" s="2" t="s">
        <v>267</v>
      </c>
      <c r="G122">
        <v>1.51</v>
      </c>
      <c r="H122">
        <f t="shared" si="3"/>
        <v>1.5111604048246222E-2</v>
      </c>
    </row>
    <row r="123" spans="1:8" x14ac:dyDescent="0.2">
      <c r="A123" s="2" t="s">
        <v>268</v>
      </c>
      <c r="B123">
        <v>7213</v>
      </c>
      <c r="C123">
        <v>6807</v>
      </c>
      <c r="D123">
        <v>7215</v>
      </c>
      <c r="E123">
        <v>6638</v>
      </c>
      <c r="F123" s="2" t="s">
        <v>269</v>
      </c>
      <c r="G123">
        <v>7.96</v>
      </c>
      <c r="H123">
        <f t="shared" si="3"/>
        <v>7.9628798084119143E-2</v>
      </c>
    </row>
    <row r="124" spans="1:8" x14ac:dyDescent="0.2">
      <c r="A124" s="2" t="s">
        <v>270</v>
      </c>
      <c r="B124">
        <v>6681</v>
      </c>
      <c r="C124">
        <v>6800</v>
      </c>
      <c r="D124">
        <v>6910</v>
      </c>
      <c r="E124">
        <v>6525</v>
      </c>
      <c r="F124" s="2" t="s">
        <v>271</v>
      </c>
      <c r="G124">
        <v>1.26</v>
      </c>
      <c r="H124">
        <f t="shared" si="3"/>
        <v>1.2579569566535314E-2</v>
      </c>
    </row>
    <row r="125" spans="1:8" x14ac:dyDescent="0.2">
      <c r="A125" s="2" t="s">
        <v>272</v>
      </c>
      <c r="B125">
        <v>6598</v>
      </c>
      <c r="C125">
        <v>6718</v>
      </c>
      <c r="D125">
        <v>6794</v>
      </c>
      <c r="E125">
        <v>6568</v>
      </c>
      <c r="F125" s="2" t="s">
        <v>273</v>
      </c>
      <c r="G125">
        <v>0.06</v>
      </c>
      <c r="H125">
        <f t="shared" si="3"/>
        <v>6.0661207158022447E-4</v>
      </c>
    </row>
    <row r="126" spans="1:8" x14ac:dyDescent="0.2">
      <c r="A126" s="2" t="s">
        <v>274</v>
      </c>
      <c r="B126">
        <v>6594</v>
      </c>
      <c r="C126">
        <v>6601</v>
      </c>
      <c r="D126">
        <v>6734</v>
      </c>
      <c r="E126">
        <v>6441</v>
      </c>
      <c r="F126" s="2" t="s">
        <v>275</v>
      </c>
      <c r="G126">
        <v>3.83</v>
      </c>
      <c r="H126">
        <f t="shared" si="3"/>
        <v>3.8261691072272085E-2</v>
      </c>
    </row>
    <row r="127" spans="1:8" x14ac:dyDescent="0.2">
      <c r="A127" s="2" t="s">
        <v>276</v>
      </c>
      <c r="B127">
        <v>6351</v>
      </c>
      <c r="C127">
        <v>6340</v>
      </c>
      <c r="D127">
        <v>6417</v>
      </c>
      <c r="E127">
        <v>6257</v>
      </c>
      <c r="F127" s="2" t="s">
        <v>277</v>
      </c>
      <c r="G127">
        <v>0.76</v>
      </c>
      <c r="H127" t="e">
        <f t="shared" si="3"/>
        <v>#DIV/0!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B64B44-2E7D-9A48-AC99-BECE50D427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3month</vt:lpstr>
      <vt:lpstr>6month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Quartucci Davide</dc:creator>
  <cp:lastModifiedBy>Quartucci Davide</cp:lastModifiedBy>
  <dcterms:created xsi:type="dcterms:W3CDTF">2026-03-14T09:45:54Z</dcterms:created>
  <dcterms:modified xsi:type="dcterms:W3CDTF">2026-03-14T20:37:26Z</dcterms:modified>
</cp:coreProperties>
</file>