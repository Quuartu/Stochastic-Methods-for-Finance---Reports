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2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3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37.xml" ContentType="application/vnd.openxmlformats-officedocument.drawingml.chart+xml"/>
  <Override PartName="/xl/drawings/drawing3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 codeName="{643B0D74-A683-FBA9-23B4-8A0AA6E0B6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videquartucci/Desktop/Unipd MSc/First year/Second semester/SM for Finance/Report5/"/>
    </mc:Choice>
  </mc:AlternateContent>
  <xr:revisionPtr revIDLastSave="0" documentId="13_ncr:1_{14A42F2A-8FC5-8948-8A8F-992EF973408A}" xr6:coauthVersionLast="47" xr6:coauthVersionMax="47" xr10:uidLastSave="{00000000-0000-0000-0000-000000000000}"/>
  <bookViews>
    <workbookView xWindow="0" yWindow="660" windowWidth="30240" windowHeight="17740" activeTab="3" xr2:uid="{64CD3545-A2E3-4044-96E9-E55FAD121BAB}"/>
  </bookViews>
  <sheets>
    <sheet name="CallGkTable" sheetId="1" r:id="rId1"/>
    <sheet name="PutGkTable" sheetId="3" r:id="rId2"/>
    <sheet name="Display PART 1" sheetId="2" r:id="rId3"/>
    <sheet name="Empirical PART 2" sheetId="4" r:id="rId4"/>
    <sheet name="Merge PART 3" sheetId="5" r:id="rId5"/>
  </sheets>
  <functionGroups builtInGroupCount="19"/>
  <definedNames>
    <definedName name="_xleta.DELTA" hidden="1" xlm="1">#NAME?</definedName>
    <definedName name="_xleta.GAMMA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0" i="5" l="1" a="1"/>
  <c r="S44" i="5" a="1"/>
  <c r="S48" i="5" a="1"/>
  <c r="S52" i="5" a="1"/>
  <c r="S49" i="5" a="1"/>
  <c r="S42" i="5" a="1"/>
  <c r="S50" i="5" a="1"/>
  <c r="S51" i="5" a="1"/>
  <c r="S41" i="5" a="1"/>
  <c r="S45" i="5" a="1"/>
  <c r="S53" i="5" a="1"/>
  <c r="S46" i="5" a="1"/>
  <c r="S54" i="5" a="1"/>
  <c r="S55" i="5" a="1"/>
  <c r="S43" i="5" a="1"/>
  <c r="S47" i="5" a="1"/>
  <c r="S39" i="5" a="1"/>
  <c r="R40" i="5" a="1"/>
  <c r="R44" i="5" a="1"/>
  <c r="R48" i="5" a="1"/>
  <c r="R52" i="5" a="1"/>
  <c r="R45" i="5" a="1"/>
  <c r="R49" i="5" a="1"/>
  <c r="R53" i="5" a="1"/>
  <c r="R42" i="5" a="1"/>
  <c r="R50" i="5" a="1"/>
  <c r="R54" i="5" a="1"/>
  <c r="R47" i="5" a="1"/>
  <c r="R55" i="5" a="1"/>
  <c r="R41" i="5" a="1"/>
  <c r="R46" i="5" a="1"/>
  <c r="R43" i="5" a="1"/>
  <c r="R51" i="5" a="1"/>
  <c r="R39" i="5" a="1"/>
  <c r="Q40" i="5" a="1"/>
  <c r="Q44" i="5" a="1"/>
  <c r="Q48" i="5" a="1"/>
  <c r="Q52" i="5" a="1"/>
  <c r="Q41" i="5" a="1"/>
  <c r="Q45" i="5" a="1"/>
  <c r="Q49" i="5" a="1"/>
  <c r="Q53" i="5" a="1"/>
  <c r="Q42" i="5" a="1"/>
  <c r="Q46" i="5" a="1"/>
  <c r="Q50" i="5" a="1"/>
  <c r="Q54" i="5" a="1"/>
  <c r="Q43" i="5" a="1"/>
  <c r="Q47" i="5" a="1"/>
  <c r="Q51" i="5" a="1"/>
  <c r="Q55" i="5" a="1"/>
  <c r="Q39" i="5" a="1"/>
  <c r="X40" i="5" a="1"/>
  <c r="X44" i="5" a="1"/>
  <c r="X48" i="5" a="1"/>
  <c r="X52" i="5" a="1"/>
  <c r="X41" i="5" a="1"/>
  <c r="X49" i="5" a="1"/>
  <c r="X53" i="5" a="1"/>
  <c r="X42" i="5" a="1"/>
  <c r="X46" i="5" a="1"/>
  <c r="X50" i="5" a="1"/>
  <c r="X54" i="5" a="1"/>
  <c r="X47" i="5" a="1"/>
  <c r="X51" i="5" a="1"/>
  <c r="X45" i="5" a="1"/>
  <c r="X43" i="5" a="1"/>
  <c r="X55" i="5" a="1"/>
  <c r="X39" i="5" a="1"/>
  <c r="W40" i="5" a="1"/>
  <c r="W44" i="5" a="1"/>
  <c r="W48" i="5" a="1"/>
  <c r="W52" i="5" a="1"/>
  <c r="W49" i="5" a="1"/>
  <c r="W53" i="5" a="1"/>
  <c r="W42" i="5" a="1"/>
  <c r="W46" i="5" a="1"/>
  <c r="W50" i="5" a="1"/>
  <c r="W54" i="5" a="1"/>
  <c r="W47" i="5" a="1"/>
  <c r="W55" i="5" a="1"/>
  <c r="W41" i="5" a="1"/>
  <c r="W51" i="5" a="1"/>
  <c r="W45" i="5" a="1"/>
  <c r="W43" i="5" a="1"/>
  <c r="W39" i="5" a="1"/>
  <c r="G40" i="5" a="1"/>
  <c r="G48" i="5" a="1"/>
  <c r="G52" i="5" a="1"/>
  <c r="G46" i="5" a="1"/>
  <c r="G50" i="5" a="1"/>
  <c r="G43" i="5" a="1"/>
  <c r="G55" i="5" a="1"/>
  <c r="G41" i="5" a="1"/>
  <c r="G49" i="5" a="1"/>
  <c r="G53" i="5" a="1"/>
  <c r="G42" i="5" a="1"/>
  <c r="G54" i="5" a="1"/>
  <c r="G47" i="5" a="1"/>
  <c r="G51" i="5" a="1"/>
  <c r="G45" i="5" a="1"/>
  <c r="G44" i="5" a="1"/>
  <c r="V40" i="5" a="1"/>
  <c r="V44" i="5" a="1"/>
  <c r="V48" i="5" a="1"/>
  <c r="V52" i="5" a="1"/>
  <c r="V45" i="5" a="1"/>
  <c r="V49" i="5" a="1"/>
  <c r="V53" i="5" a="1"/>
  <c r="V42" i="5" a="1"/>
  <c r="V50" i="5" a="1"/>
  <c r="V54" i="5" a="1"/>
  <c r="V47" i="5" a="1"/>
  <c r="V51" i="5" a="1"/>
  <c r="V41" i="5" a="1"/>
  <c r="V46" i="5" a="1"/>
  <c r="V43" i="5" a="1"/>
  <c r="V55" i="5" a="1"/>
  <c r="V39" i="5" a="1"/>
  <c r="I40" i="5" a="1"/>
  <c r="I44" i="5" a="1"/>
  <c r="I48" i="5" a="1"/>
  <c r="I52" i="5" a="1"/>
  <c r="I41" i="5" a="1"/>
  <c r="I45" i="5" a="1"/>
  <c r="I49" i="5" a="1"/>
  <c r="I42" i="5" a="1"/>
  <c r="I46" i="5" a="1"/>
  <c r="I50" i="5" a="1"/>
  <c r="I54" i="5" a="1"/>
  <c r="I43" i="5" a="1"/>
  <c r="I47" i="5" a="1"/>
  <c r="I51" i="5" a="1"/>
  <c r="I55" i="5" a="1"/>
  <c r="I53" i="5" a="1"/>
  <c r="I39" i="5" a="1"/>
  <c r="H40" i="5" a="1"/>
  <c r="H44" i="5" a="1"/>
  <c r="H48" i="5" a="1"/>
  <c r="H52" i="5" a="1"/>
  <c r="H46" i="5" a="1"/>
  <c r="H50" i="5" a="1"/>
  <c r="H41" i="5" a="1"/>
  <c r="H45" i="5" a="1"/>
  <c r="H49" i="5" a="1"/>
  <c r="H53" i="5" a="1"/>
  <c r="H42" i="5" a="1"/>
  <c r="H43" i="5" a="1"/>
  <c r="H47" i="5" a="1"/>
  <c r="H51" i="5" a="1"/>
  <c r="H55" i="5" a="1"/>
  <c r="H54" i="5" a="1"/>
  <c r="H39" i="5" a="1"/>
  <c r="G39" i="5" a="1"/>
  <c r="N40" i="5" a="1"/>
  <c r="N44" i="5" a="1"/>
  <c r="N48" i="5" a="1"/>
  <c r="N52" i="5" a="1"/>
  <c r="N45" i="5" a="1"/>
  <c r="N53" i="5" a="1"/>
  <c r="N42" i="5" a="1"/>
  <c r="N46" i="5" a="1"/>
  <c r="N50" i="5" a="1"/>
  <c r="N54" i="5" a="1"/>
  <c r="N43" i="5" a="1"/>
  <c r="N51" i="5" a="1"/>
  <c r="N55" i="5" a="1"/>
  <c r="N49" i="5" a="1"/>
  <c r="N47" i="5" a="1"/>
  <c r="N41" i="5" a="1"/>
  <c r="N39" i="5" a="1"/>
  <c r="M40" i="5" a="1"/>
  <c r="M44" i="5" a="1"/>
  <c r="M48" i="5" a="1"/>
  <c r="M52" i="5" a="1"/>
  <c r="M45" i="5" a="1"/>
  <c r="M53" i="5" a="1"/>
  <c r="M46" i="5" a="1"/>
  <c r="M50" i="5" a="1"/>
  <c r="M54" i="5" a="1"/>
  <c r="M47" i="5" a="1"/>
  <c r="M51" i="5" a="1"/>
  <c r="M55" i="5" a="1"/>
  <c r="M49" i="5" a="1"/>
  <c r="M41" i="5" a="1"/>
  <c r="M42" i="5" a="1"/>
  <c r="M43" i="5" a="1"/>
  <c r="M39" i="5" a="1"/>
  <c r="L40" i="5" a="1"/>
  <c r="L44" i="5" a="1"/>
  <c r="L48" i="5" a="1"/>
  <c r="L52" i="5" a="1"/>
  <c r="L45" i="5" a="1"/>
  <c r="L53" i="5" a="1"/>
  <c r="L46" i="5" a="1"/>
  <c r="L50" i="5" a="1"/>
  <c r="L41" i="5" a="1"/>
  <c r="L49" i="5" a="1"/>
  <c r="L42" i="5" a="1"/>
  <c r="L54" i="5" a="1"/>
  <c r="L43" i="5" a="1"/>
  <c r="L47" i="5" a="1"/>
  <c r="L51" i="5" a="1"/>
  <c r="L55" i="5" a="1"/>
  <c r="L39" i="5" a="1"/>
  <c r="B40" i="5" a="1"/>
  <c r="B48" i="5" a="1"/>
  <c r="B53" i="5" a="1"/>
  <c r="B54" i="5" a="1"/>
  <c r="B51" i="5" a="1"/>
  <c r="B45" i="5" a="1"/>
  <c r="B49" i="5" a="1"/>
  <c r="B46" i="5" a="1"/>
  <c r="B43" i="5" a="1"/>
  <c r="B41" i="5" a="1"/>
  <c r="B42" i="5" a="1"/>
  <c r="B44" i="5" a="1"/>
  <c r="B52" i="5" a="1"/>
  <c r="B50" i="5" a="1"/>
  <c r="B47" i="5" a="1"/>
  <c r="B55" i="5" a="1"/>
  <c r="B39" i="5" a="1"/>
  <c r="D40" i="5" a="1"/>
  <c r="D44" i="5" a="1"/>
  <c r="D48" i="5" a="1"/>
  <c r="D52" i="5" a="1"/>
  <c r="D47" i="5" a="1"/>
  <c r="D55" i="5" a="1"/>
  <c r="D45" i="5" a="1"/>
  <c r="D49" i="5" a="1"/>
  <c r="D53" i="5" a="1"/>
  <c r="D50" i="5" a="1"/>
  <c r="D54" i="5" a="1"/>
  <c r="D51" i="5" a="1"/>
  <c r="D41" i="5" a="1"/>
  <c r="D46" i="5" a="1"/>
  <c r="D42" i="5" a="1"/>
  <c r="D43" i="5" a="1"/>
  <c r="D39" i="5" a="1"/>
  <c r="C40" i="5" a="1"/>
  <c r="C52" i="5" a="1"/>
  <c r="C46" i="5" a="1"/>
  <c r="C47" i="5" a="1"/>
  <c r="C41" i="5" a="1"/>
  <c r="C45" i="5" a="1"/>
  <c r="C49" i="5" a="1"/>
  <c r="C42" i="5" a="1"/>
  <c r="C54" i="5" a="1"/>
  <c r="C51" i="5" a="1"/>
  <c r="C44" i="5" a="1"/>
  <c r="C48" i="5" a="1"/>
  <c r="C53" i="5" a="1"/>
  <c r="C50" i="5" a="1"/>
  <c r="C43" i="5" a="1"/>
  <c r="C55" i="5" a="1"/>
  <c r="C39" i="5" a="1"/>
  <c r="S47" i="5" l="1"/>
  <c r="S43" i="5"/>
  <c r="S55" i="5"/>
  <c r="S54" i="5"/>
  <c r="S46" i="5"/>
  <c r="S53" i="5"/>
  <c r="S45" i="5"/>
  <c r="S41" i="5"/>
  <c r="S51" i="5"/>
  <c r="S50" i="5"/>
  <c r="S42" i="5"/>
  <c r="S49" i="5"/>
  <c r="S52" i="5"/>
  <c r="S48" i="5"/>
  <c r="S44" i="5"/>
  <c r="S40" i="5"/>
  <c r="S39" i="5"/>
  <c r="R51" i="5"/>
  <c r="R43" i="5"/>
  <c r="R46" i="5"/>
  <c r="R41" i="5"/>
  <c r="R55" i="5"/>
  <c r="R47" i="5"/>
  <c r="R54" i="5"/>
  <c r="R50" i="5"/>
  <c r="R42" i="5"/>
  <c r="R53" i="5"/>
  <c r="R49" i="5"/>
  <c r="R45" i="5"/>
  <c r="R52" i="5"/>
  <c r="R48" i="5"/>
  <c r="R44" i="5"/>
  <c r="R40" i="5"/>
  <c r="R39" i="5"/>
  <c r="Q55" i="5"/>
  <c r="Q51" i="5"/>
  <c r="Q47" i="5"/>
  <c r="Q43" i="5"/>
  <c r="Q54" i="5"/>
  <c r="Q50" i="5"/>
  <c r="Q46" i="5"/>
  <c r="Q42" i="5"/>
  <c r="Q53" i="5"/>
  <c r="Q49" i="5"/>
  <c r="Q45" i="5"/>
  <c r="Q41" i="5"/>
  <c r="Q52" i="5"/>
  <c r="Q48" i="5"/>
  <c r="Q44" i="5"/>
  <c r="Q40" i="5"/>
  <c r="Q39" i="5"/>
  <c r="X55" i="5"/>
  <c r="X43" i="5"/>
  <c r="X45" i="5"/>
  <c r="X51" i="5"/>
  <c r="X47" i="5"/>
  <c r="X54" i="5"/>
  <c r="X50" i="5"/>
  <c r="X46" i="5"/>
  <c r="X42" i="5"/>
  <c r="X53" i="5"/>
  <c r="X49" i="5"/>
  <c r="X41" i="5"/>
  <c r="X52" i="5"/>
  <c r="X48" i="5"/>
  <c r="X44" i="5"/>
  <c r="X40" i="5"/>
  <c r="X39" i="5"/>
  <c r="W43" i="5"/>
  <c r="W45" i="5"/>
  <c r="W51" i="5"/>
  <c r="W41" i="5"/>
  <c r="W55" i="5"/>
  <c r="W47" i="5"/>
  <c r="W54" i="5"/>
  <c r="W50" i="5"/>
  <c r="W46" i="5"/>
  <c r="W42" i="5"/>
  <c r="W53" i="5"/>
  <c r="W49" i="5"/>
  <c r="W52" i="5"/>
  <c r="W48" i="5"/>
  <c r="W44" i="5"/>
  <c r="W40" i="5"/>
  <c r="W39" i="5"/>
  <c r="G44" i="5"/>
  <c r="G45" i="5"/>
  <c r="G51" i="5"/>
  <c r="G47" i="5"/>
  <c r="G54" i="5"/>
  <c r="G42" i="5"/>
  <c r="G53" i="5"/>
  <c r="G49" i="5"/>
  <c r="G41" i="5"/>
  <c r="G55" i="5"/>
  <c r="G43" i="5"/>
  <c r="G50" i="5"/>
  <c r="G46" i="5"/>
  <c r="G52" i="5"/>
  <c r="G48" i="5"/>
  <c r="G40" i="5"/>
  <c r="V55" i="5"/>
  <c r="V43" i="5"/>
  <c r="V46" i="5"/>
  <c r="V41" i="5"/>
  <c r="V51" i="5"/>
  <c r="V47" i="5"/>
  <c r="V54" i="5"/>
  <c r="V50" i="5"/>
  <c r="V42" i="5"/>
  <c r="V53" i="5"/>
  <c r="V49" i="5"/>
  <c r="V45" i="5"/>
  <c r="V52" i="5"/>
  <c r="V48" i="5"/>
  <c r="V44" i="5"/>
  <c r="V40" i="5"/>
  <c r="V39" i="5"/>
  <c r="I53" i="5"/>
  <c r="I55" i="5"/>
  <c r="I51" i="5"/>
  <c r="I47" i="5"/>
  <c r="I43" i="5"/>
  <c r="I54" i="5"/>
  <c r="I50" i="5"/>
  <c r="I46" i="5"/>
  <c r="I42" i="5"/>
  <c r="I49" i="5"/>
  <c r="I45" i="5"/>
  <c r="I41" i="5"/>
  <c r="I52" i="5"/>
  <c r="I48" i="5"/>
  <c r="I44" i="5"/>
  <c r="I40" i="5"/>
  <c r="I39" i="5"/>
  <c r="H54" i="5"/>
  <c r="H55" i="5"/>
  <c r="H51" i="5"/>
  <c r="H47" i="5"/>
  <c r="H43" i="5"/>
  <c r="H42" i="5"/>
  <c r="H53" i="5"/>
  <c r="H49" i="5"/>
  <c r="H45" i="5"/>
  <c r="H41" i="5"/>
  <c r="H50" i="5"/>
  <c r="H46" i="5"/>
  <c r="H52" i="5"/>
  <c r="H48" i="5"/>
  <c r="H44" i="5"/>
  <c r="H40" i="5"/>
  <c r="H39" i="5"/>
  <c r="G39" i="5"/>
  <c r="N41" i="5"/>
  <c r="N47" i="5"/>
  <c r="N49" i="5"/>
  <c r="N55" i="5"/>
  <c r="N51" i="5"/>
  <c r="N43" i="5"/>
  <c r="N54" i="5"/>
  <c r="N50" i="5"/>
  <c r="N46" i="5"/>
  <c r="N42" i="5"/>
  <c r="N53" i="5"/>
  <c r="N45" i="5"/>
  <c r="N52" i="5"/>
  <c r="N48" i="5"/>
  <c r="N44" i="5"/>
  <c r="N40" i="5"/>
  <c r="N39" i="5"/>
  <c r="M43" i="5"/>
  <c r="M42" i="5"/>
  <c r="M41" i="5"/>
  <c r="M49" i="5"/>
  <c r="M55" i="5"/>
  <c r="M51" i="5"/>
  <c r="M47" i="5"/>
  <c r="M54" i="5"/>
  <c r="M50" i="5"/>
  <c r="M46" i="5"/>
  <c r="M53" i="5"/>
  <c r="M45" i="5"/>
  <c r="M52" i="5"/>
  <c r="M48" i="5"/>
  <c r="M44" i="5"/>
  <c r="M40" i="5"/>
  <c r="M39" i="5"/>
  <c r="L55" i="5"/>
  <c r="L51" i="5"/>
  <c r="L47" i="5"/>
  <c r="L43" i="5"/>
  <c r="L54" i="5"/>
  <c r="L42" i="5"/>
  <c r="L49" i="5"/>
  <c r="L41" i="5"/>
  <c r="L50" i="5"/>
  <c r="L46" i="5"/>
  <c r="L53" i="5"/>
  <c r="L45" i="5"/>
  <c r="L52" i="5"/>
  <c r="L48" i="5"/>
  <c r="L44" i="5"/>
  <c r="L40" i="5"/>
  <c r="L39" i="5"/>
  <c r="B55" i="5"/>
  <c r="B47" i="5"/>
  <c r="B50" i="5"/>
  <c r="B52" i="5"/>
  <c r="B44" i="5"/>
  <c r="B42" i="5"/>
  <c r="B41" i="5"/>
  <c r="B43" i="5"/>
  <c r="B46" i="5"/>
  <c r="B49" i="5"/>
  <c r="B45" i="5"/>
  <c r="B51" i="5"/>
  <c r="B54" i="5"/>
  <c r="B53" i="5"/>
  <c r="B48" i="5"/>
  <c r="B40" i="5"/>
  <c r="B39" i="5"/>
  <c r="D43" i="5"/>
  <c r="D42" i="5"/>
  <c r="D46" i="5"/>
  <c r="D41" i="5"/>
  <c r="D51" i="5"/>
  <c r="D54" i="5"/>
  <c r="D50" i="5"/>
  <c r="D53" i="5"/>
  <c r="D49" i="5"/>
  <c r="D45" i="5"/>
  <c r="D55" i="5"/>
  <c r="D47" i="5"/>
  <c r="D52" i="5"/>
  <c r="D48" i="5"/>
  <c r="D44" i="5"/>
  <c r="D40" i="5"/>
  <c r="D39" i="5"/>
  <c r="C55" i="5"/>
  <c r="C43" i="5"/>
  <c r="C50" i="5"/>
  <c r="C53" i="5"/>
  <c r="C48" i="5"/>
  <c r="C44" i="5"/>
  <c r="C51" i="5"/>
  <c r="C54" i="5"/>
  <c r="C42" i="5"/>
  <c r="C49" i="5"/>
  <c r="C45" i="5"/>
  <c r="C41" i="5"/>
  <c r="C47" i="5"/>
  <c r="C46" i="5"/>
  <c r="C52" i="5"/>
  <c r="C40" i="5"/>
  <c r="C39" i="5"/>
  <c r="AU103" i="3" a="1"/>
  <c r="AP103" i="3" a="1"/>
  <c r="AE103" i="3" a="1"/>
  <c r="V103" i="3" a="1"/>
  <c r="O103" i="3" a="1"/>
  <c r="F103" i="3" a="1"/>
  <c r="AQ102" i="3" a="1"/>
  <c r="AH102" i="3" a="1"/>
  <c r="AA102" i="3" a="1"/>
  <c r="R102" i="3" a="1"/>
  <c r="G102" i="3" a="1"/>
  <c r="AR101" i="3" a="1"/>
  <c r="AM101" i="3" a="1"/>
  <c r="AB101" i="3" a="1"/>
  <c r="S101" i="3" a="1"/>
  <c r="H101" i="3" a="1"/>
  <c r="C101" i="3" a="1"/>
  <c r="AN100" i="3" a="1"/>
  <c r="AC100" i="3" a="1"/>
  <c r="T100" i="3" a="1"/>
  <c r="M100" i="3" a="1"/>
  <c r="D100" i="3" a="1"/>
  <c r="AO99" i="3" a="1"/>
  <c r="AD99" i="3" a="1"/>
  <c r="Y99" i="3" a="1"/>
  <c r="N99" i="3" a="1"/>
  <c r="E99" i="3" a="1"/>
  <c r="AP98" i="3" a="1"/>
  <c r="AK98" i="3" a="1"/>
  <c r="Z98" i="3" a="1"/>
  <c r="O98" i="3" a="1"/>
  <c r="F98" i="3" a="1"/>
  <c r="AU97" i="3" a="1"/>
  <c r="AL97" i="3" a="1"/>
  <c r="AA97" i="3" a="1"/>
  <c r="R97" i="3" a="1"/>
  <c r="K97" i="3" a="1"/>
  <c r="B97" i="3" a="1"/>
  <c r="AM96" i="3" a="1"/>
  <c r="AB96" i="3" a="1"/>
  <c r="W96" i="3" a="1"/>
  <c r="L96" i="3" a="1"/>
  <c r="C96" i="3" a="1"/>
  <c r="AT103" i="3" a="1"/>
  <c r="AK103" i="3" a="1"/>
  <c r="Z103" i="3" a="1"/>
  <c r="U103" i="3" a="1"/>
  <c r="J103" i="3" a="1"/>
  <c r="AU102" i="3" a="1"/>
  <c r="AL102" i="3" a="1"/>
  <c r="AE102" i="3" a="1"/>
  <c r="V102" i="3" a="1"/>
  <c r="K102" i="3" a="1"/>
  <c r="B102" i="3" a="1"/>
  <c r="AQ101" i="3" a="1"/>
  <c r="AH101" i="3" a="1"/>
  <c r="W101" i="3" a="1"/>
  <c r="L101" i="3" a="1"/>
  <c r="G101" i="3" a="1"/>
  <c r="AR100" i="3" a="1"/>
  <c r="AI100" i="3" a="1"/>
  <c r="X100" i="3" a="1"/>
  <c r="S100" i="3" a="1"/>
  <c r="H100" i="3" a="1"/>
  <c r="AS99" i="3" a="1"/>
  <c r="AJ99" i="3" a="1"/>
  <c r="AC99" i="3" a="1"/>
  <c r="T99" i="3" a="1"/>
  <c r="AS103" i="3" a="1"/>
  <c r="AM103" i="3" a="1"/>
  <c r="S103" i="3" a="1"/>
  <c r="K103" i="3" a="1"/>
  <c r="AM102" i="3" a="1"/>
  <c r="AD102" i="3" a="1"/>
  <c r="J102" i="3" a="1"/>
  <c r="D102" i="3" a="1"/>
  <c r="AD101" i="3" a="1"/>
  <c r="X101" i="3" a="1"/>
  <c r="O101" i="3" a="1"/>
  <c r="D101" i="3" a="1"/>
  <c r="AQ100" i="3" a="1"/>
  <c r="AK100" i="3" a="1"/>
  <c r="O100" i="3" a="1"/>
  <c r="I100" i="3" a="1"/>
  <c r="AK99" i="3" a="1"/>
  <c r="AB99" i="3" a="1"/>
  <c r="I99" i="3" a="1"/>
  <c r="D99" i="3" a="1"/>
  <c r="AA98" i="3" a="1"/>
  <c r="V98" i="3" a="1"/>
  <c r="I98" i="3" a="1"/>
  <c r="D98" i="3" a="1"/>
  <c r="AS97" i="3" a="1"/>
  <c r="AN97" i="3" a="1"/>
  <c r="V97" i="3" a="1"/>
  <c r="AS96" i="3" a="1"/>
  <c r="AN96" i="3" a="1"/>
  <c r="AI96" i="3" a="1"/>
  <c r="AA96" i="3" a="1"/>
  <c r="V96" i="3" a="1"/>
  <c r="O96" i="3" a="1"/>
  <c r="J96" i="3" a="1"/>
  <c r="AO95" i="3" a="1"/>
  <c r="AJ95" i="3" a="1"/>
  <c r="Y95" i="3" a="1"/>
  <c r="N95" i="3" a="1"/>
  <c r="E95" i="3" a="1"/>
  <c r="AT94" i="3" a="1"/>
  <c r="AK94" i="3" a="1"/>
  <c r="AD103" i="3" a="1"/>
  <c r="X103" i="3" a="1"/>
  <c r="D103" i="3" a="1"/>
  <c r="AR102" i="3" a="1"/>
  <c r="AK102" i="3" a="1"/>
  <c r="X102" i="3" a="1"/>
  <c r="O102" i="3" a="1"/>
  <c r="I102" i="3" a="1"/>
  <c r="AK101" i="3" a="1"/>
  <c r="AC101" i="3" a="1"/>
  <c r="I101" i="3" a="1"/>
  <c r="B101" i="3" a="1"/>
  <c r="AB100" i="3" a="1"/>
  <c r="V100" i="3" a="1"/>
  <c r="B100" i="3" a="1"/>
  <c r="AP99" i="3" a="1"/>
  <c r="AI99" i="3" a="1"/>
  <c r="V99" i="3" a="1"/>
  <c r="C99" i="3" a="1"/>
  <c r="AR98" i="3" a="1"/>
  <c r="AM98" i="3" a="1"/>
  <c r="AH98" i="3" a="1"/>
  <c r="U98" i="3" a="1"/>
  <c r="N98" i="3" a="1"/>
  <c r="AM97" i="3" a="1"/>
  <c r="AH97" i="3" a="1"/>
  <c r="U97" i="3" a="1"/>
  <c r="N97" i="3" a="1"/>
  <c r="I97" i="3" a="1"/>
  <c r="D97" i="3" a="1"/>
  <c r="AH96" i="3" a="1"/>
  <c r="I96" i="3" a="1"/>
  <c r="D96" i="3" a="1"/>
  <c r="AS95" i="3" a="1"/>
  <c r="AN95" i="3" a="1"/>
  <c r="AC95" i="3" a="1"/>
  <c r="T95" i="3" a="1"/>
  <c r="I95" i="3" a="1"/>
  <c r="D95" i="3" a="1"/>
  <c r="AO94" i="3" a="1"/>
  <c r="AD94" i="3" a="1"/>
  <c r="AR103" i="3" a="1"/>
  <c r="AL103" i="3" a="1"/>
  <c r="AC103" i="3" a="1"/>
  <c r="R103" i="3" a="1"/>
  <c r="I103" i="3" a="1"/>
  <c r="C103" i="3" a="1"/>
  <c r="AC102" i="3" a="1"/>
  <c r="W102" i="3" a="1"/>
  <c r="C102" i="3" a="1"/>
  <c r="AP101" i="3" a="1"/>
  <c r="V101" i="3" a="1"/>
  <c r="N101" i="3" a="1"/>
  <c r="AP100" i="3" a="1"/>
  <c r="AJ100" i="3" a="1"/>
  <c r="AA100" i="3" a="1"/>
  <c r="N100" i="3" a="1"/>
  <c r="G100" i="3" a="1"/>
  <c r="AU99" i="3" a="1"/>
  <c r="AA99" i="3" a="1"/>
  <c r="U99" i="3" a="1"/>
  <c r="M99" i="3" a="1"/>
  <c r="H99" i="3" a="1"/>
  <c r="AE98" i="3" a="1"/>
  <c r="M98" i="3" a="1"/>
  <c r="H98" i="3" a="1"/>
  <c r="C98" i="3" a="1"/>
  <c r="AR97" i="3" a="1"/>
  <c r="AE97" i="3" a="1"/>
  <c r="Z97" i="3" a="1"/>
  <c r="C97" i="3" a="1"/>
  <c r="AR96" i="3" a="1"/>
  <c r="AE96" i="3" a="1"/>
  <c r="Z96" i="3" a="1"/>
  <c r="U96" i="3" a="1"/>
  <c r="N96" i="3" a="1"/>
  <c r="AR95" i="3" a="1"/>
  <c r="AI95" i="3" a="1"/>
  <c r="X95" i="3" a="1"/>
  <c r="M95" i="3" a="1"/>
  <c r="H95" i="3" a="1"/>
  <c r="AS94" i="3" a="1"/>
  <c r="AJ94" i="3" a="1"/>
  <c r="Y94" i="3" a="1"/>
  <c r="T94" i="3" a="1"/>
  <c r="I94" i="3" a="1"/>
  <c r="AT93" i="3" a="1"/>
  <c r="AK93" i="3" a="1"/>
  <c r="AD93" i="3" a="1"/>
  <c r="U93" i="3" a="1"/>
  <c r="J93" i="3" a="1"/>
  <c r="AU92" i="3" a="1"/>
  <c r="AP92" i="3" a="1"/>
  <c r="AE92" i="3" a="1"/>
  <c r="V92" i="3" a="1"/>
  <c r="K92" i="3" a="1"/>
  <c r="F92" i="3" a="1"/>
  <c r="AQ91" i="3" a="1"/>
  <c r="AH91" i="3" a="1"/>
  <c r="W91" i="3" a="1"/>
  <c r="R91" i="3" a="1"/>
  <c r="G91" i="3" a="1"/>
  <c r="AQ103" i="3" a="1"/>
  <c r="L103" i="3" a="1"/>
  <c r="AJ102" i="3" a="1"/>
  <c r="M102" i="3" a="1"/>
  <c r="AA101" i="3" a="1"/>
  <c r="F101" i="3" a="1"/>
  <c r="AE100" i="3" a="1"/>
  <c r="U100" i="3" a="1"/>
  <c r="AT99" i="3" a="1"/>
  <c r="X99" i="3" a="1"/>
  <c r="AI98" i="3" a="1"/>
  <c r="X98" i="3" a="1"/>
  <c r="E98" i="3" a="1"/>
  <c r="AP97" i="3" a="1"/>
  <c r="AI97" i="3" a="1"/>
  <c r="X97" i="3" a="1"/>
  <c r="M97" i="3" a="1"/>
  <c r="M96" i="3" a="1"/>
  <c r="F96" i="3" a="1"/>
  <c r="AQ95" i="3" a="1"/>
  <c r="AK95" i="3" a="1"/>
  <c r="AA95" i="3" a="1"/>
  <c r="S95" i="3" a="1"/>
  <c r="AP94" i="3" a="1"/>
  <c r="AH94" i="3" a="1"/>
  <c r="U94" i="3" a="1"/>
  <c r="M94" i="3" a="1"/>
  <c r="H94" i="3" a="1"/>
  <c r="C94" i="3" a="1"/>
  <c r="Z93" i="3" a="1"/>
  <c r="H93" i="3" a="1"/>
  <c r="C93" i="3" a="1"/>
  <c r="AR92" i="3" a="1"/>
  <c r="AM92" i="3" a="1"/>
  <c r="Z92" i="3" a="1"/>
  <c r="U92" i="3" a="1"/>
  <c r="AR91" i="3" a="1"/>
  <c r="AM91" i="3" a="1"/>
  <c r="Z91" i="3" a="1"/>
  <c r="U91" i="3" a="1"/>
  <c r="N91" i="3" a="1"/>
  <c r="I91" i="3" a="1"/>
  <c r="AN90" i="3" a="1"/>
  <c r="AC90" i="3" a="1"/>
  <c r="X90" i="3" a="1"/>
  <c r="M90" i="3" a="1"/>
  <c r="D90" i="3" a="1"/>
  <c r="AO89" i="3" a="1"/>
  <c r="AJ89" i="3" a="1"/>
  <c r="Y89" i="3" a="1"/>
  <c r="N89" i="3" a="1"/>
  <c r="E89" i="3" a="1"/>
  <c r="AT88" i="3" a="1"/>
  <c r="AK88" i="3" a="1"/>
  <c r="Z88" i="3" a="1"/>
  <c r="O88" i="3" a="1"/>
  <c r="J88" i="3" a="1"/>
  <c r="AU87" i="3" a="1"/>
  <c r="AL87" i="3" a="1"/>
  <c r="AA87" i="3" a="1"/>
  <c r="V87" i="3" a="1"/>
  <c r="K87" i="3" a="1"/>
  <c r="B87" i="3" a="1"/>
  <c r="AM83" i="3" a="1"/>
  <c r="AH83" i="3" a="1"/>
  <c r="W83" i="3" a="1"/>
  <c r="L83" i="3" a="1"/>
  <c r="C83" i="3" a="1"/>
  <c r="AR82" i="3" a="1"/>
  <c r="AI82" i="3" a="1"/>
  <c r="X82" i="3" a="1"/>
  <c r="T82" i="3" a="1"/>
  <c r="N82" i="3" a="1"/>
  <c r="J82" i="3" a="1"/>
  <c r="F82" i="3" a="1"/>
  <c r="B82" i="3" a="1"/>
  <c r="AR81" i="3" a="1"/>
  <c r="AN81" i="3" a="1"/>
  <c r="AJ81" i="3" a="1"/>
  <c r="AD81" i="3" a="1"/>
  <c r="Z81" i="3" a="1"/>
  <c r="V81" i="3" a="1"/>
  <c r="R81" i="3" a="1"/>
  <c r="L81" i="3" a="1"/>
  <c r="H81" i="3" a="1"/>
  <c r="D81" i="3" a="1"/>
  <c r="AT80" i="3" a="1"/>
  <c r="AP80" i="3" a="1"/>
  <c r="AL80" i="3" a="1"/>
  <c r="AH80" i="3" a="1"/>
  <c r="AB80" i="3" a="1"/>
  <c r="X80" i="3" a="1"/>
  <c r="T80" i="3" a="1"/>
  <c r="N80" i="3" a="1"/>
  <c r="J80" i="3" a="1"/>
  <c r="F80" i="3" a="1"/>
  <c r="B80" i="3" a="1"/>
  <c r="AR79" i="3" a="1"/>
  <c r="AN79" i="3" a="1"/>
  <c r="AJ79" i="3" a="1"/>
  <c r="AD79" i="3" a="1"/>
  <c r="Z79" i="3" a="1"/>
  <c r="V79" i="3" a="1"/>
  <c r="R79" i="3" a="1"/>
  <c r="L79" i="3" a="1"/>
  <c r="H79" i="3" a="1"/>
  <c r="D79" i="3" a="1"/>
  <c r="AT78" i="3" a="1"/>
  <c r="AP78" i="3" a="1"/>
  <c r="AL78" i="3" a="1"/>
  <c r="AH78" i="3" a="1"/>
  <c r="AB78" i="3" a="1"/>
  <c r="X78" i="3" a="1"/>
  <c r="T78" i="3" a="1"/>
  <c r="N78" i="3" a="1"/>
  <c r="J78" i="3" a="1"/>
  <c r="F78" i="3" a="1"/>
  <c r="B78" i="3" a="1"/>
  <c r="AR77" i="3" a="1"/>
  <c r="AN77" i="3" a="1"/>
  <c r="AJ77" i="3" a="1"/>
  <c r="AD77" i="3" a="1"/>
  <c r="Z77" i="3" a="1"/>
  <c r="V77" i="3" a="1"/>
  <c r="R77" i="3" a="1"/>
  <c r="L77" i="3" a="1"/>
  <c r="H77" i="3" a="1"/>
  <c r="AH103" i="3" a="1"/>
  <c r="AT102" i="3" a="1"/>
  <c r="Y102" i="3" a="1"/>
  <c r="AU101" i="3" a="1"/>
  <c r="AN101" i="3" a="1"/>
  <c r="R101" i="3" a="1"/>
  <c r="AO100" i="3" a="1"/>
  <c r="J100" i="3" a="1"/>
  <c r="AH99" i="3" a="1"/>
  <c r="L99" i="3" a="1"/>
  <c r="AO98" i="3" a="1"/>
  <c r="AD98" i="3" a="1"/>
  <c r="W98" i="3" a="1"/>
  <c r="L98" i="3" a="1"/>
  <c r="E97" i="3" a="1"/>
  <c r="AP96" i="3" a="1"/>
  <c r="X96" i="3" a="1"/>
  <c r="E96" i="3" a="1"/>
  <c r="Z95" i="3" a="1"/>
  <c r="R95" i="3" a="1"/>
  <c r="J95" i="3" a="1"/>
  <c r="B95" i="3" a="1"/>
  <c r="AN94" i="3" a="1"/>
  <c r="Z94" i="3" a="1"/>
  <c r="B94" i="3" a="1"/>
  <c r="AQ93" i="3" a="1"/>
  <c r="AL93" i="3" a="1"/>
  <c r="AE93" i="3" a="1"/>
  <c r="Y93" i="3" a="1"/>
  <c r="T93" i="3" a="1"/>
  <c r="M93" i="3" a="1"/>
  <c r="AL92" i="3" a="1"/>
  <c r="T92" i="3" a="1"/>
  <c r="M92" i="3" a="1"/>
  <c r="H92" i="3" a="1"/>
  <c r="C92" i="3" a="1"/>
  <c r="AL91" i="3" a="1"/>
  <c r="AE91" i="3" a="1"/>
  <c r="H91" i="3" a="1"/>
  <c r="C91" i="3" a="1"/>
  <c r="AR90" i="3" a="1"/>
  <c r="AI90" i="3" a="1"/>
  <c r="AB90" i="3" a="1"/>
  <c r="S90" i="3" a="1"/>
  <c r="H90" i="3" a="1"/>
  <c r="AS89" i="3" a="1"/>
  <c r="AN89" i="3" a="1"/>
  <c r="AC89" i="3" a="1"/>
  <c r="T89" i="3" a="1"/>
  <c r="I89" i="3" a="1"/>
  <c r="D89" i="3" a="1"/>
  <c r="AO88" i="3" a="1"/>
  <c r="AD88" i="3" a="1"/>
  <c r="U88" i="3" a="1"/>
  <c r="N88" i="3" a="1"/>
  <c r="E88" i="3" a="1"/>
  <c r="AP87" i="3" a="1"/>
  <c r="AO103" i="3" a="1"/>
  <c r="T103" i="3" a="1"/>
  <c r="H103" i="3" a="1"/>
  <c r="AS102" i="3" a="1"/>
  <c r="AI102" i="3" a="1"/>
  <c r="L102" i="3" a="1"/>
  <c r="AL101" i="3" a="1"/>
  <c r="Z101" i="3" a="1"/>
  <c r="E101" i="3" a="1"/>
  <c r="AD100" i="3" a="1"/>
  <c r="AR99" i="3" a="1"/>
  <c r="W99" i="3" a="1"/>
  <c r="K99" i="3" a="1"/>
  <c r="B99" i="3" a="1"/>
  <c r="AO97" i="3" a="1"/>
  <c r="AD97" i="3" a="1"/>
  <c r="W97" i="3" a="1"/>
  <c r="L97" i="3" a="1"/>
  <c r="AO96" i="3" a="1"/>
  <c r="AD96" i="3" a="1"/>
  <c r="AP95" i="3" a="1"/>
  <c r="AH95" i="3" a="1"/>
  <c r="AE94" i="3" a="1"/>
  <c r="X94" i="3" a="1"/>
  <c r="Y103" i="3" a="1"/>
  <c r="T102" i="3" a="1"/>
  <c r="AT101" i="3" a="1"/>
  <c r="AE101" i="3" a="1"/>
  <c r="K101" i="3" a="1"/>
  <c r="AS100" i="3" a="1"/>
  <c r="F100" i="3" a="1"/>
  <c r="S99" i="3" a="1"/>
  <c r="F99" i="3" a="1"/>
  <c r="T98" i="3" a="1"/>
  <c r="G98" i="3" a="1"/>
  <c r="H97" i="3" a="1"/>
  <c r="AD95" i="3" a="1"/>
  <c r="O95" i="3" a="1"/>
  <c r="AL94" i="3" a="1"/>
  <c r="AA94" i="3" a="1"/>
  <c r="R94" i="3" a="1"/>
  <c r="AO93" i="3" a="1"/>
  <c r="R93" i="3" a="1"/>
  <c r="B93" i="3" a="1"/>
  <c r="AO92" i="3" a="1"/>
  <c r="AI92" i="3" a="1"/>
  <c r="Y92" i="3" a="1"/>
  <c r="B92" i="3" a="1"/>
  <c r="AI91" i="3" a="1"/>
  <c r="Y91" i="3" a="1"/>
  <c r="S91" i="3" a="1"/>
  <c r="J91" i="3" a="1"/>
  <c r="B91" i="3" a="1"/>
  <c r="AP90" i="3" a="1"/>
  <c r="V90" i="3" a="1"/>
  <c r="N90" i="3" a="1"/>
  <c r="AP89" i="3" a="1"/>
  <c r="AI89" i="3" a="1"/>
  <c r="M89" i="3" a="1"/>
  <c r="G89" i="3" a="1"/>
  <c r="AI88" i="3" a="1"/>
  <c r="AA88" i="3" a="1"/>
  <c r="T88" i="3" a="1"/>
  <c r="G88" i="3" a="1"/>
  <c r="AT87" i="3" a="1"/>
  <c r="AN87" i="3" a="1"/>
  <c r="D87" i="3" a="1"/>
  <c r="AS83" i="3" a="1"/>
  <c r="AN83" i="3" a="1"/>
  <c r="AI83" i="3" a="1"/>
  <c r="AA83" i="3" a="1"/>
  <c r="V83" i="3" a="1"/>
  <c r="O83" i="3" a="1"/>
  <c r="AN82" i="3" a="1"/>
  <c r="R82" i="3" a="1"/>
  <c r="G82" i="3" a="1"/>
  <c r="AM81" i="3" a="1"/>
  <c r="AB81" i="3" a="1"/>
  <c r="S81" i="3" a="1"/>
  <c r="C81" i="3" a="1"/>
  <c r="AN80" i="3" a="1"/>
  <c r="AC80" i="3" a="1"/>
  <c r="M80" i="3" a="1"/>
  <c r="D80" i="3" a="1"/>
  <c r="AO79" i="3" a="1"/>
  <c r="Y79" i="3" a="1"/>
  <c r="N79" i="3" a="1"/>
  <c r="E79" i="3" a="1"/>
  <c r="AK78" i="3" a="1"/>
  <c r="Z78" i="3" a="1"/>
  <c r="O78" i="3" a="1"/>
  <c r="AU77" i="3" a="1"/>
  <c r="AL77" i="3" a="1"/>
  <c r="AA77" i="3" a="1"/>
  <c r="K77" i="3" a="1"/>
  <c r="AN103" i="3" a="1"/>
  <c r="N103" i="3" a="1"/>
  <c r="AP102" i="3" a="1"/>
  <c r="Z102" i="3" a="1"/>
  <c r="F102" i="3" a="1"/>
  <c r="R100" i="3" a="1"/>
  <c r="G99" i="3" a="1"/>
  <c r="AL98" i="3" a="1"/>
  <c r="S98" i="3" a="1"/>
  <c r="B98" i="3" a="1"/>
  <c r="AJ97" i="3" a="1"/>
  <c r="AC96" i="3" a="1"/>
  <c r="K96" i="3" a="1"/>
  <c r="AR94" i="3" a="1"/>
  <c r="AC94" i="3" a="1"/>
  <c r="S94" i="3" a="1"/>
  <c r="J94" i="3" a="1"/>
  <c r="AU93" i="3" a="1"/>
  <c r="AC93" i="3" a="1"/>
  <c r="V93" i="3" a="1"/>
  <c r="D93" i="3" a="1"/>
  <c r="AH92" i="3" a="1"/>
  <c r="N92" i="3" a="1"/>
  <c r="AS91" i="3" a="1"/>
  <c r="AJ91" i="3" a="1"/>
  <c r="AA91" i="3" a="1"/>
  <c r="AT90" i="3" a="1"/>
  <c r="AM90" i="3" a="1"/>
  <c r="W90" i="3" a="1"/>
  <c r="O90" i="3" a="1"/>
  <c r="G90" i="3" a="1"/>
  <c r="AM89" i="3" a="1"/>
  <c r="AE89" i="3" a="1"/>
  <c r="O89" i="3" a="1"/>
  <c r="AU88" i="3" a="1"/>
  <c r="AE88" i="3" a="1"/>
  <c r="H88" i="3" a="1"/>
  <c r="AE87" i="3" a="1"/>
  <c r="Y87" i="3" a="1"/>
  <c r="AE83" i="3" a="1"/>
  <c r="AT82" i="3" a="1"/>
  <c r="AM82" i="3" a="1"/>
  <c r="M82" i="3" a="1"/>
  <c r="H82" i="3" a="1"/>
  <c r="C82" i="3" a="1"/>
  <c r="AQ81" i="3" a="1"/>
  <c r="AL81" i="3" a="1"/>
  <c r="AE81" i="3" a="1"/>
  <c r="AE80" i="3" a="1"/>
  <c r="Z80" i="3" a="1"/>
  <c r="U80" i="3" a="1"/>
  <c r="H80" i="3" a="1"/>
  <c r="C80" i="3" a="1"/>
  <c r="U79" i="3" a="1"/>
  <c r="C79" i="3" a="1"/>
  <c r="AR78" i="3" a="1"/>
  <c r="AM78" i="3" a="1"/>
  <c r="U78" i="3" a="1"/>
  <c r="AM77" i="3" a="1"/>
  <c r="AH77" i="3" a="1"/>
  <c r="U77" i="3" a="1"/>
  <c r="N77" i="3" a="1"/>
  <c r="I77" i="3" a="1"/>
  <c r="D77" i="3" a="1"/>
  <c r="AO76" i="3" a="1"/>
  <c r="AJ76" i="3" a="1"/>
  <c r="Y76" i="3" a="1"/>
  <c r="N76" i="3" a="1"/>
  <c r="E76" i="3" a="1"/>
  <c r="AT75" i="3" a="1"/>
  <c r="AK75" i="3" a="1"/>
  <c r="Z75" i="3" a="1"/>
  <c r="O75" i="3" a="1"/>
  <c r="J75" i="3" a="1"/>
  <c r="AU74" i="3" a="1"/>
  <c r="AL74" i="3" a="1"/>
  <c r="AA74" i="3" a="1"/>
  <c r="V74" i="3" a="1"/>
  <c r="K74" i="3" a="1"/>
  <c r="B74" i="3" a="1"/>
  <c r="AM73" i="3" a="1"/>
  <c r="AH73" i="3" a="1"/>
  <c r="W73" i="3" a="1"/>
  <c r="L73" i="3" a="1"/>
  <c r="C73" i="3" a="1"/>
  <c r="AR72" i="3" a="1"/>
  <c r="AI72" i="3" a="1"/>
  <c r="X72" i="3" a="1"/>
  <c r="M72" i="3" a="1"/>
  <c r="H72" i="3" a="1"/>
  <c r="AS71" i="3" a="1"/>
  <c r="AJ71" i="3" a="1"/>
  <c r="Y71" i="3" a="1"/>
  <c r="T71" i="3" a="1"/>
  <c r="I71" i="3" a="1"/>
  <c r="AT70" i="3" a="1"/>
  <c r="AK70" i="3" a="1"/>
  <c r="AD70" i="3" a="1"/>
  <c r="U70" i="3" a="1"/>
  <c r="J70" i="3" a="1"/>
  <c r="AU69" i="3" a="1"/>
  <c r="AP69" i="3" a="1"/>
  <c r="AE69" i="3" a="1"/>
  <c r="V69" i="3" a="1"/>
  <c r="K69" i="3" a="1"/>
  <c r="F69" i="3" a="1"/>
  <c r="AQ68" i="3" a="1"/>
  <c r="AH68" i="3" a="1"/>
  <c r="W68" i="3" a="1"/>
  <c r="R68" i="3" a="1"/>
  <c r="G68" i="3" a="1"/>
  <c r="AR67" i="3" a="1"/>
  <c r="AI67" i="3" a="1"/>
  <c r="AB67" i="3" a="1"/>
  <c r="S67" i="3" a="1"/>
  <c r="H67" i="3" a="1"/>
  <c r="AS63" i="3" a="1"/>
  <c r="AN63" i="3" a="1"/>
  <c r="AC63" i="3" a="1"/>
  <c r="T63" i="3" a="1"/>
  <c r="I63" i="3" a="1"/>
  <c r="D63" i="3" a="1"/>
  <c r="AO62" i="3" a="1"/>
  <c r="AD62" i="3" a="1"/>
  <c r="U62" i="3" a="1"/>
  <c r="N62" i="3" a="1"/>
  <c r="E62" i="3" a="1"/>
  <c r="AP61" i="3" a="1"/>
  <c r="AE61" i="3" a="1"/>
  <c r="Z61" i="3" a="1"/>
  <c r="O61" i="3" a="1"/>
  <c r="F61" i="3" a="1"/>
  <c r="AQ60" i="3" a="1"/>
  <c r="AL60" i="3" a="1"/>
  <c r="AA60" i="3" a="1"/>
  <c r="R60" i="3" a="1"/>
  <c r="G60" i="3" a="1"/>
  <c r="B60" i="3" a="1"/>
  <c r="AM59" i="3" a="1"/>
  <c r="AB59" i="3" a="1"/>
  <c r="S59" i="3" a="1"/>
  <c r="L59" i="3" a="1"/>
  <c r="C59" i="3" a="1"/>
  <c r="AN58" i="3" a="1"/>
  <c r="AC58" i="3" a="1"/>
  <c r="X58" i="3" a="1"/>
  <c r="M58" i="3" a="1"/>
  <c r="D58" i="3" a="1"/>
  <c r="AO57" i="3" a="1"/>
  <c r="AJ57" i="3" a="1"/>
  <c r="Y57" i="3" a="1"/>
  <c r="N57" i="3" a="1"/>
  <c r="E57" i="3" a="1"/>
  <c r="AT56" i="3" a="1"/>
  <c r="AK56" i="3" a="1"/>
  <c r="Z56" i="3" a="1"/>
  <c r="O56" i="3" a="1"/>
  <c r="J56" i="3" a="1"/>
  <c r="AU55" i="3" a="1"/>
  <c r="AL55" i="3" a="1"/>
  <c r="AA55" i="3" a="1"/>
  <c r="V55" i="3" a="1"/>
  <c r="K55" i="3" a="1"/>
  <c r="B55" i="3" a="1"/>
  <c r="AM54" i="3" a="1"/>
  <c r="AH54" i="3" a="1"/>
  <c r="W54" i="3" a="1"/>
  <c r="L54" i="3" a="1"/>
  <c r="C54" i="3" a="1"/>
  <c r="AR53" i="3" a="1"/>
  <c r="AI53" i="3" a="1"/>
  <c r="X53" i="3" a="1"/>
  <c r="M53" i="3" a="1"/>
  <c r="H53" i="3" a="1"/>
  <c r="AS52" i="3" a="1"/>
  <c r="AJ52" i="3" a="1"/>
  <c r="AJ103" i="3" a="1"/>
  <c r="AO102" i="3" a="1"/>
  <c r="U102" i="3" a="1"/>
  <c r="E102" i="3" a="1"/>
  <c r="J101" i="3" a="1"/>
  <c r="AL100" i="3" a="1"/>
  <c r="AQ99" i="3" a="1"/>
  <c r="Z99" i="3" a="1"/>
  <c r="AJ98" i="3" a="1"/>
  <c r="AC97" i="3" a="1"/>
  <c r="O97" i="3" a="1"/>
  <c r="AT96" i="3" a="1"/>
  <c r="H96" i="3" a="1"/>
  <c r="AM95" i="3" a="1"/>
  <c r="K95" i="3" a="1"/>
  <c r="AB94" i="3" a="1"/>
  <c r="AM93" i="3" a="1"/>
  <c r="K93" i="3" a="1"/>
  <c r="AD92" i="3" a="1"/>
  <c r="W92" i="3" a="1"/>
  <c r="E92" i="3" a="1"/>
  <c r="O91" i="3" a="1"/>
  <c r="AL90" i="3" a="1"/>
  <c r="AD90" i="3" a="1"/>
  <c r="F90" i="3" a="1"/>
  <c r="AT89" i="3" a="1"/>
  <c r="AD89" i="3" a="1"/>
  <c r="W89" i="3" a="1"/>
  <c r="AS88" i="3" a="1"/>
  <c r="AM88" i="3" a="1"/>
  <c r="W88" i="3" a="1"/>
  <c r="AM87" i="3" a="1"/>
  <c r="AD87" i="3" a="1"/>
  <c r="S87" i="3" a="1"/>
  <c r="E87" i="3" a="1"/>
  <c r="AL83" i="3" a="1"/>
  <c r="Y83" i="3" a="1"/>
  <c r="S83" i="3" a="1"/>
  <c r="K83" i="3" a="1"/>
  <c r="E83" i="3" a="1"/>
  <c r="AS82" i="3" a="1"/>
  <c r="AE82" i="3" a="1"/>
  <c r="Y82" i="3" a="1"/>
  <c r="Y81" i="3" a="1"/>
  <c r="T81" i="3" a="1"/>
  <c r="M81" i="3" a="1"/>
  <c r="G81" i="3" a="1"/>
  <c r="B81" i="3" a="1"/>
  <c r="AQ80" i="3" a="1"/>
  <c r="AQ79" i="3" a="1"/>
  <c r="AL79" i="3" a="1"/>
  <c r="AE79" i="3" a="1"/>
  <c r="T79" i="3" a="1"/>
  <c r="M79" i="3" a="1"/>
  <c r="AE78" i="3" a="1"/>
  <c r="M78" i="3" a="1"/>
  <c r="H78" i="3" a="1"/>
  <c r="C78" i="3" a="1"/>
  <c r="AE77" i="3" a="1"/>
  <c r="AS76" i="3" a="1"/>
  <c r="AN76" i="3" a="1"/>
  <c r="AC76" i="3" a="1"/>
  <c r="T76" i="3" a="1"/>
  <c r="I76" i="3" a="1"/>
  <c r="D76" i="3" a="1"/>
  <c r="AO75" i="3" a="1"/>
  <c r="AD75" i="3" a="1"/>
  <c r="U75" i="3" a="1"/>
  <c r="N75" i="3" a="1"/>
  <c r="E75" i="3" a="1"/>
  <c r="AP74" i="3" a="1"/>
  <c r="AE74" i="3" a="1"/>
  <c r="Z74" i="3" a="1"/>
  <c r="O74" i="3" a="1"/>
  <c r="F74" i="3" a="1"/>
  <c r="AQ73" i="3" a="1"/>
  <c r="AL73" i="3" a="1"/>
  <c r="AA73" i="3" a="1"/>
  <c r="R73" i="3" a="1"/>
  <c r="G73" i="3" a="1"/>
  <c r="B73" i="3" a="1"/>
  <c r="AM72" i="3" a="1"/>
  <c r="AB72" i="3" a="1"/>
  <c r="S72" i="3" a="1"/>
  <c r="L72" i="3" a="1"/>
  <c r="C72" i="3" a="1"/>
  <c r="AN71" i="3" a="1"/>
  <c r="AC71" i="3" a="1"/>
  <c r="X71" i="3" a="1"/>
  <c r="M71" i="3" a="1"/>
  <c r="D71" i="3" a="1"/>
  <c r="AO70" i="3" a="1"/>
  <c r="AJ70" i="3" a="1"/>
  <c r="Y70" i="3" a="1"/>
  <c r="N70" i="3" a="1"/>
  <c r="E70" i="3" a="1"/>
  <c r="AT69" i="3" a="1"/>
  <c r="AK69" i="3" a="1"/>
  <c r="Z69" i="3" a="1"/>
  <c r="O69" i="3" a="1"/>
  <c r="J69" i="3" a="1"/>
  <c r="AU68" i="3" a="1"/>
  <c r="AL68" i="3" a="1"/>
  <c r="AA68" i="3" a="1"/>
  <c r="V68" i="3" a="1"/>
  <c r="K68" i="3" a="1"/>
  <c r="B68" i="3" a="1"/>
  <c r="AI103" i="3" a="1"/>
  <c r="M103" i="3" a="1"/>
  <c r="Y101" i="3" a="1"/>
  <c r="L100" i="3" a="1"/>
  <c r="AN99" i="3" a="1"/>
  <c r="R98" i="3" a="1"/>
  <c r="AT97" i="3" a="1"/>
  <c r="AQ96" i="3" a="1"/>
  <c r="Y96" i="3" a="1"/>
  <c r="G96" i="3" a="1"/>
  <c r="W95" i="3" a="1"/>
  <c r="G95" i="3" a="1"/>
  <c r="AQ94" i="3" a="1"/>
  <c r="G94" i="3" a="1"/>
  <c r="AB93" i="3" a="1"/>
  <c r="AN92" i="3" a="1"/>
  <c r="L92" i="3" a="1"/>
  <c r="AP91" i="3" a="1"/>
  <c r="X91" i="3" a="1"/>
  <c r="F91" i="3" a="1"/>
  <c r="AS90" i="3" a="1"/>
  <c r="L90" i="3" a="1"/>
  <c r="AR89" i="3" a="1"/>
  <c r="AL89" i="3" a="1"/>
  <c r="V89" i="3" a="1"/>
  <c r="L89" i="3" a="1"/>
  <c r="F89" i="3" a="1"/>
  <c r="AL88" i="3" a="1"/>
  <c r="AC88" i="3" a="1"/>
  <c r="M88" i="3" a="1"/>
  <c r="F88" i="3" a="1"/>
  <c r="AS87" i="3" a="1"/>
  <c r="X87" i="3" a="1"/>
  <c r="R87" i="3" a="1"/>
  <c r="J87" i="3" a="1"/>
  <c r="AR83" i="3" a="1"/>
  <c r="AD83" i="3" a="1"/>
  <c r="X83" i="3" a="1"/>
  <c r="R83" i="3" a="1"/>
  <c r="J83" i="3" a="1"/>
  <c r="D83" i="3" a="1"/>
  <c r="AL82" i="3" a="1"/>
  <c r="AD82" i="3" a="1"/>
  <c r="S82" i="3" a="1"/>
  <c r="L82" i="3" a="1"/>
  <c r="AU81" i="3" a="1"/>
  <c r="AP81" i="3" a="1"/>
  <c r="AK81" i="3" a="1"/>
  <c r="AK80" i="3" a="1"/>
  <c r="AD80" i="3" a="1"/>
  <c r="Y80" i="3" a="1"/>
  <c r="S80" i="3" a="1"/>
  <c r="L80" i="3" a="1"/>
  <c r="G80" i="3" a="1"/>
  <c r="G79" i="3" a="1"/>
  <c r="B79" i="3" a="1"/>
  <c r="AQ78" i="3" a="1"/>
  <c r="AD78" i="3" a="1"/>
  <c r="Y78" i="3" a="1"/>
  <c r="AB103" i="3" a="1"/>
  <c r="N102" i="3" a="1"/>
  <c r="AI101" i="3" a="1"/>
  <c r="AT98" i="3" a="1"/>
  <c r="J97" i="3" a="1"/>
  <c r="AJ96" i="3" a="1"/>
  <c r="B96" i="3" a="1"/>
  <c r="AB95" i="3" a="1"/>
  <c r="C95" i="3" a="1"/>
  <c r="AR93" i="3" a="1"/>
  <c r="O93" i="3" a="1"/>
  <c r="AT92" i="3" a="1"/>
  <c r="AJ92" i="3" a="1"/>
  <c r="G92" i="3" a="1"/>
  <c r="AQ90" i="3" a="1"/>
  <c r="AE90" i="3" a="1"/>
  <c r="E90" i="3" a="1"/>
  <c r="AA89" i="3" a="1"/>
  <c r="C89" i="3" a="1"/>
  <c r="Y88" i="3" a="1"/>
  <c r="B88" i="3" a="1"/>
  <c r="M87" i="3" a="1"/>
  <c r="AB83" i="3" a="1"/>
  <c r="G83" i="3" a="1"/>
  <c r="AH82" i="3" a="1"/>
  <c r="V82" i="3" a="1"/>
  <c r="K82" i="3" a="1"/>
  <c r="D82" i="3" a="1"/>
  <c r="AO81" i="3" a="1"/>
  <c r="K81" i="3" a="1"/>
  <c r="AO80" i="3" a="1"/>
  <c r="AH79" i="3" a="1"/>
  <c r="W79" i="3" a="1"/>
  <c r="AO78" i="3" a="1"/>
  <c r="W78" i="3" a="1"/>
  <c r="G78" i="3" a="1"/>
  <c r="AT77" i="3" a="1"/>
  <c r="G77" i="3" a="1"/>
  <c r="AU76" i="3" a="1"/>
  <c r="AA76" i="3" a="1"/>
  <c r="U76" i="3" a="1"/>
  <c r="L76" i="3" a="1"/>
  <c r="AU75" i="3" a="1"/>
  <c r="AN75" i="3" a="1"/>
  <c r="AH75" i="3" a="1"/>
  <c r="L75" i="3" a="1"/>
  <c r="F75" i="3" a="1"/>
  <c r="AH74" i="3" a="1"/>
  <c r="Y74" i="3" a="1"/>
  <c r="E74" i="3" a="1"/>
  <c r="AS73" i="3" a="1"/>
  <c r="Y73" i="3" a="1"/>
  <c r="S73" i="3" a="1"/>
  <c r="J73" i="3" a="1"/>
  <c r="AS72" i="3" a="1"/>
  <c r="AL72" i="3" a="1"/>
  <c r="AD72" i="3" a="1"/>
  <c r="J72" i="3" a="1"/>
  <c r="D72" i="3" a="1"/>
  <c r="AD71" i="3" a="1"/>
  <c r="W71" i="3" a="1"/>
  <c r="C71" i="3" a="1"/>
  <c r="AQ70" i="3" a="1"/>
  <c r="W70" i="3" a="1"/>
  <c r="O70" i="3" a="1"/>
  <c r="H70" i="3" a="1"/>
  <c r="AQ69" i="3" a="1"/>
  <c r="AJ69" i="3" a="1"/>
  <c r="AB69" i="3" a="1"/>
  <c r="H69" i="3" a="1"/>
  <c r="B69" i="3" a="1"/>
  <c r="AB68" i="3" a="1"/>
  <c r="U68" i="3" a="1"/>
  <c r="AU67" i="3" a="1"/>
  <c r="X67" i="3" a="1"/>
  <c r="F67" i="3" a="1"/>
  <c r="AU63" i="3" a="1"/>
  <c r="AP63" i="3" a="1"/>
  <c r="AK63" i="3" a="1"/>
  <c r="X63" i="3" a="1"/>
  <c r="S63" i="3" a="1"/>
  <c r="AP62" i="3" a="1"/>
  <c r="AK62" i="3" a="1"/>
  <c r="X62" i="3" a="1"/>
  <c r="S62" i="3" a="1"/>
  <c r="L62" i="3" a="1"/>
  <c r="G62" i="3" a="1"/>
  <c r="AK61" i="3" a="1"/>
  <c r="L61" i="3" a="1"/>
  <c r="G61" i="3" a="1"/>
  <c r="B61" i="3" a="1"/>
  <c r="AP60" i="3" a="1"/>
  <c r="AK60" i="3" a="1"/>
  <c r="AD60" i="3" a="1"/>
  <c r="Y60" i="3" a="1"/>
  <c r="AD59" i="3" a="1"/>
  <c r="Y59" i="3" a="1"/>
  <c r="T59" i="3" a="1"/>
  <c r="M59" i="3" a="1"/>
  <c r="G59" i="3" a="1"/>
  <c r="B59" i="3" a="1"/>
  <c r="AQ58" i="3" a="1"/>
  <c r="T58" i="3" a="1"/>
  <c r="B58" i="3" a="1"/>
  <c r="AQ57" i="3" a="1"/>
  <c r="AL57" i="3" a="1"/>
  <c r="AE57" i="3" a="1"/>
  <c r="T57" i="3" a="1"/>
  <c r="M57" i="3" a="1"/>
  <c r="AL56" i="3" a="1"/>
  <c r="AE56" i="3" a="1"/>
  <c r="T56" i="3" a="1"/>
  <c r="M56" i="3" a="1"/>
  <c r="H56" i="3" a="1"/>
  <c r="C56" i="3" a="1"/>
  <c r="AE55" i="3" a="1"/>
  <c r="H55" i="3" a="1"/>
  <c r="C55" i="3" a="1"/>
  <c r="AR54" i="3" a="1"/>
  <c r="AL54" i="3" a="1"/>
  <c r="AE54" i="3" a="1"/>
  <c r="Z54" i="3" a="1"/>
  <c r="U54" i="3" a="1"/>
  <c r="Z53" i="3" a="1"/>
  <c r="U53" i="3" a="1"/>
  <c r="N53" i="3" a="1"/>
  <c r="I53" i="3" a="1"/>
  <c r="C53" i="3" a="1"/>
  <c r="AR52" i="3" a="1"/>
  <c r="AM52" i="3" a="1"/>
  <c r="AA52" i="3" a="1"/>
  <c r="R52" i="3" a="1"/>
  <c r="K52" i="3" a="1"/>
  <c r="B52" i="3" a="1"/>
  <c r="AM51" i="3" a="1"/>
  <c r="AB51" i="3" a="1"/>
  <c r="W51" i="3" a="1"/>
  <c r="L51" i="3" a="1"/>
  <c r="C51" i="3" a="1"/>
  <c r="AN50" i="3" a="1"/>
  <c r="AJ50" i="3" a="1"/>
  <c r="AD50" i="3" a="1"/>
  <c r="Z50" i="3" a="1"/>
  <c r="V50" i="3" a="1"/>
  <c r="R50" i="3" a="1"/>
  <c r="L50" i="3" a="1"/>
  <c r="H50" i="3" a="1"/>
  <c r="D50" i="3" a="1"/>
  <c r="AT49" i="3" a="1"/>
  <c r="AP49" i="3" a="1"/>
  <c r="AL49" i="3" a="1"/>
  <c r="AH49" i="3" a="1"/>
  <c r="AB49" i="3" a="1"/>
  <c r="X49" i="3" a="1"/>
  <c r="T49" i="3" a="1"/>
  <c r="N49" i="3" a="1"/>
  <c r="J49" i="3" a="1"/>
  <c r="F49" i="3" a="1"/>
  <c r="B49" i="3" a="1"/>
  <c r="AR48" i="3" a="1"/>
  <c r="AN48" i="3" a="1"/>
  <c r="AJ48" i="3" a="1"/>
  <c r="AD48" i="3" a="1"/>
  <c r="Z48" i="3" a="1"/>
  <c r="V48" i="3" a="1"/>
  <c r="R48" i="3" a="1"/>
  <c r="L48" i="3" a="1"/>
  <c r="H48" i="3" a="1"/>
  <c r="D48" i="3" a="1"/>
  <c r="AT47" i="3" a="1"/>
  <c r="AP47" i="3" a="1"/>
  <c r="AL47" i="3" a="1"/>
  <c r="AH47" i="3" a="1"/>
  <c r="AB47" i="3" a="1"/>
  <c r="X47" i="3" a="1"/>
  <c r="T47" i="3" a="1"/>
  <c r="N47" i="3" a="1"/>
  <c r="J47" i="3" a="1"/>
  <c r="F47" i="3" a="1"/>
  <c r="B47" i="3" a="1"/>
  <c r="AR43" i="3" a="1"/>
  <c r="AN43" i="3" a="1"/>
  <c r="AJ43" i="3" a="1"/>
  <c r="AD43" i="3" a="1"/>
  <c r="Z43" i="3" a="1"/>
  <c r="V43" i="3" a="1"/>
  <c r="R43" i="3" a="1"/>
  <c r="L43" i="3" a="1"/>
  <c r="H43" i="3" a="1"/>
  <c r="D43" i="3" a="1"/>
  <c r="AT42" i="3" a="1"/>
  <c r="AP42" i="3" a="1"/>
  <c r="AL42" i="3" a="1"/>
  <c r="AH42" i="3" a="1"/>
  <c r="AB42" i="3" a="1"/>
  <c r="X42" i="3" a="1"/>
  <c r="T42" i="3" a="1"/>
  <c r="N42" i="3" a="1"/>
  <c r="J42" i="3" a="1"/>
  <c r="F42" i="3" a="1"/>
  <c r="B42" i="3" a="1"/>
  <c r="AR41" i="3" a="1"/>
  <c r="AN41" i="3" a="1"/>
  <c r="AJ41" i="3" a="1"/>
  <c r="AD41" i="3" a="1"/>
  <c r="Z41" i="3" a="1"/>
  <c r="V41" i="3" a="1"/>
  <c r="R41" i="3" a="1"/>
  <c r="L41" i="3" a="1"/>
  <c r="H41" i="3" a="1"/>
  <c r="D41" i="3" a="1"/>
  <c r="AT40" i="3" a="1"/>
  <c r="AP40" i="3" a="1"/>
  <c r="AL40" i="3" a="1"/>
  <c r="AH40" i="3" a="1"/>
  <c r="AB40" i="3" a="1"/>
  <c r="X40" i="3" a="1"/>
  <c r="T40" i="3" a="1"/>
  <c r="N40" i="3" a="1"/>
  <c r="J40" i="3" a="1"/>
  <c r="F40" i="3" a="1"/>
  <c r="B40" i="3" a="1"/>
  <c r="AR39" i="3" a="1"/>
  <c r="AN39" i="3" a="1"/>
  <c r="AJ39" i="3" a="1"/>
  <c r="AD39" i="3" a="1"/>
  <c r="Z39" i="3" a="1"/>
  <c r="V39" i="3" a="1"/>
  <c r="R39" i="3" a="1"/>
  <c r="L39" i="3" a="1"/>
  <c r="H39" i="3" a="1"/>
  <c r="D39" i="3" a="1"/>
  <c r="AT38" i="3" a="1"/>
  <c r="AP38" i="3" a="1"/>
  <c r="AL38" i="3" a="1"/>
  <c r="AH38" i="3" a="1"/>
  <c r="AB38" i="3" a="1"/>
  <c r="X38" i="3" a="1"/>
  <c r="T38" i="3" a="1"/>
  <c r="N38" i="3" a="1"/>
  <c r="J38" i="3" a="1"/>
  <c r="F38" i="3" a="1"/>
  <c r="B38" i="3" a="1"/>
  <c r="AR37" i="3" a="1"/>
  <c r="AN37" i="3" a="1"/>
  <c r="AJ37" i="3" a="1"/>
  <c r="AD37" i="3" a="1"/>
  <c r="Z37" i="3" a="1"/>
  <c r="V37" i="3" a="1"/>
  <c r="R37" i="3" a="1"/>
  <c r="L37" i="3" a="1"/>
  <c r="H37" i="3" a="1"/>
  <c r="B103" i="3" a="1"/>
  <c r="AT100" i="3" a="1"/>
  <c r="K100" i="3" a="1"/>
  <c r="AS98" i="3" a="1"/>
  <c r="AK97" i="3" a="1"/>
  <c r="G97" i="3" a="1"/>
  <c r="AU95" i="3" a="1"/>
  <c r="V95" i="3" a="1"/>
  <c r="AU94" i="3" a="1"/>
  <c r="W94" i="3" a="1"/>
  <c r="K94" i="3" a="1"/>
  <c r="N93" i="3" a="1"/>
  <c r="S92" i="3" a="1"/>
  <c r="D92" i="3" a="1"/>
  <c r="V91" i="3" a="1"/>
  <c r="AA90" i="3" a="1"/>
  <c r="R90" i="3" a="1"/>
  <c r="Z89" i="3" a="1"/>
  <c r="AJ88" i="3" a="1"/>
  <c r="X88" i="3" a="1"/>
  <c r="K88" i="3" a="1"/>
  <c r="AR87" i="3" a="1"/>
  <c r="AI87" i="3" a="1"/>
  <c r="W87" i="3" a="1"/>
  <c r="L87" i="3" a="1"/>
  <c r="AK83" i="3" a="1"/>
  <c r="N83" i="3" a="1"/>
  <c r="F83" i="3" a="1"/>
  <c r="AP82" i="3" a="1"/>
  <c r="AC81" i="3" a="1"/>
  <c r="V80" i="3" a="1"/>
  <c r="K80" i="3" a="1"/>
  <c r="AC79" i="3" a="1"/>
  <c r="K79" i="3" a="1"/>
  <c r="AC77" i="3" a="1"/>
  <c r="W77" i="3" a="1"/>
  <c r="M77" i="3" a="1"/>
  <c r="F77" i="3" a="1"/>
  <c r="AH76" i="3" a="1"/>
  <c r="Z76" i="3" a="1"/>
  <c r="F76" i="3" a="1"/>
  <c r="AS75" i="3" a="1"/>
  <c r="Y75" i="3" a="1"/>
  <c r="S75" i="3" a="1"/>
  <c r="AS74" i="3" a="1"/>
  <c r="AM74" i="3" a="1"/>
  <c r="AD74" i="3" a="1"/>
  <c r="S74" i="3" a="1"/>
  <c r="J74" i="3" a="1"/>
  <c r="D74" i="3" a="1"/>
  <c r="AD73" i="3" a="1"/>
  <c r="X73" i="3" a="1"/>
  <c r="D73" i="3" a="1"/>
  <c r="AQ72" i="3" a="1"/>
  <c r="W72" i="3" a="1"/>
  <c r="O72" i="3" a="1"/>
  <c r="AQ71" i="3" a="1"/>
  <c r="AK71" i="3" a="1"/>
  <c r="AB71" i="3" a="1"/>
  <c r="O71" i="3" a="1"/>
  <c r="H71" i="3" a="1"/>
  <c r="B71" i="3" a="1"/>
  <c r="AB70" i="3" a="1"/>
  <c r="V70" i="3" a="1"/>
  <c r="B70" i="3" a="1"/>
  <c r="AO69" i="3" a="1"/>
  <c r="U69" i="3" a="1"/>
  <c r="M69" i="3" a="1"/>
  <c r="AO68" i="3" a="1"/>
  <c r="AI68" i="3" a="1"/>
  <c r="Z68" i="3" a="1"/>
  <c r="M68" i="3" a="1"/>
  <c r="F68" i="3" a="1"/>
  <c r="AT67" i="3" a="1"/>
  <c r="AO67" i="3" a="1"/>
  <c r="AJ67" i="3" a="1"/>
  <c r="AC67" i="3" a="1"/>
  <c r="W67" i="3" a="1"/>
  <c r="R67" i="3" a="1"/>
  <c r="K67" i="3" a="1"/>
  <c r="AJ63" i="3" a="1"/>
  <c r="R63" i="3" a="1"/>
  <c r="K63" i="3" a="1"/>
  <c r="F63" i="3" a="1"/>
  <c r="AU62" i="3" a="1"/>
  <c r="AJ62" i="3" a="1"/>
  <c r="AC62" i="3" a="1"/>
  <c r="F62" i="3" a="1"/>
  <c r="AU61" i="3" a="1"/>
  <c r="AJ61" i="3" a="1"/>
  <c r="AC61" i="3" a="1"/>
  <c r="X61" i="3" a="1"/>
  <c r="S61" i="3" a="1"/>
  <c r="AU60" i="3" a="1"/>
  <c r="X60" i="3" a="1"/>
  <c r="S60" i="3" a="1"/>
  <c r="L60" i="3" a="1"/>
  <c r="F60" i="3" a="1"/>
  <c r="AU59" i="3" a="1"/>
  <c r="AA103" i="3" a="1"/>
  <c r="AN102" i="3" a="1"/>
  <c r="H102" i="3" a="1"/>
  <c r="U101" i="3" a="1"/>
  <c r="AM100" i="3" a="1"/>
  <c r="E100" i="3" a="1"/>
  <c r="AQ98" i="3" a="1"/>
  <c r="K98" i="3" a="1"/>
  <c r="F97" i="3" a="1"/>
  <c r="F94" i="3" a="1"/>
  <c r="AP93" i="3" a="1"/>
  <c r="AA93" i="3" a="1"/>
  <c r="L93" i="3" a="1"/>
  <c r="AS92" i="3" a="1"/>
  <c r="AC92" i="3" a="1"/>
  <c r="R92" i="3" a="1"/>
  <c r="AU91" i="3" a="1"/>
  <c r="AK91" i="3" a="1"/>
  <c r="AO90" i="3" a="1"/>
  <c r="C90" i="3" a="1"/>
  <c r="K89" i="3" a="1"/>
  <c r="B89" i="3" a="1"/>
  <c r="V88" i="3" a="1"/>
  <c r="I88" i="3" a="1"/>
  <c r="AH87" i="3" a="1"/>
  <c r="U87" i="3" a="1"/>
  <c r="I87" i="3" a="1"/>
  <c r="AU83" i="3" a="1"/>
  <c r="Z83" i="3" a="1"/>
  <c r="AC82" i="3" a="1"/>
  <c r="U82" i="3" a="1"/>
  <c r="U81" i="3" a="1"/>
  <c r="J81" i="3" a="1"/>
  <c r="AU80" i="3" a="1"/>
  <c r="AU79" i="3" a="1"/>
  <c r="AN78" i="3" a="1"/>
  <c r="AC78" i="3" a="1"/>
  <c r="V78" i="3" a="1"/>
  <c r="L78" i="3" a="1"/>
  <c r="E78" i="3" a="1"/>
  <c r="AS77" i="3" a="1"/>
  <c r="AK77" i="3" a="1"/>
  <c r="AT76" i="3" a="1"/>
  <c r="AM76" i="3" a="1"/>
  <c r="S76" i="3" a="1"/>
  <c r="K76" i="3" a="1"/>
  <c r="AM75" i="3" a="1"/>
  <c r="AE75" i="3" a="1"/>
  <c r="X75" i="3" a="1"/>
  <c r="K75" i="3" a="1"/>
  <c r="D75" i="3" a="1"/>
  <c r="AR74" i="3" a="1"/>
  <c r="X74" i="3" a="1"/>
  <c r="R74" i="3" a="1"/>
  <c r="AR73" i="3" a="1"/>
  <c r="AK73" i="3" a="1"/>
  <c r="O73" i="3" a="1"/>
  <c r="I73" i="3" a="1"/>
  <c r="AK72" i="3" a="1"/>
  <c r="AC72" i="3" a="1"/>
  <c r="V72" i="3" a="1"/>
  <c r="I72" i="3" a="1"/>
  <c r="B72" i="3" a="1"/>
  <c r="AP71" i="3" a="1"/>
  <c r="V71" i="3" a="1"/>
  <c r="N71" i="3" a="1"/>
  <c r="AP70" i="3" a="1"/>
  <c r="AI70" i="3" a="1"/>
  <c r="M70" i="3" a="1"/>
  <c r="G70" i="3" a="1"/>
  <c r="AI69" i="3" a="1"/>
  <c r="AA69" i="3" a="1"/>
  <c r="T69" i="3" a="1"/>
  <c r="G69" i="3" a="1"/>
  <c r="AT68" i="3" a="1"/>
  <c r="AN68" i="3" a="1"/>
  <c r="T68" i="3" a="1"/>
  <c r="L68" i="3" a="1"/>
  <c r="J67" i="3" a="1"/>
  <c r="E67" i="3" a="1"/>
  <c r="AT63" i="3" a="1"/>
  <c r="AO63" i="3" a="1"/>
  <c r="AI63" i="3" a="1"/>
  <c r="AB63" i="3" a="1"/>
  <c r="W63" i="3" a="1"/>
  <c r="AT62" i="3" a="1"/>
  <c r="AB62" i="3" a="1"/>
  <c r="W62" i="3" a="1"/>
  <c r="R62" i="3" a="1"/>
  <c r="K62" i="3" a="1"/>
  <c r="AT61" i="3" a="1"/>
  <c r="AO61" i="3" a="1"/>
  <c r="R61" i="3" a="1"/>
  <c r="K61" i="3" a="1"/>
  <c r="AT60" i="3" a="1"/>
  <c r="AO60" i="3" a="1"/>
  <c r="AJ60" i="3" a="1"/>
  <c r="AC60" i="3" a="1"/>
  <c r="K60" i="3" a="1"/>
  <c r="AJ59" i="3" a="1"/>
  <c r="AC59" i="3" a="1"/>
  <c r="X59" i="3" a="1"/>
  <c r="R59" i="3" a="1"/>
  <c r="K59" i="3" a="1"/>
  <c r="F59" i="3" a="1"/>
  <c r="AU58" i="3" a="1"/>
  <c r="F58" i="3" a="1"/>
  <c r="AU57" i="3" a="1"/>
  <c r="AP57" i="3" a="1"/>
  <c r="AK57" i="3" a="1"/>
  <c r="AC57" i="3" a="1"/>
  <c r="X57" i="3" a="1"/>
  <c r="S57" i="3" a="1"/>
  <c r="AP56" i="3" a="1"/>
  <c r="W103" i="3" a="1"/>
  <c r="AB102" i="3" a="1"/>
  <c r="T101" i="3" a="1"/>
  <c r="W100" i="3" a="1"/>
  <c r="J98" i="3" a="1"/>
  <c r="S96" i="3" a="1"/>
  <c r="AE95" i="3" a="1"/>
  <c r="AI93" i="3" a="1"/>
  <c r="G93" i="3" a="1"/>
  <c r="J92" i="3" a="1"/>
  <c r="AD91" i="3" a="1"/>
  <c r="L91" i="3" a="1"/>
  <c r="AK90" i="3" a="1"/>
  <c r="T90" i="3" a="1"/>
  <c r="X89" i="3" a="1"/>
  <c r="L88" i="3" a="1"/>
  <c r="AO87" i="3" a="1"/>
  <c r="F87" i="3" a="1"/>
  <c r="T83" i="3" a="1"/>
  <c r="AU82" i="3" a="1"/>
  <c r="AB82" i="3" a="1"/>
  <c r="AH81" i="3" a="1"/>
  <c r="O81" i="3" a="1"/>
  <c r="AI80" i="3" a="1"/>
  <c r="R80" i="3" a="1"/>
  <c r="E80" i="3" a="1"/>
  <c r="S79" i="3" a="1"/>
  <c r="F79" i="3" a="1"/>
  <c r="AQ77" i="3" a="1"/>
  <c r="AQ76" i="3" a="1"/>
  <c r="AE76" i="3" a="1"/>
  <c r="V76" i="3" a="1"/>
  <c r="J76" i="3" a="1"/>
  <c r="AJ75" i="3" a="1"/>
  <c r="M75" i="3" a="1"/>
  <c r="C75" i="3" a="1"/>
  <c r="AN74" i="3" a="1"/>
  <c r="AB74" i="3" a="1"/>
  <c r="G74" i="3" a="1"/>
  <c r="AE73" i="3" a="1"/>
  <c r="U73" i="3" a="1"/>
  <c r="AT72" i="3" a="1"/>
  <c r="Y72" i="3" a="1"/>
  <c r="AM71" i="3" a="1"/>
  <c r="R71" i="3" a="1"/>
  <c r="AN70" i="3" a="1"/>
  <c r="AE70" i="3" a="1"/>
  <c r="I70" i="3" a="1"/>
  <c r="AH69" i="3" a="1"/>
  <c r="C69" i="3" a="1"/>
  <c r="Y68" i="3" a="1"/>
  <c r="D68" i="3" a="1"/>
  <c r="AP67" i="3" a="1"/>
  <c r="AE67" i="3" a="1"/>
  <c r="V67" i="3" a="1"/>
  <c r="M67" i="3" a="1"/>
  <c r="D67" i="3" a="1"/>
  <c r="V63" i="3" a="1"/>
  <c r="M63" i="3" a="1"/>
  <c r="AQ62" i="3" a="1"/>
  <c r="M62" i="3" a="1"/>
  <c r="D62" i="3" a="1"/>
  <c r="AQ61" i="3" a="1"/>
  <c r="AH61" i="3" a="1"/>
  <c r="W61" i="3" a="1"/>
  <c r="D61" i="3" a="1"/>
  <c r="AH60" i="3" a="1"/>
  <c r="W60" i="3" a="1"/>
  <c r="AQ59" i="3" a="1"/>
  <c r="AA59" i="3" a="1"/>
  <c r="D59" i="3" a="1"/>
  <c r="AJ58" i="3" a="1"/>
  <c r="AA58" i="3" a="1"/>
  <c r="U58" i="3" a="1"/>
  <c r="K58" i="3" a="1"/>
  <c r="U57" i="3" a="1"/>
  <c r="K57" i="3" a="1"/>
  <c r="D57" i="3" a="1"/>
  <c r="AR56" i="3" a="1"/>
  <c r="AJ56" i="3" a="1"/>
  <c r="V56" i="3" a="1"/>
  <c r="AB55" i="3" a="1"/>
  <c r="N55" i="3" a="1"/>
  <c r="AJ54" i="3" a="1"/>
  <c r="AB54" i="3" a="1"/>
  <c r="V54" i="3" a="1"/>
  <c r="N54" i="3" a="1"/>
  <c r="H54" i="3" a="1"/>
  <c r="AP53" i="3" a="1"/>
  <c r="AJ53" i="3" a="1"/>
  <c r="AB53" i="3" a="1"/>
  <c r="V53" i="3" a="1"/>
  <c r="B53" i="3" a="1"/>
  <c r="AP52" i="3" a="1"/>
  <c r="AO51" i="3" a="1"/>
  <c r="AJ51" i="3" a="1"/>
  <c r="AC51" i="3" a="1"/>
  <c r="X51" i="3" a="1"/>
  <c r="R51" i="3" a="1"/>
  <c r="K51" i="3" a="1"/>
  <c r="F51" i="3" a="1"/>
  <c r="AK50" i="3" a="1"/>
  <c r="U50" i="3" a="1"/>
  <c r="J50" i="3" a="1"/>
  <c r="AU49" i="3" a="1"/>
  <c r="AE49" i="3" a="1"/>
  <c r="V49" i="3" a="1"/>
  <c r="K49" i="3" a="1"/>
  <c r="AQ48" i="3" a="1"/>
  <c r="AH48" i="3" a="1"/>
  <c r="W48" i="3" a="1"/>
  <c r="G48" i="3" a="1"/>
  <c r="AR47" i="3" a="1"/>
  <c r="AI47" i="3" a="1"/>
  <c r="S47" i="3" a="1"/>
  <c r="H47" i="3" a="1"/>
  <c r="AS43" i="3" a="1"/>
  <c r="AC43" i="3" a="1"/>
  <c r="T43" i="3" a="1"/>
  <c r="I43" i="3" a="1"/>
  <c r="AO42" i="3" a="1"/>
  <c r="AD42" i="3" a="1"/>
  <c r="U42" i="3" a="1"/>
  <c r="E42" i="3" a="1"/>
  <c r="AP41" i="3" a="1"/>
  <c r="AE41" i="3" a="1"/>
  <c r="O41" i="3" a="1"/>
  <c r="F41" i="3" a="1"/>
  <c r="AQ40" i="3" a="1"/>
  <c r="AA40" i="3" a="1"/>
  <c r="R40" i="3" a="1"/>
  <c r="G40" i="3" a="1"/>
  <c r="AM39" i="3" a="1"/>
  <c r="AB39" i="3" a="1"/>
  <c r="S39" i="3" a="1"/>
  <c r="C39" i="3" a="1"/>
  <c r="AN38" i="3" a="1"/>
  <c r="AC38" i="3" a="1"/>
  <c r="M38" i="3" a="1"/>
  <c r="D38" i="3" a="1"/>
  <c r="AO37" i="3" a="1"/>
  <c r="Y37" i="3" a="1"/>
  <c r="N37" i="3" a="1"/>
  <c r="E37" i="3" a="1"/>
  <c r="AU36" i="3" a="1"/>
  <c r="AQ36" i="3" a="1"/>
  <c r="AM36" i="3" a="1"/>
  <c r="AI36" i="3" a="1"/>
  <c r="AC36" i="3" a="1"/>
  <c r="Y36" i="3" a="1"/>
  <c r="U36" i="3" a="1"/>
  <c r="O36" i="3" a="1"/>
  <c r="K36" i="3" a="1"/>
  <c r="G36" i="3" a="1"/>
  <c r="C36" i="3" a="1"/>
  <c r="AS35" i="3" a="1"/>
  <c r="AO35" i="3" a="1"/>
  <c r="AK35" i="3" a="1"/>
  <c r="AE35" i="3" a="1"/>
  <c r="AA35" i="3" a="1"/>
  <c r="W35" i="3" a="1"/>
  <c r="S35" i="3" a="1"/>
  <c r="M35" i="3" a="1"/>
  <c r="I35" i="3" a="1"/>
  <c r="E35" i="3" a="1"/>
  <c r="AU34" i="3" a="1"/>
  <c r="AQ34" i="3" a="1"/>
  <c r="AM34" i="3" a="1"/>
  <c r="AI34" i="3" a="1"/>
  <c r="AC34" i="3" a="1"/>
  <c r="Y34" i="3" a="1"/>
  <c r="U34" i="3" a="1"/>
  <c r="O34" i="3" a="1"/>
  <c r="K34" i="3" a="1"/>
  <c r="G34" i="3" a="1"/>
  <c r="C34" i="3" a="1"/>
  <c r="AS33" i="3" a="1"/>
  <c r="AO33" i="3" a="1"/>
  <c r="AK33" i="3" a="1"/>
  <c r="AE33" i="3" a="1"/>
  <c r="AA33" i="3" a="1"/>
  <c r="W33" i="3" a="1"/>
  <c r="S33" i="3" a="1"/>
  <c r="M33" i="3" a="1"/>
  <c r="I33" i="3" a="1"/>
  <c r="E33" i="3" a="1"/>
  <c r="AU32" i="3" a="1"/>
  <c r="AQ32" i="3" a="1"/>
  <c r="AM32" i="3" a="1"/>
  <c r="AI32" i="3" a="1"/>
  <c r="AC32" i="3" a="1"/>
  <c r="Y32" i="3" a="1"/>
  <c r="U32" i="3" a="1"/>
  <c r="O32" i="3" a="1"/>
  <c r="K32" i="3" a="1"/>
  <c r="G32" i="3" a="1"/>
  <c r="C32" i="3" a="1"/>
  <c r="AS31" i="3" a="1"/>
  <c r="AO31" i="3" a="1"/>
  <c r="AK31" i="3" a="1"/>
  <c r="AE31" i="3" a="1"/>
  <c r="AA31" i="3" a="1"/>
  <c r="W31" i="3" a="1"/>
  <c r="S31" i="3" a="1"/>
  <c r="M31" i="3" a="1"/>
  <c r="I31" i="3" a="1"/>
  <c r="E31" i="3" a="1"/>
  <c r="AU30" i="3" a="1"/>
  <c r="AQ30" i="3" a="1"/>
  <c r="AM30" i="3" a="1"/>
  <c r="AI30" i="3" a="1"/>
  <c r="AC30" i="3" a="1"/>
  <c r="Y30" i="3" a="1"/>
  <c r="U30" i="3" a="1"/>
  <c r="O30" i="3" a="1"/>
  <c r="K30" i="3" a="1"/>
  <c r="G30" i="3" a="1"/>
  <c r="C30" i="3" a="1"/>
  <c r="AS29" i="3" a="1"/>
  <c r="AO29" i="3" a="1"/>
  <c r="AK29" i="3" a="1"/>
  <c r="AE29" i="3" a="1"/>
  <c r="AA29" i="3" a="1"/>
  <c r="W29" i="3" a="1"/>
  <c r="S29" i="3" a="1"/>
  <c r="M29" i="3" a="1"/>
  <c r="I29" i="3" a="1"/>
  <c r="E29" i="3" a="1"/>
  <c r="AU28" i="3" a="1"/>
  <c r="AQ28" i="3" a="1"/>
  <c r="AM28" i="3" a="1"/>
  <c r="AI28" i="3" a="1"/>
  <c r="AC28" i="3" a="1"/>
  <c r="Y28" i="3" a="1"/>
  <c r="U28" i="3" a="1"/>
  <c r="O28" i="3" a="1"/>
  <c r="K28" i="3" a="1"/>
  <c r="G28" i="3" a="1"/>
  <c r="C28" i="3" a="1"/>
  <c r="AS27" i="3" a="1"/>
  <c r="AO27" i="3" a="1"/>
  <c r="AK27" i="3" a="1"/>
  <c r="AE27" i="3" a="1"/>
  <c r="AA27" i="3" a="1"/>
  <c r="W27" i="3" a="1"/>
  <c r="S27" i="3" a="1"/>
  <c r="M27" i="3" a="1"/>
  <c r="I27" i="3" a="1"/>
  <c r="E27" i="3" a="1"/>
  <c r="AU23" i="3" a="1"/>
  <c r="AQ23" i="3" a="1"/>
  <c r="AM23" i="3" a="1"/>
  <c r="AI23" i="3" a="1"/>
  <c r="AC23" i="3" a="1"/>
  <c r="Y23" i="3" a="1"/>
  <c r="U23" i="3" a="1"/>
  <c r="O23" i="3" a="1"/>
  <c r="K23" i="3" a="1"/>
  <c r="G23" i="3" a="1"/>
  <c r="C23" i="3" a="1"/>
  <c r="AS22" i="3" a="1"/>
  <c r="AO22" i="3" a="1"/>
  <c r="AK22" i="3" a="1"/>
  <c r="AE22" i="3" a="1"/>
  <c r="AA22" i="3" a="1"/>
  <c r="W22" i="3" a="1"/>
  <c r="S22" i="3" a="1"/>
  <c r="M22" i="3" a="1"/>
  <c r="I22" i="3" a="1"/>
  <c r="E22" i="3" a="1"/>
  <c r="AU21" i="3" a="1"/>
  <c r="AQ21" i="3" a="1"/>
  <c r="AM21" i="3" a="1"/>
  <c r="AI21" i="3" a="1"/>
  <c r="AC21" i="3" a="1"/>
  <c r="Y21" i="3" a="1"/>
  <c r="U21" i="3" a="1"/>
  <c r="O21" i="3" a="1"/>
  <c r="K21" i="3" a="1"/>
  <c r="G21" i="3" a="1"/>
  <c r="C21" i="3" a="1"/>
  <c r="AS20" i="3" a="1"/>
  <c r="AO20" i="3" a="1"/>
  <c r="AK20" i="3" a="1"/>
  <c r="AE20" i="3" a="1"/>
  <c r="AA20" i="3" a="1"/>
  <c r="W20" i="3" a="1"/>
  <c r="S20" i="3" a="1"/>
  <c r="M20" i="3" a="1"/>
  <c r="I20" i="3" a="1"/>
  <c r="E20" i="3" a="1"/>
  <c r="AU19" i="3" a="1"/>
  <c r="AQ19" i="3" a="1"/>
  <c r="AM19" i="3" a="1"/>
  <c r="AI19" i="3" a="1"/>
  <c r="AC19" i="3" a="1"/>
  <c r="Y19" i="3" a="1"/>
  <c r="U19" i="3" a="1"/>
  <c r="O19" i="3" a="1"/>
  <c r="K19" i="3" a="1"/>
  <c r="G19" i="3" a="1"/>
  <c r="C19" i="3" a="1"/>
  <c r="AS18" i="3" a="1"/>
  <c r="AO18" i="3" a="1"/>
  <c r="AK18" i="3" a="1"/>
  <c r="AE18" i="3" a="1"/>
  <c r="AA18" i="3" a="1"/>
  <c r="W18" i="3" a="1"/>
  <c r="S18" i="3" a="1"/>
  <c r="M18" i="3" a="1"/>
  <c r="I18" i="3" a="1"/>
  <c r="E18" i="3" a="1"/>
  <c r="AU17" i="3" a="1"/>
  <c r="AQ17" i="3" a="1"/>
  <c r="AM17" i="3" a="1"/>
  <c r="AI17" i="3" a="1"/>
  <c r="AC17" i="3" a="1"/>
  <c r="Y17" i="3" a="1"/>
  <c r="U17" i="3" a="1"/>
  <c r="O17" i="3" a="1"/>
  <c r="K17" i="3" a="1"/>
  <c r="G17" i="3" a="1"/>
  <c r="S102" i="3" a="1"/>
  <c r="M101" i="3" a="1"/>
  <c r="J99" i="3" a="1"/>
  <c r="S97" i="3" a="1"/>
  <c r="R96" i="3" a="1"/>
  <c r="U95" i="3" a="1"/>
  <c r="AI94" i="3" a="1"/>
  <c r="E94" i="3" a="1"/>
  <c r="AH93" i="3" a="1"/>
  <c r="AB92" i="3" a="1"/>
  <c r="I92" i="3" a="1"/>
  <c r="K91" i="3" a="1"/>
  <c r="AJ90" i="3" a="1"/>
  <c r="AQ89" i="3" a="1"/>
  <c r="U89" i="3" a="1"/>
  <c r="AB88" i="3" a="1"/>
  <c r="AK87" i="3" a="1"/>
  <c r="T87" i="3" a="1"/>
  <c r="C87" i="3" a="1"/>
  <c r="M83" i="3" a="1"/>
  <c r="AA82" i="3" a="1"/>
  <c r="AS81" i="3" a="1"/>
  <c r="AI79" i="3" a="1"/>
  <c r="AJ78" i="3" a="1"/>
  <c r="I78" i="3" a="1"/>
  <c r="AP77" i="3" a="1"/>
  <c r="S77" i="3" a="1"/>
  <c r="E77" i="3" a="1"/>
  <c r="AD76" i="3" a="1"/>
  <c r="H76" i="3" a="1"/>
  <c r="AR75" i="3" a="1"/>
  <c r="W75" i="3" a="1"/>
  <c r="B75" i="3" a="1"/>
  <c r="AK74" i="3" a="1"/>
  <c r="N74" i="3" a="1"/>
  <c r="AO73" i="3" a="1"/>
  <c r="AC73" i="3" a="1"/>
  <c r="T73" i="3" a="1"/>
  <c r="H73" i="3" a="1"/>
  <c r="AH72" i="3" a="1"/>
  <c r="K72" i="3" a="1"/>
  <c r="AU71" i="3" a="1"/>
  <c r="AL71" i="3" a="1"/>
  <c r="Z71" i="3" a="1"/>
  <c r="E71" i="3" a="1"/>
  <c r="AC70" i="3" a="1"/>
  <c r="S70" i="3" a="1"/>
  <c r="AR69" i="3" a="1"/>
  <c r="W69" i="3" a="1"/>
  <c r="AK68" i="3" a="1"/>
  <c r="N68" i="3" a="1"/>
  <c r="AN67" i="3" a="1"/>
  <c r="L67" i="3" a="1"/>
  <c r="C67" i="3" a="1"/>
  <c r="AE63" i="3" a="1"/>
  <c r="L63" i="3" a="1"/>
  <c r="C63" i="3" a="1"/>
  <c r="AN62" i="3" a="1"/>
  <c r="AE62" i="3" a="1"/>
  <c r="V62" i="3" a="1"/>
  <c r="AN61" i="3" a="1"/>
  <c r="V61" i="3" a="1"/>
  <c r="M61" i="3" a="1"/>
  <c r="AE60" i="3" a="1"/>
  <c r="V60" i="3" a="1"/>
  <c r="M60" i="3" a="1"/>
  <c r="D60" i="3" a="1"/>
  <c r="AP59" i="3" a="1"/>
  <c r="AI59" i="3" a="1"/>
  <c r="Z59" i="3" a="1"/>
  <c r="J59" i="3" a="1"/>
  <c r="AP58" i="3" a="1"/>
  <c r="AI58" i="3" a="1"/>
  <c r="S58" i="3" a="1"/>
  <c r="J58" i="3" a="1"/>
  <c r="AI57" i="3" a="1"/>
  <c r="AA57" i="3" a="1"/>
  <c r="AQ56" i="3" a="1"/>
  <c r="AA56" i="3" a="1"/>
  <c r="U56" i="3" a="1"/>
  <c r="G56" i="3" a="1"/>
  <c r="AO55" i="3" a="1"/>
  <c r="AI55" i="3" a="1"/>
  <c r="U55" i="3" a="1"/>
  <c r="M55" i="3" a="1"/>
  <c r="G55" i="3" a="1"/>
  <c r="AU54" i="3" a="1"/>
  <c r="AO54" i="3" a="1"/>
  <c r="AA54" i="3" a="1"/>
  <c r="M54" i="3" a="1"/>
  <c r="G54" i="3" a="1"/>
  <c r="AU53" i="3" a="1"/>
  <c r="G53" i="3" a="1"/>
  <c r="AB52" i="3" a="1"/>
  <c r="W52" i="3" a="1"/>
  <c r="O52" i="3" a="1"/>
  <c r="J52" i="3" a="1"/>
  <c r="E52" i="3" a="1"/>
  <c r="AT51" i="3" a="1"/>
  <c r="E51" i="3" a="1"/>
  <c r="AT50" i="3" a="1"/>
  <c r="AO50" i="3" a="1"/>
  <c r="Y50" i="3" a="1"/>
  <c r="N50" i="3" a="1"/>
  <c r="E50" i="3" a="1"/>
  <c r="AK49" i="3" a="1"/>
  <c r="Z49" i="3" a="1"/>
  <c r="O49" i="3" a="1"/>
  <c r="AU48" i="3" a="1"/>
  <c r="AL48" i="3" a="1"/>
  <c r="AA48" i="3" a="1"/>
  <c r="K48" i="3" a="1"/>
  <c r="B48" i="3" a="1"/>
  <c r="AM47" i="3" a="1"/>
  <c r="W47" i="3" a="1"/>
  <c r="L47" i="3" a="1"/>
  <c r="C47" i="3" a="1"/>
  <c r="AI43" i="3" a="1"/>
  <c r="X43" i="3" a="1"/>
  <c r="M43" i="3" a="1"/>
  <c r="AS42" i="3" a="1"/>
  <c r="AJ42" i="3" a="1"/>
  <c r="Y42" i="3" a="1"/>
  <c r="I42" i="3" a="1"/>
  <c r="AT41" i="3" a="1"/>
  <c r="AK41" i="3" a="1"/>
  <c r="U41" i="3" a="1"/>
  <c r="J41" i="3" a="1"/>
  <c r="AU40" i="3" a="1"/>
  <c r="AE40" i="3" a="1"/>
  <c r="V40" i="3" a="1"/>
  <c r="K40" i="3" a="1"/>
  <c r="AQ39" i="3" a="1"/>
  <c r="AH39" i="3" a="1"/>
  <c r="W39" i="3" a="1"/>
  <c r="G39" i="3" a="1"/>
  <c r="AR38" i="3" a="1"/>
  <c r="AI38" i="3" a="1"/>
  <c r="S38" i="3" a="1"/>
  <c r="H38" i="3" a="1"/>
  <c r="AS37" i="3" a="1"/>
  <c r="AC37" i="3" a="1"/>
  <c r="T37" i="3" a="1"/>
  <c r="I37" i="3" a="1"/>
  <c r="C100" i="3" a="1"/>
  <c r="AU98" i="3" a="1"/>
  <c r="D94" i="3" a="1"/>
  <c r="X93" i="3" a="1"/>
  <c r="F93" i="3" a="1"/>
  <c r="AC91" i="3" a="1"/>
  <c r="E91" i="3" a="1"/>
  <c r="AH90" i="3" a="1"/>
  <c r="K90" i="3" a="1"/>
  <c r="AR88" i="3" a="1"/>
  <c r="AJ87" i="3" a="1"/>
  <c r="O87" i="3" a="1"/>
  <c r="AT83" i="3" a="1"/>
  <c r="AQ82" i="3" a="1"/>
  <c r="Z82" i="3" a="1"/>
  <c r="I82" i="3" a="1"/>
  <c r="AA81" i="3" a="1"/>
  <c r="N81" i="3" a="1"/>
  <c r="AS80" i="3" a="1"/>
  <c r="O80" i="3" a="1"/>
  <c r="AT79" i="3" a="1"/>
  <c r="AU78" i="3" a="1"/>
  <c r="S78" i="3" a="1"/>
  <c r="AB77" i="3" a="1"/>
  <c r="AP76" i="3" a="1"/>
  <c r="R76" i="3" a="1"/>
  <c r="AI75" i="3" a="1"/>
  <c r="I75" i="3" a="1"/>
  <c r="AJ74" i="3" a="1"/>
  <c r="C74" i="3" a="1"/>
  <c r="AB73" i="3" a="1"/>
  <c r="F73" i="3" a="1"/>
  <c r="AP72" i="3" a="1"/>
  <c r="U72" i="3" a="1"/>
  <c r="AT71" i="3" a="1"/>
  <c r="AI71" i="3" a="1"/>
  <c r="L71" i="3" a="1"/>
  <c r="AM70" i="3" a="1"/>
  <c r="AA70" i="3" a="1"/>
  <c r="R70" i="3" a="1"/>
  <c r="F70" i="3" a="1"/>
  <c r="AD69" i="3" a="1"/>
  <c r="I69" i="3" a="1"/>
  <c r="AS68" i="3" a="1"/>
  <c r="AJ68" i="3" a="1"/>
  <c r="X68" i="3" a="1"/>
  <c r="C68" i="3" a="1"/>
  <c r="AM67" i="3" a="1"/>
  <c r="AD67" i="3" a="1"/>
  <c r="U67" i="3" a="1"/>
  <c r="B67" i="3" a="1"/>
  <c r="AM63" i="3" a="1"/>
  <c r="AD63" i="3" a="1"/>
  <c r="U63" i="3" a="1"/>
  <c r="J63" i="3" a="1"/>
  <c r="J62" i="3" a="1"/>
  <c r="C62" i="3" a="1"/>
  <c r="AD61" i="3" a="1"/>
  <c r="U61" i="3" a="1"/>
  <c r="J61" i="3" a="1"/>
  <c r="C61" i="3" a="1"/>
  <c r="AN60" i="3" a="1"/>
  <c r="J60" i="3" a="1"/>
  <c r="AO59" i="3" a="1"/>
  <c r="AH59" i="3" a="1"/>
  <c r="AO58" i="3" a="1"/>
  <c r="AH58" i="3" a="1"/>
  <c r="Z58" i="3" a="1"/>
  <c r="R58" i="3" a="1"/>
  <c r="C58" i="3" a="1"/>
  <c r="Z57" i="3" a="1"/>
  <c r="R57" i="3" a="1"/>
  <c r="J57" i="3" a="1"/>
  <c r="C57" i="3" a="1"/>
  <c r="AO56" i="3" a="1"/>
  <c r="AI56" i="3" a="1"/>
  <c r="L56" i="3" a="1"/>
  <c r="F56" i="3" a="1"/>
  <c r="AT55" i="3" a="1"/>
  <c r="AN55" i="3" a="1"/>
  <c r="Z55" i="3" a="1"/>
  <c r="T55" i="3" a="1"/>
  <c r="L55" i="3" a="1"/>
  <c r="F55" i="3" a="1"/>
  <c r="AT54" i="3" a="1"/>
  <c r="AI54" i="3" a="1"/>
  <c r="T54" i="3" a="1"/>
  <c r="F54" i="3" a="1"/>
  <c r="AO53" i="3" a="1"/>
  <c r="AA53" i="3" a="1"/>
  <c r="L53" i="3" a="1"/>
  <c r="AU52" i="3" a="1"/>
  <c r="AO52" i="3" a="1"/>
  <c r="AI52" i="3" a="1"/>
  <c r="V52" i="3" a="1"/>
  <c r="AS51" i="3" a="1"/>
  <c r="AN51" i="3" a="1"/>
  <c r="AI51" i="3" a="1"/>
  <c r="AA51" i="3" a="1"/>
  <c r="V51" i="3" a="1"/>
  <c r="O51" i="3" a="1"/>
  <c r="J51" i="3" a="1"/>
  <c r="AC50" i="3" a="1"/>
  <c r="T50" i="3" a="1"/>
  <c r="I50" i="3" a="1"/>
  <c r="AO49" i="3" a="1"/>
  <c r="AD49" i="3" a="1"/>
  <c r="U49" i="3" a="1"/>
  <c r="E49" i="3" a="1"/>
  <c r="AP48" i="3" a="1"/>
  <c r="AE48" i="3" a="1"/>
  <c r="O48" i="3" a="1"/>
  <c r="F48" i="3" a="1"/>
  <c r="AQ47" i="3" a="1"/>
  <c r="AA47" i="3" a="1"/>
  <c r="R47" i="3" a="1"/>
  <c r="G47" i="3" a="1"/>
  <c r="AM43" i="3" a="1"/>
  <c r="AB43" i="3" a="1"/>
  <c r="S43" i="3" a="1"/>
  <c r="C43" i="3" a="1"/>
  <c r="AN42" i="3" a="1"/>
  <c r="AC42" i="3" a="1"/>
  <c r="M42" i="3" a="1"/>
  <c r="D42" i="3" a="1"/>
  <c r="AO41" i="3" a="1"/>
  <c r="Y41" i="3" a="1"/>
  <c r="N41" i="3" a="1"/>
  <c r="E41" i="3" a="1"/>
  <c r="AK40" i="3" a="1"/>
  <c r="Z40" i="3" a="1"/>
  <c r="O40" i="3" a="1"/>
  <c r="AU39" i="3" a="1"/>
  <c r="AL39" i="3" a="1"/>
  <c r="AA39" i="3" a="1"/>
  <c r="K39" i="3" a="1"/>
  <c r="B39" i="3" a="1"/>
  <c r="AM38" i="3" a="1"/>
  <c r="W38" i="3" a="1"/>
  <c r="L38" i="3" a="1"/>
  <c r="C38" i="3" a="1"/>
  <c r="AI37" i="3" a="1"/>
  <c r="X37" i="3" a="1"/>
  <c r="G103" i="3" a="1"/>
  <c r="AS101" i="3" a="1"/>
  <c r="AU100" i="3" a="1"/>
  <c r="AM99" i="3" a="1"/>
  <c r="AN98" i="3" a="1"/>
  <c r="AU96" i="3" a="1"/>
  <c r="L95" i="3" a="1"/>
  <c r="E103" i="3" a="1"/>
  <c r="AH100" i="3" a="1"/>
  <c r="AC98" i="3" a="1"/>
  <c r="AL96" i="3" a="1"/>
  <c r="L94" i="3" a="1"/>
  <c r="S93" i="3" a="1"/>
  <c r="AA92" i="3" a="1"/>
  <c r="AO91" i="3" a="1"/>
  <c r="U90" i="3" a="1"/>
  <c r="AH89" i="3" a="1"/>
  <c r="G87" i="3" a="1"/>
  <c r="AO82" i="3" a="1"/>
  <c r="AM80" i="3" a="1"/>
  <c r="AM79" i="3" a="1"/>
  <c r="AO77" i="3" a="1"/>
  <c r="X77" i="3" a="1"/>
  <c r="B77" i="3" a="1"/>
  <c r="AI76" i="3" a="1"/>
  <c r="AQ75" i="3" a="1"/>
  <c r="H75" i="3" a="1"/>
  <c r="AO74" i="3" a="1"/>
  <c r="U74" i="3" a="1"/>
  <c r="AA72" i="3" a="1"/>
  <c r="G72" i="3" a="1"/>
  <c r="AO71" i="3" a="1"/>
  <c r="F71" i="3" a="1"/>
  <c r="AC69" i="3" a="1"/>
  <c r="L69" i="3" a="1"/>
  <c r="AP68" i="3" a="1"/>
  <c r="H68" i="3" a="1"/>
  <c r="Y67" i="3" a="1"/>
  <c r="H63" i="3" a="1"/>
  <c r="I62" i="3" a="1"/>
  <c r="AR61" i="3" a="1"/>
  <c r="N61" i="3" a="1"/>
  <c r="AS60" i="3" a="1"/>
  <c r="AB60" i="3" a="1"/>
  <c r="O60" i="3" a="1"/>
  <c r="AT59" i="3" a="1"/>
  <c r="AK59" i="3" a="1"/>
  <c r="V59" i="3" a="1"/>
  <c r="I59" i="3" a="1"/>
  <c r="AS58" i="3" a="1"/>
  <c r="AE58" i="3" a="1"/>
  <c r="G58" i="3" a="1"/>
  <c r="AN57" i="3" a="1"/>
  <c r="O57" i="3" a="1"/>
  <c r="Y56" i="3" a="1"/>
  <c r="AP55" i="3" a="1"/>
  <c r="AS54" i="3" a="1"/>
  <c r="X54" i="3" a="1"/>
  <c r="D54" i="3" a="1"/>
  <c r="AM53" i="3" a="1"/>
  <c r="AC53" i="3" a="1"/>
  <c r="R53" i="3" a="1"/>
  <c r="F53" i="3" a="1"/>
  <c r="AE52" i="3" a="1"/>
  <c r="X52" i="3" a="1"/>
  <c r="M52" i="3" a="1"/>
  <c r="D52" i="3" a="1"/>
  <c r="AE51" i="3" a="1"/>
  <c r="M51" i="3" a="1"/>
  <c r="D51" i="3" a="1"/>
  <c r="B50" i="3" a="1"/>
  <c r="AN49" i="3" a="1"/>
  <c r="AM48" i="3" a="1"/>
  <c r="AC48" i="3" a="1"/>
  <c r="U48" i="3" a="1"/>
  <c r="M48" i="3" a="1"/>
  <c r="E48" i="3" a="1"/>
  <c r="D47" i="3" a="1"/>
  <c r="AP43" i="3" a="1"/>
  <c r="AH43" i="3" a="1"/>
  <c r="AE42" i="3" a="1"/>
  <c r="W42" i="3" a="1"/>
  <c r="O42" i="3" a="1"/>
  <c r="G42" i="3" a="1"/>
  <c r="AS41" i="3" a="1"/>
  <c r="AR40" i="3" a="1"/>
  <c r="AJ40" i="3" a="1"/>
  <c r="AI39" i="3" a="1"/>
  <c r="Y39" i="3" a="1"/>
  <c r="O39" i="3" a="1"/>
  <c r="I39" i="3" a="1"/>
  <c r="AU38" i="3" a="1"/>
  <c r="AT37" i="3" a="1"/>
  <c r="AL37" i="3" a="1"/>
  <c r="AB37" i="3" a="1"/>
  <c r="M37" i="3" a="1"/>
  <c r="G37" i="3" a="1"/>
  <c r="B37" i="3" a="1"/>
  <c r="AP36" i="3" a="1"/>
  <c r="AK36" i="3" a="1"/>
  <c r="AD36" i="3" a="1"/>
  <c r="X36" i="3" a="1"/>
  <c r="S36" i="3" a="1"/>
  <c r="L36" i="3" a="1"/>
  <c r="F36" i="3" a="1"/>
  <c r="AU35" i="3" a="1"/>
  <c r="AP35" i="3" a="1"/>
  <c r="AJ35" i="3" a="1"/>
  <c r="AC35" i="3" a="1"/>
  <c r="X35" i="3" a="1"/>
  <c r="R35" i="3" a="1"/>
  <c r="K35" i="3" a="1"/>
  <c r="F35" i="3" a="1"/>
  <c r="AT34" i="3" a="1"/>
  <c r="AO34" i="3" a="1"/>
  <c r="AJ34" i="3" a="1"/>
  <c r="AB34" i="3" a="1"/>
  <c r="W34" i="3" a="1"/>
  <c r="R34" i="3" a="1"/>
  <c r="J34" i="3" a="1"/>
  <c r="E34" i="3" a="1"/>
  <c r="AT33" i="3" a="1"/>
  <c r="AN33" i="3" a="1"/>
  <c r="AI33" i="3" a="1"/>
  <c r="AB33" i="3" a="1"/>
  <c r="V33" i="3" a="1"/>
  <c r="O33" i="3" a="1"/>
  <c r="J33" i="3" a="1"/>
  <c r="D33" i="3" a="1"/>
  <c r="AS32" i="3" a="1"/>
  <c r="AN32" i="3" a="1"/>
  <c r="AH32" i="3" a="1"/>
  <c r="AA32" i="3" a="1"/>
  <c r="V32" i="3" a="1"/>
  <c r="N32" i="3" a="1"/>
  <c r="I32" i="3" a="1"/>
  <c r="D32" i="3" a="1"/>
  <c r="AR31" i="3" a="1"/>
  <c r="AM31" i="3" a="1"/>
  <c r="AH31" i="3" a="1"/>
  <c r="Z31" i="3" a="1"/>
  <c r="U31" i="3" a="1"/>
  <c r="N31" i="3" a="1"/>
  <c r="H31" i="3" a="1"/>
  <c r="C31" i="3" a="1"/>
  <c r="AR30" i="3" a="1"/>
  <c r="AL30" i="3" a="1"/>
  <c r="AE30" i="3" a="1"/>
  <c r="Z30" i="3" a="1"/>
  <c r="T30" i="3" a="1"/>
  <c r="M30" i="3" a="1"/>
  <c r="H30" i="3" a="1"/>
  <c r="B30" i="3" a="1"/>
  <c r="AQ29" i="3" a="1"/>
  <c r="AL29" i="3" a="1"/>
  <c r="AD29" i="3" a="1"/>
  <c r="Y29" i="3" a="1"/>
  <c r="T29" i="3" a="1"/>
  <c r="L29" i="3" a="1"/>
  <c r="G29" i="3" a="1"/>
  <c r="B29" i="3" a="1"/>
  <c r="AP28" i="3" a="1"/>
  <c r="AK28" i="3" a="1"/>
  <c r="AD28" i="3" a="1"/>
  <c r="X28" i="3" a="1"/>
  <c r="S28" i="3" a="1"/>
  <c r="L28" i="3" a="1"/>
  <c r="F28" i="3" a="1"/>
  <c r="AU27" i="3" a="1"/>
  <c r="AP27" i="3" a="1"/>
  <c r="AJ27" i="3" a="1"/>
  <c r="AC27" i="3" a="1"/>
  <c r="X27" i="3" a="1"/>
  <c r="R27" i="3" a="1"/>
  <c r="K27" i="3" a="1"/>
  <c r="F27" i="3" a="1"/>
  <c r="AT23" i="3" a="1"/>
  <c r="AO23" i="3" a="1"/>
  <c r="AJ23" i="3" a="1"/>
  <c r="AB23" i="3" a="1"/>
  <c r="W23" i="3" a="1"/>
  <c r="R23" i="3" a="1"/>
  <c r="J23" i="3" a="1"/>
  <c r="AU22" i="3" a="1"/>
  <c r="AL22" i="3" a="1"/>
  <c r="V22" i="3" a="1"/>
  <c r="K22" i="3" a="1"/>
  <c r="B22" i="3" a="1"/>
  <c r="AH21" i="3" a="1"/>
  <c r="W21" i="3" a="1"/>
  <c r="L21" i="3" a="1"/>
  <c r="AR20" i="3" a="1"/>
  <c r="AI20" i="3" a="1"/>
  <c r="X20" i="3" a="1"/>
  <c r="H20" i="3" a="1"/>
  <c r="AS19" i="3" a="1"/>
  <c r="AJ19" i="3" a="1"/>
  <c r="T19" i="3" a="1"/>
  <c r="I19" i="3" a="1"/>
  <c r="AT18" i="3" a="1"/>
  <c r="AD18" i="3" a="1"/>
  <c r="U18" i="3" a="1"/>
  <c r="J18" i="3" a="1"/>
  <c r="AP17" i="3" a="1"/>
  <c r="AE17" i="3" a="1"/>
  <c r="V17" i="3" a="1"/>
  <c r="F17" i="3" a="1"/>
  <c r="B17" i="3" a="1"/>
  <c r="AR16" i="3" a="1"/>
  <c r="AN16" i="3" a="1"/>
  <c r="AJ16" i="3" a="1"/>
  <c r="AD16" i="3" a="1"/>
  <c r="Z16" i="3" a="1"/>
  <c r="V16" i="3" a="1"/>
  <c r="R16" i="3" a="1"/>
  <c r="L16" i="3" a="1"/>
  <c r="H16" i="3" a="1"/>
  <c r="D16" i="3" a="1"/>
  <c r="AT15" i="3" a="1"/>
  <c r="AP15" i="3" a="1"/>
  <c r="AL15" i="3" a="1"/>
  <c r="AK96" i="3" a="1"/>
  <c r="F95" i="3" a="1"/>
  <c r="X92" i="3" a="1"/>
  <c r="AN91" i="3" a="1"/>
  <c r="AU90" i="3" a="1"/>
  <c r="J90" i="3" a="1"/>
  <c r="AQ88" i="3" a="1"/>
  <c r="R88" i="3" a="1"/>
  <c r="AB87" i="3" a="1"/>
  <c r="AQ83" i="3" a="1"/>
  <c r="O82" i="3" a="1"/>
  <c r="AK79" i="3" a="1"/>
  <c r="J79" i="3" a="1"/>
  <c r="AI78" i="3" a="1"/>
  <c r="T77" i="3" a="1"/>
  <c r="AB76" i="3" a="1"/>
  <c r="M76" i="3" a="1"/>
  <c r="AP75" i="3" a="1"/>
  <c r="AA75" i="3" a="1"/>
  <c r="AU73" i="3" a="1"/>
  <c r="AI73" i="3" a="1"/>
  <c r="M73" i="3" a="1"/>
  <c r="Z72" i="3" a="1"/>
  <c r="U71" i="3" a="1"/>
  <c r="AU70" i="3" a="1"/>
  <c r="AH70" i="3" a="1"/>
  <c r="L70" i="3" a="1"/>
  <c r="AS69" i="3" a="1"/>
  <c r="E68" i="3" a="1"/>
  <c r="AK67" i="3" a="1"/>
  <c r="T67" i="3" a="1"/>
  <c r="G67" i="3" a="1"/>
  <c r="AL63" i="3" a="1"/>
  <c r="Y63" i="3" a="1"/>
  <c r="AM62" i="3" a="1"/>
  <c r="Z62" i="3" a="1"/>
  <c r="AA61" i="3" a="1"/>
  <c r="N60" i="3" a="1"/>
  <c r="H59" i="3" a="1"/>
  <c r="AR58" i="3" a="1"/>
  <c r="AD58" i="3" a="1"/>
  <c r="AB57" i="3" a="1"/>
  <c r="B57" i="3" a="1"/>
  <c r="AM56" i="3" a="1"/>
  <c r="X56" i="3" a="1"/>
  <c r="N56" i="3" a="1"/>
  <c r="D56" i="3" a="1"/>
  <c r="AC55" i="3" a="1"/>
  <c r="S55" i="3" a="1"/>
  <c r="I55" i="3" a="1"/>
  <c r="K54" i="3" a="1"/>
  <c r="B54" i="3" a="1"/>
  <c r="AL53" i="3" a="1"/>
  <c r="AQ52" i="3" a="1"/>
  <c r="U52" i="3" a="1"/>
  <c r="C52" i="3" a="1"/>
  <c r="AP51" i="3" a="1"/>
  <c r="AP50" i="3" a="1"/>
  <c r="AH50" i="3" a="1"/>
  <c r="X50" i="3" a="1"/>
  <c r="W49" i="3" a="1"/>
  <c r="M49" i="3" a="1"/>
  <c r="G49" i="3" a="1"/>
  <c r="AS48" i="3" a="1"/>
  <c r="AK48" i="3" a="1"/>
  <c r="AJ47" i="3" a="1"/>
  <c r="Z47" i="3" a="1"/>
  <c r="Y43" i="3" a="1"/>
  <c r="O43" i="3" a="1"/>
  <c r="G43" i="3" a="1"/>
  <c r="AU42" i="3" a="1"/>
  <c r="AM42" i="3" a="1"/>
  <c r="AL41" i="3" a="1"/>
  <c r="AB41" i="3" a="1"/>
  <c r="T41" i="3" a="1"/>
  <c r="S40" i="3" a="1"/>
  <c r="I40" i="3" a="1"/>
  <c r="C40" i="3" a="1"/>
  <c r="AO39" i="3" a="1"/>
  <c r="AE39" i="3" a="1"/>
  <c r="AD38" i="3" a="1"/>
  <c r="V38" i="3" a="1"/>
  <c r="U37" i="3" a="1"/>
  <c r="E23" i="3" a="1"/>
  <c r="AP22" i="3" a="1"/>
  <c r="Z22" i="3" a="1"/>
  <c r="O22" i="3" a="1"/>
  <c r="F22" i="3" a="1"/>
  <c r="AL21" i="3" a="1"/>
  <c r="AA21" i="3" a="1"/>
  <c r="R21" i="3" a="1"/>
  <c r="B21" i="3" a="1"/>
  <c r="AM20" i="3" a="1"/>
  <c r="AB20" i="3" a="1"/>
  <c r="L20" i="3" a="1"/>
  <c r="C20" i="3" a="1"/>
  <c r="AN19" i="3" a="1"/>
  <c r="X19" i="3" a="1"/>
  <c r="M19" i="3" a="1"/>
  <c r="D19" i="3" a="1"/>
  <c r="AJ18" i="3" a="1"/>
  <c r="Y18" i="3" a="1"/>
  <c r="N18" i="3" a="1"/>
  <c r="AT17" i="3" a="1"/>
  <c r="AK17" i="3" a="1"/>
  <c r="Z17" i="3" a="1"/>
  <c r="J17" i="3" a="1"/>
  <c r="T31" i="3" a="1"/>
  <c r="F30" i="3" a="1"/>
  <c r="AP29" i="3" a="1"/>
  <c r="AC29" i="3" a="1"/>
  <c r="K29" i="3" a="1"/>
  <c r="AT28" i="3" a="1"/>
  <c r="AJ28" i="3" a="1"/>
  <c r="W28" i="3" a="1"/>
  <c r="E28" i="3" a="1"/>
  <c r="AN27" i="3" a="1"/>
  <c r="AB27" i="3" a="1"/>
  <c r="O27" i="3" a="1"/>
  <c r="D27" i="3" a="1"/>
  <c r="AN23" i="3" a="1"/>
  <c r="AA23" i="3" a="1"/>
  <c r="I23" i="3" a="1"/>
  <c r="AT22" i="3" a="1"/>
  <c r="U22" i="3" a="1"/>
  <c r="V21" i="3" a="1"/>
  <c r="F21" i="3" a="1"/>
  <c r="R20" i="3" a="1"/>
  <c r="H19" i="3" a="1"/>
  <c r="AC18" i="3" a="1"/>
  <c r="N17" i="3" a="1"/>
  <c r="AU16" i="3" a="1"/>
  <c r="AI16" i="3" a="1"/>
  <c r="U16" i="3" a="1"/>
  <c r="K16" i="3" a="1"/>
  <c r="C16" i="3" a="1"/>
  <c r="AK15" i="3" a="1"/>
  <c r="AA15" i="3" a="1"/>
  <c r="S15" i="3" a="1"/>
  <c r="I15" i="3" a="1"/>
  <c r="AU14" i="3" a="1"/>
  <c r="AM14" i="3" a="1"/>
  <c r="AC14" i="3" a="1"/>
  <c r="U14" i="3" a="1"/>
  <c r="O14" i="3" a="1"/>
  <c r="G14" i="3" a="1"/>
  <c r="AO13" i="3" a="1"/>
  <c r="AK13" i="3" a="1"/>
  <c r="AA13" i="3" a="1"/>
  <c r="S13" i="3" a="1"/>
  <c r="I13" i="3" a="1"/>
  <c r="AU12" i="3" a="1"/>
  <c r="AM12" i="3" a="1"/>
  <c r="AI12" i="3" a="1"/>
  <c r="Y12" i="3" a="1"/>
  <c r="K12" i="3" a="1"/>
  <c r="C12" i="3" a="1"/>
  <c r="AO11" i="3" a="1"/>
  <c r="AE11" i="3" a="1"/>
  <c r="W11" i="3" a="1"/>
  <c r="M11" i="3" a="1"/>
  <c r="E11" i="3" a="1"/>
  <c r="AQ10" i="3" a="1"/>
  <c r="AI10" i="3" a="1"/>
  <c r="Y10" i="3" a="1"/>
  <c r="O10" i="3" a="1"/>
  <c r="G10" i="3" a="1"/>
  <c r="AS9" i="3" a="1"/>
  <c r="AK9" i="3" a="1"/>
  <c r="AA9" i="3" a="1"/>
  <c r="W9" i="3" a="1"/>
  <c r="M9" i="3" a="1"/>
  <c r="E9" i="3" a="1"/>
  <c r="AM8" i="3" a="1"/>
  <c r="AC8" i="3" a="1"/>
  <c r="U8" i="3" a="1"/>
  <c r="K8" i="3" a="1"/>
  <c r="C8" i="3" a="1"/>
  <c r="AO7" i="3" a="1"/>
  <c r="AK7" i="3" a="1"/>
  <c r="AA7" i="3" a="1"/>
  <c r="S7" i="3" a="1"/>
  <c r="I7" i="3" a="1"/>
  <c r="Y98" i="3" a="1"/>
  <c r="T96" i="3" a="1"/>
  <c r="AN93" i="3" a="1"/>
  <c r="O92" i="3" a="1"/>
  <c r="S89" i="3" a="1"/>
  <c r="AJ82" i="3" a="1"/>
  <c r="F81" i="3" a="1"/>
  <c r="X76" i="3" a="1"/>
  <c r="AL75" i="3" a="1"/>
  <c r="Z73" i="3" a="1"/>
  <c r="AN72" i="3" a="1"/>
  <c r="Z70" i="3" a="1"/>
  <c r="X69" i="3" a="1"/>
  <c r="S68" i="3" a="1"/>
  <c r="O67" i="3" a="1"/>
  <c r="E63" i="3" a="1"/>
  <c r="H61" i="3" a="1"/>
  <c r="Z60" i="3" a="1"/>
  <c r="AR59" i="3" a="1"/>
  <c r="L57" i="3" a="1"/>
  <c r="W56" i="3" a="1"/>
  <c r="B56" i="3" a="1"/>
  <c r="O55" i="3" a="1"/>
  <c r="AP54" i="3" a="1"/>
  <c r="AC52" i="3" a="1"/>
  <c r="I52" i="3" a="1"/>
  <c r="B51" i="3" a="1"/>
  <c r="AE50" i="3" a="1"/>
  <c r="M50" i="3" a="1"/>
  <c r="D49" i="3" a="1"/>
  <c r="C48" i="3" a="1"/>
  <c r="Y47" i="3" a="1"/>
  <c r="F43" i="3" a="1"/>
  <c r="AR42" i="3" a="1"/>
  <c r="AI41" i="3" a="1"/>
  <c r="S41" i="3" a="1"/>
  <c r="AT39" i="3" a="1"/>
  <c r="AK38" i="3" a="1"/>
  <c r="U38" i="3" a="1"/>
  <c r="S37" i="3" a="1"/>
  <c r="Z100" i="3" a="1"/>
  <c r="AB98" i="3" a="1"/>
  <c r="AM94" i="3" a="1"/>
  <c r="AS93" i="3" a="1"/>
  <c r="I93" i="3" a="1"/>
  <c r="AB89" i="3" a="1"/>
  <c r="AP88" i="3" a="1"/>
  <c r="D88" i="3" a="1"/>
  <c r="Z87" i="3" a="1"/>
  <c r="AP83" i="3" a="1"/>
  <c r="U83" i="3" a="1"/>
  <c r="AK82" i="3" a="1"/>
  <c r="I81" i="3" a="1"/>
  <c r="AJ80" i="3" a="1"/>
  <c r="I80" i="3" a="1"/>
  <c r="AB79" i="3" a="1"/>
  <c r="I79" i="3" a="1"/>
  <c r="K78" i="3" a="1"/>
  <c r="O77" i="3" a="1"/>
  <c r="AR76" i="3" a="1"/>
  <c r="V75" i="3" a="1"/>
  <c r="G75" i="3" a="1"/>
  <c r="AI74" i="3" a="1"/>
  <c r="T74" i="3" a="1"/>
  <c r="AT73" i="3" a="1"/>
  <c r="AO72" i="3" a="1"/>
  <c r="F72" i="3" a="1"/>
  <c r="AH71" i="3" a="1"/>
  <c r="S71" i="3" a="1"/>
  <c r="AN69" i="3" a="1"/>
  <c r="Y69" i="3" a="1"/>
  <c r="E69" i="3" a="1"/>
  <c r="AM68" i="3" a="1"/>
  <c r="AH67" i="3" a="1"/>
  <c r="G63" i="3" a="1"/>
  <c r="AL62" i="3" a="1"/>
  <c r="Y62" i="3" a="1"/>
  <c r="H62" i="3" a="1"/>
  <c r="AM61" i="3" a="1"/>
  <c r="I61" i="3" a="1"/>
  <c r="AR60" i="3" a="1"/>
  <c r="AS59" i="3" a="1"/>
  <c r="AE59" i="3" a="1"/>
  <c r="U59" i="3" a="1"/>
  <c r="AB58" i="3" a="1"/>
  <c r="O58" i="3" a="1"/>
  <c r="E58" i="3" a="1"/>
  <c r="AM57" i="3" a="1"/>
  <c r="AU56" i="3" a="1"/>
  <c r="AM55" i="3" a="1"/>
  <c r="R55" i="3" a="1"/>
  <c r="AQ54" i="3" a="1"/>
  <c r="J54" i="3" a="1"/>
  <c r="AT53" i="3" a="1"/>
  <c r="Y53" i="3" a="1"/>
  <c r="O53" i="3" a="1"/>
  <c r="E53" i="3" a="1"/>
  <c r="AN52" i="3" a="1"/>
  <c r="AD52" i="3" a="1"/>
  <c r="L52" i="3" a="1"/>
  <c r="AD51" i="3" a="1"/>
  <c r="U51" i="3" a="1"/>
  <c r="O50" i="3" a="1"/>
  <c r="G50" i="3" a="1"/>
  <c r="AS49" i="3" a="1"/>
  <c r="AM49" i="3" a="1"/>
  <c r="AC49" i="3" a="1"/>
  <c r="AB48" i="3" a="1"/>
  <c r="T48" i="3" a="1"/>
  <c r="J48" i="3" a="1"/>
  <c r="I47" i="3" a="1"/>
  <c r="AU43" i="3" a="1"/>
  <c r="AO43" i="3" a="1"/>
  <c r="AE43" i="3" a="1"/>
  <c r="W43" i="3" a="1"/>
  <c r="V42" i="3" a="1"/>
  <c r="L42" i="3" a="1"/>
  <c r="K41" i="3" a="1"/>
  <c r="C41" i="3" a="1"/>
  <c r="AO40" i="3" a="1"/>
  <c r="AI40" i="3" a="1"/>
  <c r="Y40" i="3" a="1"/>
  <c r="X39" i="3" a="1"/>
  <c r="N39" i="3" a="1"/>
  <c r="F39" i="3" a="1"/>
  <c r="E38" i="3" a="1"/>
  <c r="AQ37" i="3" a="1"/>
  <c r="AK37" i="3" a="1"/>
  <c r="AA37" i="3" a="1"/>
  <c r="F37" i="3" a="1"/>
  <c r="AT36" i="3" a="1"/>
  <c r="AO36" i="3" a="1"/>
  <c r="AJ36" i="3" a="1"/>
  <c r="AB36" i="3" a="1"/>
  <c r="W36" i="3" a="1"/>
  <c r="R36" i="3" a="1"/>
  <c r="J36" i="3" a="1"/>
  <c r="E36" i="3" a="1"/>
  <c r="AT35" i="3" a="1"/>
  <c r="AN35" i="3" a="1"/>
  <c r="AI35" i="3" a="1"/>
  <c r="AB35" i="3" a="1"/>
  <c r="V35" i="3" a="1"/>
  <c r="O35" i="3" a="1"/>
  <c r="J35" i="3" a="1"/>
  <c r="D35" i="3" a="1"/>
  <c r="AS34" i="3" a="1"/>
  <c r="AN34" i="3" a="1"/>
  <c r="AH34" i="3" a="1"/>
  <c r="AA34" i="3" a="1"/>
  <c r="V34" i="3" a="1"/>
  <c r="N34" i="3" a="1"/>
  <c r="I34" i="3" a="1"/>
  <c r="D34" i="3" a="1"/>
  <c r="AR33" i="3" a="1"/>
  <c r="AM33" i="3" a="1"/>
  <c r="AH33" i="3" a="1"/>
  <c r="Z33" i="3" a="1"/>
  <c r="U33" i="3" a="1"/>
  <c r="N33" i="3" a="1"/>
  <c r="H33" i="3" a="1"/>
  <c r="C33" i="3" a="1"/>
  <c r="AR32" i="3" a="1"/>
  <c r="AL32" i="3" a="1"/>
  <c r="AE32" i="3" a="1"/>
  <c r="Z32" i="3" a="1"/>
  <c r="T32" i="3" a="1"/>
  <c r="M32" i="3" a="1"/>
  <c r="H32" i="3" a="1"/>
  <c r="B32" i="3" a="1"/>
  <c r="AQ31" i="3" a="1"/>
  <c r="AL31" i="3" a="1"/>
  <c r="AD31" i="3" a="1"/>
  <c r="Y31" i="3" a="1"/>
  <c r="L31" i="3" a="1"/>
  <c r="G31" i="3" a="1"/>
  <c r="B31" i="3" a="1"/>
  <c r="AP30" i="3" a="1"/>
  <c r="AK30" i="3" a="1"/>
  <c r="AD30" i="3" a="1"/>
  <c r="X30" i="3" a="1"/>
  <c r="S30" i="3" a="1"/>
  <c r="L30" i="3" a="1"/>
  <c r="AU29" i="3" a="1"/>
  <c r="AJ29" i="3" a="1"/>
  <c r="X29" i="3" a="1"/>
  <c r="R29" i="3" a="1"/>
  <c r="F29" i="3" a="1"/>
  <c r="AO28" i="3" a="1"/>
  <c r="AB28" i="3" a="1"/>
  <c r="R28" i="3" a="1"/>
  <c r="J28" i="3" a="1"/>
  <c r="AT27" i="3" a="1"/>
  <c r="AI27" i="3" a="1"/>
  <c r="V27" i="3" a="1"/>
  <c r="J27" i="3" a="1"/>
  <c r="AS23" i="3" a="1"/>
  <c r="AH23" i="3" a="1"/>
  <c r="V23" i="3" a="1"/>
  <c r="N23" i="3" a="1"/>
  <c r="AD22" i="3" a="1"/>
  <c r="J22" i="3" a="1"/>
  <c r="AP21" i="3" a="1"/>
  <c r="AE21" i="3" a="1"/>
  <c r="AQ20" i="3" a="1"/>
  <c r="AH20" i="3" a="1"/>
  <c r="G20" i="3" a="1"/>
  <c r="AR19" i="3" a="1"/>
  <c r="AB19" i="3" a="1"/>
  <c r="S19" i="3" a="1"/>
  <c r="AN18" i="3" a="1"/>
  <c r="T18" i="3" a="1"/>
  <c r="D18" i="3" a="1"/>
  <c r="AO17" i="3" a="1"/>
  <c r="AD17" i="3" a="1"/>
  <c r="E17" i="3" a="1"/>
  <c r="AQ16" i="3" a="1"/>
  <c r="AM16" i="3" a="1"/>
  <c r="AC16" i="3" a="1"/>
  <c r="Y16" i="3" a="1"/>
  <c r="O16" i="3" a="1"/>
  <c r="G16" i="3" a="1"/>
  <c r="AS15" i="3" a="1"/>
  <c r="AO15" i="3" a="1"/>
  <c r="AE15" i="3" a="1"/>
  <c r="W15" i="3" a="1"/>
  <c r="M15" i="3" a="1"/>
  <c r="E15" i="3" a="1"/>
  <c r="AQ14" i="3" a="1"/>
  <c r="AI14" i="3" a="1"/>
  <c r="Y14" i="3" a="1"/>
  <c r="K14" i="3" a="1"/>
  <c r="C14" i="3" a="1"/>
  <c r="AS13" i="3" a="1"/>
  <c r="AE13" i="3" a="1"/>
  <c r="W13" i="3" a="1"/>
  <c r="M13" i="3" a="1"/>
  <c r="E13" i="3" a="1"/>
  <c r="AQ12" i="3" a="1"/>
  <c r="AC12" i="3" a="1"/>
  <c r="U12" i="3" a="1"/>
  <c r="O12" i="3" a="1"/>
  <c r="G12" i="3" a="1"/>
  <c r="AS11" i="3" a="1"/>
  <c r="AK11" i="3" a="1"/>
  <c r="AA11" i="3" a="1"/>
  <c r="S11" i="3" a="1"/>
  <c r="I11" i="3" a="1"/>
  <c r="AU10" i="3" a="1"/>
  <c r="AM10" i="3" a="1"/>
  <c r="AC10" i="3" a="1"/>
  <c r="U10" i="3" a="1"/>
  <c r="K10" i="3" a="1"/>
  <c r="C10" i="3" a="1"/>
  <c r="AO9" i="3" a="1"/>
  <c r="AE9" i="3" a="1"/>
  <c r="S9" i="3" a="1"/>
  <c r="I9" i="3" a="1"/>
  <c r="AU8" i="3" a="1"/>
  <c r="AQ8" i="3" a="1"/>
  <c r="AI8" i="3" a="1"/>
  <c r="Y8" i="3" a="1"/>
  <c r="O8" i="3" a="1"/>
  <c r="G8" i="3" a="1"/>
  <c r="AS7" i="3" a="1"/>
  <c r="AE7" i="3" a="1"/>
  <c r="W7" i="3" a="1"/>
  <c r="M7" i="3" a="1"/>
  <c r="E7" i="3" a="1"/>
  <c r="Y100" i="3" a="1"/>
  <c r="E93" i="3" a="1"/>
  <c r="AB91" i="3" a="1"/>
  <c r="I90" i="3" a="1"/>
  <c r="AN88" i="3" a="1"/>
  <c r="I83" i="3" a="1"/>
  <c r="AI81" i="3" a="1"/>
  <c r="AA80" i="3" a="1"/>
  <c r="G76" i="3" a="1"/>
  <c r="T75" i="3" a="1"/>
  <c r="M74" i="3" a="1"/>
  <c r="K73" i="3" a="1"/>
  <c r="AS70" i="3" a="1"/>
  <c r="K70" i="3" a="1"/>
  <c r="AE68" i="3" a="1"/>
  <c r="AS67" i="3" a="1"/>
  <c r="T62" i="3" a="1"/>
  <c r="Y61" i="3" a="1"/>
  <c r="I60" i="3" a="1"/>
  <c r="O59" i="3" a="1"/>
  <c r="N58" i="3" a="1"/>
  <c r="AH56" i="3" a="1"/>
  <c r="K56" i="3" a="1"/>
  <c r="Y55" i="3" a="1"/>
  <c r="E55" i="3" a="1"/>
  <c r="AD54" i="3" a="1"/>
  <c r="AK53" i="3" a="1"/>
  <c r="D53" i="3" a="1"/>
  <c r="T52" i="3" a="1"/>
  <c r="I51" i="3" a="1"/>
  <c r="AM50" i="3" a="1"/>
  <c r="W50" i="3" a="1"/>
  <c r="L49" i="3" a="1"/>
  <c r="AO47" i="3" a="1"/>
  <c r="AE47" i="3" a="1"/>
  <c r="O47" i="3" a="1"/>
  <c r="N43" i="3" a="1"/>
  <c r="AQ41" i="3" a="1"/>
  <c r="AA41" i="3" a="1"/>
  <c r="I41" i="3" a="1"/>
  <c r="H40" i="3" a="1"/>
  <c r="AS38" i="3" a="1"/>
  <c r="AA38" i="3" a="1"/>
  <c r="K38" i="3" a="1"/>
  <c r="K37" i="3" a="1"/>
  <c r="AQ97" i="3" a="1"/>
  <c r="V94" i="3" a="1"/>
  <c r="T91" i="3" a="1"/>
  <c r="B90" i="3" a="1"/>
  <c r="AH88" i="3" a="1"/>
  <c r="N87" i="3" a="1"/>
  <c r="E82" i="3" a="1"/>
  <c r="D78" i="3" a="1"/>
  <c r="AT74" i="3" a="1"/>
  <c r="L74" i="3" a="1"/>
  <c r="E72" i="3" a="1"/>
  <c r="AM69" i="3" a="1"/>
  <c r="D69" i="3" a="1"/>
  <c r="O68" i="3" a="1"/>
  <c r="AA67" i="3" a="1"/>
  <c r="O63" i="3" a="1"/>
  <c r="AI62" i="3" a="1"/>
  <c r="AM60" i="3" a="1"/>
  <c r="E59" i="3" a="1"/>
  <c r="Y58" i="3" a="1"/>
  <c r="W57" i="3" a="1"/>
  <c r="AS56" i="3" a="1"/>
  <c r="D55" i="3" a="1"/>
  <c r="I54" i="3" a="1"/>
  <c r="AH53" i="3" a="1"/>
  <c r="K53" i="3" a="1"/>
  <c r="AL52" i="3" a="1"/>
  <c r="AU51" i="3" a="1"/>
  <c r="F50" i="3" a="1"/>
  <c r="AJ49" i="3" a="1"/>
  <c r="AI48" i="3" a="1"/>
  <c r="S48" i="3" a="1"/>
  <c r="AU47" i="3" a="1"/>
  <c r="AT43" i="3" a="1"/>
  <c r="AA42" i="3" a="1"/>
  <c r="K42" i="3" a="1"/>
  <c r="AN40" i="3" a="1"/>
  <c r="U39" i="3" a="1"/>
  <c r="E39" i="3" a="1"/>
  <c r="AH37" i="3" a="1"/>
  <c r="D37" i="3" a="1"/>
  <c r="AN36" i="3" a="1"/>
  <c r="AA36" i="3" a="1"/>
  <c r="N36" i="3" a="1"/>
  <c r="D36" i="3" a="1"/>
  <c r="AM35" i="3" a="1"/>
  <c r="Z35" i="3" a="1"/>
  <c r="N35" i="3" a="1"/>
  <c r="C35" i="3" a="1"/>
  <c r="AL34" i="3" a="1"/>
  <c r="Z34" i="3" a="1"/>
  <c r="M34" i="3" a="1"/>
  <c r="B34" i="3" a="1"/>
  <c r="AL33" i="3" a="1"/>
  <c r="Y33" i="3" a="1"/>
  <c r="L33" i="3" a="1"/>
  <c r="B33" i="3" a="1"/>
  <c r="AB32" i="3" a="1"/>
  <c r="S32" i="3" a="1"/>
  <c r="AB31" i="3" a="1"/>
  <c r="R31" i="3" a="1"/>
  <c r="AA30" i="3" a="1"/>
  <c r="R30" i="3" a="1"/>
  <c r="Z29" i="3" a="1"/>
  <c r="O29" i="3" a="1"/>
  <c r="Z28" i="3" a="1"/>
  <c r="N28" i="3" a="1"/>
  <c r="Y27" i="3" a="1"/>
  <c r="N27" i="3" a="1"/>
  <c r="X23" i="3" a="1"/>
  <c r="M23" i="3" a="1"/>
  <c r="F23" i="3" a="1"/>
  <c r="AR22" i="3" a="1"/>
  <c r="AJ22" i="3" a="1"/>
  <c r="AB22" i="3" a="1"/>
  <c r="T22" i="3" a="1"/>
  <c r="S21" i="3" a="1"/>
  <c r="I21" i="3" a="1"/>
  <c r="AU20" i="3" a="1"/>
  <c r="AT19" i="3" a="1"/>
  <c r="AL19" i="3" a="1"/>
  <c r="AD19" i="3" a="1"/>
  <c r="V19" i="3" a="1"/>
  <c r="L19" i="3" a="1"/>
  <c r="K18" i="3" a="1"/>
  <c r="C18" i="3" a="1"/>
  <c r="AA16" i="3" a="1"/>
  <c r="T16" i="3" a="1"/>
  <c r="AM15" i="3" a="1"/>
  <c r="AD47" i="3" a="1"/>
  <c r="AQ42" i="3" a="1"/>
  <c r="X41" i="3" a="1"/>
  <c r="E40" i="3" a="1"/>
  <c r="AK39" i="3" a="1"/>
  <c r="AJ38" i="3" a="1"/>
  <c r="AK32" i="3" a="1"/>
  <c r="AT31" i="3" a="1"/>
  <c r="AJ31" i="3" a="1"/>
  <c r="AS30" i="3" a="1"/>
  <c r="AR29" i="3" a="1"/>
  <c r="AI29" i="3" a="1"/>
  <c r="AR28" i="3" a="1"/>
  <c r="AQ27" i="3" a="1"/>
  <c r="AH27" i="3" a="1"/>
  <c r="AP23" i="3" a="1"/>
  <c r="AE23" i="3" a="1"/>
  <c r="D23" i="3" a="1"/>
  <c r="AO21" i="3" a="1"/>
  <c r="AD20" i="3" a="1"/>
  <c r="N20" i="3" a="1"/>
  <c r="E19" i="3" a="1"/>
  <c r="AI18" i="3" a="1"/>
  <c r="AH17" i="3" a="1"/>
  <c r="R17" i="3" a="1"/>
  <c r="AO16" i="3" a="1"/>
  <c r="AR15" i="3" a="1"/>
  <c r="Y15" i="3" a="1"/>
  <c r="T15" i="3" a="1"/>
  <c r="G15" i="3" a="1"/>
  <c r="AP14" i="3" a="1"/>
  <c r="AD14" i="3" a="1"/>
  <c r="S14" i="3" a="1"/>
  <c r="F14" i="3" a="1"/>
  <c r="AJ13" i="3" a="1"/>
  <c r="X13" i="3" a="1"/>
  <c r="K13" i="3" a="1"/>
  <c r="AT12" i="3" a="1"/>
  <c r="AO12" i="3" a="1"/>
  <c r="W12" i="3" a="1"/>
  <c r="J12" i="3" a="1"/>
  <c r="AT11" i="3" a="1"/>
  <c r="AI11" i="3" a="1"/>
  <c r="O11" i="3" a="1"/>
  <c r="D11" i="3" a="1"/>
  <c r="AN10" i="3" a="1"/>
  <c r="AA10" i="3" a="1"/>
  <c r="N10" i="3" a="1"/>
  <c r="D10" i="3" a="1"/>
  <c r="AM9" i="3" a="1"/>
  <c r="Z9" i="3" a="1"/>
  <c r="N9" i="3" a="1"/>
  <c r="H9" i="3" a="1"/>
  <c r="AR8" i="3" a="1"/>
  <c r="AL8" i="3" a="1"/>
  <c r="Z8" i="3" a="1"/>
  <c r="T8" i="3" a="1"/>
  <c r="H8" i="3" a="1"/>
  <c r="AQ7" i="3" a="1"/>
  <c r="AD7" i="3" a="1"/>
  <c r="T7" i="3" a="1"/>
  <c r="G7" i="3" a="1"/>
  <c r="AJ101" i="3" a="1"/>
  <c r="O94" i="3" a="1"/>
  <c r="M91" i="3" a="1"/>
  <c r="AK89" i="3" a="1"/>
  <c r="H87" i="3" a="1"/>
  <c r="B83" i="3" a="1"/>
  <c r="AT81" i="3" a="1"/>
  <c r="AR80" i="3" a="1"/>
  <c r="AC75" i="3" a="1"/>
  <c r="AQ74" i="3" a="1"/>
  <c r="H74" i="3" a="1"/>
  <c r="AE72" i="3" a="1"/>
  <c r="AR71" i="3" a="1"/>
  <c r="J71" i="3" a="1"/>
  <c r="AR68" i="3" a="1"/>
  <c r="N63" i="3" a="1"/>
  <c r="E60" i="3" a="1"/>
  <c r="AS57" i="3" a="1"/>
  <c r="E54" i="3" a="1"/>
  <c r="J53" i="3" a="1"/>
  <c r="N52" i="3" a="1"/>
  <c r="G51" i="3" a="1"/>
  <c r="AI49" i="3" a="1"/>
  <c r="M47" i="3" a="1"/>
  <c r="AA43" i="3" a="1"/>
  <c r="H42" i="3" a="1"/>
  <c r="AM40" i="3" a="1"/>
  <c r="T39" i="3" a="1"/>
  <c r="AE37" i="3" a="1"/>
  <c r="C37" i="3" a="1"/>
  <c r="Z36" i="3" a="1"/>
  <c r="B36" i="3" a="1"/>
  <c r="Y35" i="3" a="1"/>
  <c r="B35" i="3" a="1"/>
  <c r="X34" i="3" a="1"/>
  <c r="AU33" i="3" a="1"/>
  <c r="X33" i="3" a="1"/>
  <c r="AT32" i="3" a="1"/>
  <c r="F32" i="3" a="1"/>
  <c r="F31" i="3" a="1"/>
  <c r="E30" i="3" a="1"/>
  <c r="N29" i="3" a="1"/>
  <c r="M28" i="3" a="1"/>
  <c r="C27" i="3" a="1"/>
  <c r="AQ22" i="3" a="1"/>
  <c r="Y22" i="3" a="1"/>
  <c r="N21" i="3" a="1"/>
  <c r="AT20" i="3" a="1"/>
  <c r="AK19" i="3" a="1"/>
  <c r="R18" i="3" a="1"/>
  <c r="B18" i="3" a="1"/>
  <c r="S16" i="3" a="1"/>
  <c r="T97" i="3" a="1"/>
  <c r="AN56" i="3" a="1"/>
  <c r="AQ55" i="3" a="1"/>
  <c r="Y54" i="3" a="1"/>
  <c r="AQ51" i="3" a="1"/>
  <c r="AI50" i="3" a="1"/>
  <c r="R49" i="3" a="1"/>
  <c r="AS47" i="3" a="1"/>
  <c r="J43" i="3" a="1"/>
  <c r="AM41" i="3" a="1"/>
  <c r="O38" i="3" a="1"/>
  <c r="AJ32" i="3" a="1"/>
  <c r="X31" i="3" a="1"/>
  <c r="AH30" i="3" a="1"/>
  <c r="AH29" i="3" a="1"/>
  <c r="AE28" i="3" a="1"/>
  <c r="AD27" i="3" a="1"/>
  <c r="AD23" i="3" a="1"/>
  <c r="R22" i="3" a="1"/>
  <c r="AT21" i="3" a="1"/>
  <c r="AN21" i="3" a="1"/>
  <c r="AC20" i="3" a="1"/>
  <c r="K20" i="3" a="1"/>
  <c r="J19" i="3" a="1"/>
  <c r="AP18" i="3" a="1"/>
  <c r="X18" i="3" a="1"/>
  <c r="M17" i="3" a="1"/>
  <c r="AE16" i="3" a="1"/>
  <c r="AQ15" i="3" a="1"/>
  <c r="AC15" i="3" a="1"/>
  <c r="R15" i="3" a="1"/>
  <c r="F15" i="3" a="1"/>
  <c r="AJ14" i="3" a="1"/>
  <c r="W14" i="3" a="1"/>
  <c r="J14" i="3" a="1"/>
  <c r="AT13" i="3" a="1"/>
  <c r="AI13" i="3" a="1"/>
  <c r="V13" i="3" a="1"/>
  <c r="J13" i="3" a="1"/>
  <c r="D13" i="3" a="1"/>
  <c r="AN12" i="3" a="1"/>
  <c r="AA12" i="3" a="1"/>
  <c r="V12" i="3" a="1"/>
  <c r="I12" i="3" a="1"/>
  <c r="AR11" i="3" a="1"/>
  <c r="AH11" i="3" a="1"/>
  <c r="U11" i="3" a="1"/>
  <c r="H11" i="3" a="1"/>
  <c r="AL10" i="3" a="1"/>
  <c r="Z10" i="3" a="1"/>
  <c r="M10" i="3" a="1"/>
  <c r="B10" i="3" a="1"/>
  <c r="AL9" i="3" a="1"/>
  <c r="T9" i="3" a="1"/>
  <c r="G9" i="3" a="1"/>
  <c r="AK8" i="3" a="1"/>
  <c r="X8" i="3" a="1"/>
  <c r="L8" i="3" a="1"/>
  <c r="AU7" i="3" a="1"/>
  <c r="AJ7" i="3" a="1"/>
  <c r="X7" i="3" a="1"/>
  <c r="R7" i="3" a="1"/>
  <c r="F7" i="3" a="1"/>
  <c r="AT95" i="3" a="1"/>
  <c r="AH63" i="3" a="1"/>
  <c r="AM58" i="3" a="1"/>
  <c r="I57" i="3" a="1"/>
  <c r="AN54" i="3" a="1"/>
  <c r="T51" i="3" a="1"/>
  <c r="AU50" i="3" a="1"/>
  <c r="Y48" i="3" a="1"/>
  <c r="AL43" i="3" a="1"/>
  <c r="S42" i="3" a="1"/>
  <c r="AD40" i="3" a="1"/>
  <c r="M39" i="3" a="1"/>
  <c r="AP37" i="3" a="1"/>
  <c r="AH36" i="3" a="1"/>
  <c r="I36" i="3" a="1"/>
  <c r="AH35" i="3" a="1"/>
  <c r="H35" i="3" a="1"/>
  <c r="AE34" i="3" a="1"/>
  <c r="H34" i="3" a="1"/>
  <c r="T33" i="3" a="1"/>
  <c r="AP32" i="3" a="1"/>
  <c r="E32" i="3" a="1"/>
  <c r="D31" i="3" a="1"/>
  <c r="D30" i="3" a="1"/>
  <c r="AN28" i="3" a="1"/>
  <c r="AM27" i="3" a="1"/>
  <c r="AL23" i="3" a="1"/>
  <c r="B23" i="3" a="1"/>
  <c r="AH22" i="3" a="1"/>
  <c r="N22" i="3" a="1"/>
  <c r="E21" i="3" a="1"/>
  <c r="D20" i="3" a="1"/>
  <c r="R19" i="3" a="1"/>
  <c r="O18" i="3" a="1"/>
  <c r="AS16" i="3" a="1"/>
  <c r="B16" i="3" a="1"/>
  <c r="AL95" i="3" a="1"/>
  <c r="E61" i="3" a="1"/>
  <c r="N59" i="3" a="1"/>
  <c r="L58" i="3" a="1"/>
  <c r="H57" i="3" a="1"/>
  <c r="I56" i="3" a="1"/>
  <c r="R54" i="3" a="1"/>
  <c r="W53" i="3" a="1"/>
  <c r="Z52" i="3" a="1"/>
  <c r="S51" i="3" a="1"/>
  <c r="AB50" i="3" a="1"/>
  <c r="AA49" i="3" a="1"/>
  <c r="AO48" i="3" a="1"/>
  <c r="V47" i="3" a="1"/>
  <c r="U43" i="3" a="1"/>
  <c r="AH41" i="3" a="1"/>
  <c r="AS39" i="3" a="1"/>
  <c r="J37" i="3" a="1"/>
  <c r="W32" i="3" a="1"/>
  <c r="V31" i="3" a="1"/>
  <c r="V30" i="3" a="1"/>
  <c r="U29" i="3" a="1"/>
  <c r="T28" i="3" a="1"/>
  <c r="T27" i="3" a="1"/>
  <c r="S23" i="3" a="1"/>
  <c r="G22" i="3" a="1"/>
  <c r="AK21" i="3" a="1"/>
  <c r="AJ20" i="3" a="1"/>
  <c r="T20" i="3" a="1"/>
  <c r="B20" i="3" a="1"/>
  <c r="AB17" i="3" a="1"/>
  <c r="L17" i="3" a="1"/>
  <c r="W16" i="3" a="1"/>
  <c r="AI15" i="3" a="1"/>
  <c r="V15" i="3" a="1"/>
  <c r="O15" i="3" a="1"/>
  <c r="D15" i="3" a="1"/>
  <c r="AS14" i="3" a="1"/>
  <c r="AH14" i="3" a="1"/>
  <c r="V14" i="3" a="1"/>
  <c r="I14" i="3" a="1"/>
  <c r="AR13" i="3" a="1"/>
  <c r="Z13" i="3" a="1"/>
  <c r="H13" i="3" a="1"/>
  <c r="AR12" i="3" a="1"/>
  <c r="AE12" i="3" a="1"/>
  <c r="T12" i="3" a="1"/>
  <c r="H12" i="3" a="1"/>
  <c r="AQ11" i="3" a="1"/>
  <c r="AD11" i="3" a="1"/>
  <c r="Y11" i="3" a="1"/>
  <c r="L11" i="3" a="1"/>
  <c r="AP10" i="3" a="1"/>
  <c r="AD10" i="3" a="1"/>
  <c r="S10" i="3" a="1"/>
  <c r="AU9" i="3" a="1"/>
  <c r="AJ9" i="3" a="1"/>
  <c r="X9" i="3" a="1"/>
  <c r="K9" i="3" a="1"/>
  <c r="F9" i="3" a="1"/>
  <c r="AO8" i="3" a="1"/>
  <c r="AJ8" i="3" a="1"/>
  <c r="W8" i="3" a="1"/>
  <c r="J8" i="3" a="1"/>
  <c r="AT7" i="3" a="1"/>
  <c r="AI7" i="3" a="1"/>
  <c r="AB7" i="3" a="1"/>
  <c r="O7" i="3" a="1"/>
  <c r="D7" i="3" a="1"/>
  <c r="R99" i="3" a="1"/>
  <c r="W82" i="3" a="1"/>
  <c r="W80" i="3" a="1"/>
  <c r="AA71" i="3" a="1"/>
  <c r="R69" i="3" a="1"/>
  <c r="AQ67" i="3" a="1"/>
  <c r="AA63" i="3" a="1"/>
  <c r="T60" i="3" a="1"/>
  <c r="I58" i="3" a="1"/>
  <c r="AC56" i="3" a="1"/>
  <c r="Y52" i="3" a="1"/>
  <c r="AR50" i="3" a="1"/>
  <c r="AQ49" i="3" a="1"/>
  <c r="E47" i="3" a="1"/>
  <c r="AO101" i="3" a="1"/>
  <c r="AB97" i="3" a="1"/>
  <c r="AQ92" i="3" a="1"/>
  <c r="AU89" i="3" a="1"/>
  <c r="H83" i="3" a="1"/>
  <c r="E81" i="3" a="1"/>
  <c r="AS79" i="3" a="1"/>
  <c r="AS78" i="3" a="1"/>
  <c r="J77" i="3" a="1"/>
  <c r="W76" i="3" a="1"/>
  <c r="I74" i="3" a="1"/>
  <c r="V73" i="3" a="1"/>
  <c r="AJ72" i="3" a="1"/>
  <c r="K71" i="3" a="1"/>
  <c r="X70" i="3" a="1"/>
  <c r="AL69" i="3" a="1"/>
  <c r="J68" i="3" a="1"/>
  <c r="AR63" i="3" a="1"/>
  <c r="AH62" i="3" a="1"/>
  <c r="B62" i="3" a="1"/>
  <c r="T61" i="3" a="1"/>
  <c r="H60" i="3" a="1"/>
  <c r="W58" i="3" a="1"/>
  <c r="AT57" i="3" a="1"/>
  <c r="V57" i="3" a="1"/>
  <c r="S56" i="3" a="1"/>
  <c r="AS55" i="3" a="1"/>
  <c r="X55" i="3" a="1"/>
  <c r="AC54" i="3" a="1"/>
  <c r="AE53" i="3" a="1"/>
  <c r="S52" i="3" a="1"/>
  <c r="Z51" i="3" a="1"/>
  <c r="H51" i="3" a="1"/>
  <c r="AL50" i="3" a="1"/>
  <c r="S49" i="3" a="1"/>
  <c r="C49" i="3" a="1"/>
  <c r="K43" i="3" a="1"/>
  <c r="W40" i="3" a="1"/>
  <c r="R38" i="3" a="1"/>
  <c r="AJ30" i="3" a="1"/>
  <c r="AH28" i="3" a="1"/>
  <c r="C22" i="3" a="1"/>
  <c r="AN20" i="3" a="1"/>
  <c r="V20" i="3" a="1"/>
  <c r="F20" i="3" a="1"/>
  <c r="AQ18" i="3" a="1"/>
  <c r="X17" i="3" a="1"/>
  <c r="H17" i="3" a="1"/>
  <c r="AH16" i="3" a="1"/>
  <c r="E16" i="3" a="1"/>
  <c r="AD15" i="3" a="1"/>
  <c r="L15" i="3" a="1"/>
  <c r="B15" i="3" a="1"/>
  <c r="AK14" i="3" a="1"/>
  <c r="X14" i="3" a="1"/>
  <c r="L14" i="3" a="1"/>
  <c r="AU13" i="3" a="1"/>
  <c r="AP13" i="3" a="1"/>
  <c r="AC13" i="3" a="1"/>
  <c r="R13" i="3" a="1"/>
  <c r="F13" i="3" a="1"/>
  <c r="AJ12" i="3" a="1"/>
  <c r="AB12" i="3" a="1"/>
  <c r="R12" i="3" a="1"/>
  <c r="E12" i="3" a="1"/>
  <c r="AN11" i="3" a="1"/>
  <c r="AB11" i="3" a="1"/>
  <c r="V11" i="3" a="1"/>
  <c r="J11" i="3" a="1"/>
  <c r="AS10" i="3" a="1"/>
  <c r="AH10" i="3" a="1"/>
  <c r="V10" i="3" a="1"/>
  <c r="I10" i="3" a="1"/>
  <c r="AR9" i="3" a="1"/>
  <c r="AH9" i="3" a="1"/>
  <c r="U9" i="3" a="1"/>
  <c r="C9" i="3" a="1"/>
  <c r="AE8" i="3" a="1"/>
  <c r="M8" i="3" a="1"/>
  <c r="B8" i="3" a="1"/>
  <c r="AL7" i="3" a="1"/>
  <c r="Y7" i="3" a="1"/>
  <c r="L7" i="3" a="1"/>
  <c r="B7" i="3" a="1"/>
  <c r="Y97" i="3" a="1"/>
  <c r="Z67" i="3" a="1"/>
  <c r="AT58" i="3" a="1"/>
  <c r="AR55" i="3" a="1"/>
  <c r="AD53" i="3" a="1"/>
  <c r="AK52" i="3" a="1"/>
  <c r="AR51" i="3" a="1"/>
  <c r="C50" i="3" a="1"/>
  <c r="N48" i="3" a="1"/>
  <c r="AQ43" i="3" a="1"/>
  <c r="Z42" i="3" a="1"/>
  <c r="G41" i="3" a="1"/>
  <c r="U40" i="3" a="1"/>
  <c r="AU37" i="3" a="1"/>
  <c r="O37" i="3" a="1"/>
  <c r="AL36" i="3" a="1"/>
  <c r="M36" i="3" a="1"/>
  <c r="AL35" i="3" a="1"/>
  <c r="L35" i="3" a="1"/>
  <c r="AK34" i="3" a="1"/>
  <c r="L34" i="3" a="1"/>
  <c r="AJ33" i="3" a="1"/>
  <c r="K33" i="3" a="1"/>
  <c r="R32" i="3" a="1"/>
  <c r="O31" i="3" a="1"/>
  <c r="N30" i="3" a="1"/>
  <c r="D29" i="3" a="1"/>
  <c r="D28" i="3" a="1"/>
  <c r="L27" i="3" a="1"/>
  <c r="L23" i="3" a="1"/>
  <c r="AI22" i="3" a="1"/>
  <c r="X21" i="3" a="1"/>
  <c r="H21" i="3" a="1"/>
  <c r="AL20" i="3" a="1"/>
  <c r="AA19" i="3" a="1"/>
  <c r="Z18" i="3" a="1"/>
  <c r="H18" i="3" a="1"/>
  <c r="AN17" i="3" a="1"/>
  <c r="AT16" i="3" a="1"/>
  <c r="J16" i="3" a="1"/>
  <c r="N94" i="3" a="1"/>
  <c r="AK92" i="3" a="1"/>
  <c r="D91" i="3" a="1"/>
  <c r="S88" i="3" a="1"/>
  <c r="AP79" i="3" a="1"/>
  <c r="C77" i="3" a="1"/>
  <c r="O76" i="3" a="1"/>
  <c r="AB75" i="3" a="1"/>
  <c r="N73" i="3" a="1"/>
  <c r="G71" i="3" a="1"/>
  <c r="T70" i="3" a="1"/>
  <c r="I68" i="3" a="1"/>
  <c r="AQ63" i="3" a="1"/>
  <c r="AA62" i="3" a="1"/>
  <c r="AS61" i="3" a="1"/>
  <c r="AI60" i="3" a="1"/>
  <c r="C60" i="3" a="1"/>
  <c r="W59" i="3" a="1"/>
  <c r="V58" i="3" a="1"/>
  <c r="AR57" i="3" a="1"/>
  <c r="R56" i="3" a="1"/>
  <c r="W55" i="3" a="1"/>
  <c r="AH52" i="3" a="1"/>
  <c r="Y51" i="3" a="1"/>
  <c r="S50" i="3" a="1"/>
  <c r="AT48" i="3" a="1"/>
  <c r="AC47" i="3" a="1"/>
  <c r="K47" i="3" a="1"/>
  <c r="W41" i="3" a="1"/>
  <c r="D40" i="3" a="1"/>
  <c r="AE38" i="3" a="1"/>
  <c r="X32" i="3" a="1"/>
  <c r="AI31" i="3" a="1"/>
  <c r="W30" i="3" a="1"/>
  <c r="V29" i="3" a="1"/>
  <c r="V28" i="3" a="1"/>
  <c r="U27" i="3" a="1"/>
  <c r="T23" i="3" a="1"/>
  <c r="H22" i="3" a="1"/>
  <c r="AD21" i="3" a="1"/>
  <c r="U20" i="3" a="1"/>
  <c r="B19" i="3" a="1"/>
  <c r="AH18" i="3" a="1"/>
  <c r="W17" i="3" a="1"/>
  <c r="X16" i="3" a="1"/>
  <c r="AJ15" i="3" a="1"/>
  <c r="X15" i="3" a="1"/>
  <c r="K15" i="3" a="1"/>
  <c r="AT14" i="3" a="1"/>
  <c r="AO14" i="3" a="1"/>
  <c r="AB14" i="3" a="1"/>
  <c r="R14" i="3" a="1"/>
  <c r="E14" i="3" a="1"/>
  <c r="AN13" i="3" a="1"/>
  <c r="AB13" i="3" a="1"/>
  <c r="O13" i="3" a="1"/>
  <c r="AS12" i="3" a="1"/>
  <c r="AH12" i="3" a="1"/>
  <c r="N12" i="3" a="1"/>
  <c r="D12" i="3" a="1"/>
  <c r="AM11" i="3" a="1"/>
  <c r="Z11" i="3" a="1"/>
  <c r="N11" i="3" a="1"/>
  <c r="C11" i="3" a="1"/>
  <c r="AR10" i="3" a="1"/>
  <c r="AE10" i="3" a="1"/>
  <c r="T10" i="3" a="1"/>
  <c r="H10" i="3" a="1"/>
  <c r="AQ9" i="3" a="1"/>
  <c r="AD9" i="3" a="1"/>
  <c r="Y9" i="3" a="1"/>
  <c r="L9" i="3" a="1"/>
  <c r="B9" i="3" a="1"/>
  <c r="AP8" i="3" a="1"/>
  <c r="AD8" i="3" a="1"/>
  <c r="S8" i="3" a="1"/>
  <c r="F8" i="3" a="1"/>
  <c r="AP7" i="3" a="1"/>
  <c r="AC7" i="3" a="1"/>
  <c r="K7" i="3" a="1"/>
  <c r="AL99" i="3" a="1"/>
  <c r="AJ93" i="3" a="1"/>
  <c r="R89" i="3" a="1"/>
  <c r="C88" i="3" a="1"/>
  <c r="AO83" i="3" a="1"/>
  <c r="AA79" i="3" a="1"/>
  <c r="AA78" i="3" a="1"/>
  <c r="AI77" i="3" a="1"/>
  <c r="R75" i="3" a="1"/>
  <c r="AC74" i="3" a="1"/>
  <c r="AP73" i="3" a="1"/>
  <c r="T72" i="3" a="1"/>
  <c r="AE71" i="3" a="1"/>
  <c r="AR70" i="3" a="1"/>
  <c r="S69" i="3" a="1"/>
  <c r="AD68" i="3" a="1"/>
  <c r="N67" i="3" a="1"/>
  <c r="B63" i="3" a="1"/>
  <c r="AL61" i="3" a="1"/>
  <c r="AN59" i="3" a="1"/>
  <c r="AK55" i="3" a="1"/>
  <c r="S54" i="3" a="1"/>
  <c r="AS53" i="3" a="1"/>
  <c r="AL51" i="3" a="1"/>
  <c r="AR49" i="3" a="1"/>
  <c r="I48" i="3" a="1"/>
  <c r="AK42" i="3" a="1"/>
  <c r="C42" i="3" a="1"/>
  <c r="B41" i="3" a="1"/>
  <c r="AC39" i="3" a="1"/>
  <c r="AQ38" i="3" a="1"/>
  <c r="AS36" i="3" a="1"/>
  <c r="V36" i="3" a="1"/>
  <c r="AR35" i="3" a="1"/>
  <c r="U35" i="3" a="1"/>
  <c r="AR34" i="3" a="1"/>
  <c r="T34" i="3" a="1"/>
  <c r="AQ33" i="3" a="1"/>
  <c r="AD33" i="3" a="1"/>
  <c r="G33" i="3" a="1"/>
  <c r="AP31" i="3" a="1"/>
  <c r="AO30" i="3" a="1"/>
  <c r="AN29" i="3" a="1"/>
  <c r="C29" i="3" a="1"/>
  <c r="B28" i="3" a="1"/>
  <c r="B27" i="3" a="1"/>
  <c r="AN22" i="3" a="1"/>
  <c r="X22" i="3" a="1"/>
  <c r="M21" i="3" a="1"/>
  <c r="AP19" i="3" a="1"/>
  <c r="AH19" i="3" a="1"/>
  <c r="Z19" i="3" a="1"/>
  <c r="G18" i="3" a="1"/>
  <c r="AS17" i="3" a="1"/>
  <c r="AL16" i="3" a="1"/>
  <c r="I16" i="3" a="1"/>
  <c r="AE99" i="3" a="1"/>
  <c r="Z90" i="3" a="1"/>
  <c r="AQ87" i="3" a="1"/>
  <c r="AJ83" i="3" a="1"/>
  <c r="X81" i="3" a="1"/>
  <c r="X79" i="3" a="1"/>
  <c r="AL76" i="3" a="1"/>
  <c r="C76" i="3" a="1"/>
  <c r="AN73" i="3" a="1"/>
  <c r="E73" i="3" a="1"/>
  <c r="R72" i="3" a="1"/>
  <c r="D70" i="3" a="1"/>
  <c r="AS62" i="3" a="1"/>
  <c r="AI61" i="3" a="1"/>
  <c r="U60" i="3" a="1"/>
  <c r="AL58" i="3" a="1"/>
  <c r="AH57" i="3" a="1"/>
  <c r="AD56" i="3" a="1"/>
  <c r="AJ55" i="3" a="1"/>
  <c r="AQ53" i="3" a="1"/>
  <c r="AT52" i="3" a="1"/>
  <c r="H52" i="3" a="1"/>
  <c r="AK51" i="3" a="1"/>
  <c r="AS50" i="3" a="1"/>
  <c r="I49" i="3" a="1"/>
  <c r="AN47" i="3" a="1"/>
  <c r="E43" i="3" a="1"/>
  <c r="AI42" i="3" a="1"/>
  <c r="M40" i="3" a="1"/>
  <c r="Z38" i="3" a="1"/>
  <c r="L32" i="3" a="1"/>
  <c r="K31" i="3" a="1"/>
  <c r="J30" i="3" a="1"/>
  <c r="J29" i="3" a="1"/>
  <c r="I28" i="3" a="1"/>
  <c r="H27" i="3" a="1"/>
  <c r="H23" i="3" a="1"/>
  <c r="AS21" i="3" a="1"/>
  <c r="Z20" i="3" a="1"/>
  <c r="J20" i="3" a="1"/>
  <c r="AU18" i="3" a="1"/>
  <c r="AM18" i="3" a="1"/>
  <c r="AL17" i="3" a="1"/>
  <c r="T17" i="3" a="1"/>
  <c r="D17" i="3" a="1"/>
  <c r="N16" i="3" a="1"/>
  <c r="AB15" i="3" a="1"/>
  <c r="J15" i="3" a="1"/>
  <c r="AN14" i="3" a="1"/>
  <c r="AA14" i="3" a="1"/>
  <c r="N14" i="3" a="1"/>
  <c r="D14" i="3" a="1"/>
  <c r="AM13" i="3" a="1"/>
  <c r="AH13" i="3" a="1"/>
  <c r="U13" i="3" a="1"/>
  <c r="N13" i="3" a="1"/>
  <c r="C13" i="3" a="1"/>
  <c r="AL12" i="3" a="1"/>
  <c r="Z12" i="3" a="1"/>
  <c r="M12" i="3" a="1"/>
  <c r="B12" i="3" a="1"/>
  <c r="AL11" i="3" a="1"/>
  <c r="T11" i="3" a="1"/>
  <c r="G11" i="3" a="1"/>
  <c r="B11" i="3" a="1"/>
  <c r="AK10" i="3" a="1"/>
  <c r="X10" i="3" a="1"/>
  <c r="L10" i="3" a="1"/>
  <c r="F10" i="3" a="1"/>
  <c r="AP9" i="3" a="1"/>
  <c r="AC9" i="3" a="1"/>
  <c r="R9" i="3" a="1"/>
  <c r="AT8" i="3" a="1"/>
  <c r="AB8" i="3" a="1"/>
  <c r="R8" i="3" a="1"/>
  <c r="E8" i="3" a="1"/>
  <c r="AN7" i="3" a="1"/>
  <c r="V7" i="3" a="1"/>
  <c r="J7" i="3" a="1"/>
  <c r="AT91" i="3" a="1"/>
  <c r="J89" i="3" a="1"/>
  <c r="AC83" i="3" a="1"/>
  <c r="W81" i="3" a="1"/>
  <c r="Y77" i="3" a="1"/>
  <c r="N72" i="3" a="1"/>
  <c r="AC68" i="3" a="1"/>
  <c r="I67" i="3" a="1"/>
  <c r="O62" i="3" a="1"/>
  <c r="AK58" i="3" a="1"/>
  <c r="G57" i="3" a="1"/>
  <c r="AH55" i="3" a="1"/>
  <c r="T53" i="3" a="1"/>
  <c r="G52" i="3" a="1"/>
  <c r="K50" i="3" a="1"/>
  <c r="Y49" i="3" a="1"/>
  <c r="X48" i="3" a="1"/>
  <c r="AK43" i="3" a="1"/>
  <c r="R42" i="3" a="1"/>
  <c r="O99" i="3" a="1"/>
  <c r="N69" i="3" a="1"/>
  <c r="AB56" i="3" a="1"/>
  <c r="AC41" i="3" a="1"/>
  <c r="L40" i="3" a="1"/>
  <c r="AO38" i="3" a="1"/>
  <c r="AT29" i="3" a="1"/>
  <c r="H29" i="3" a="1"/>
  <c r="L22" i="3" a="1"/>
  <c r="Z21" i="3" a="1"/>
  <c r="AL18" i="3" a="1"/>
  <c r="S17" i="3" a="1"/>
  <c r="F16" i="3" a="1"/>
  <c r="Z15" i="3" a="1"/>
  <c r="C15" i="3" a="1"/>
  <c r="Z14" i="3" a="1"/>
  <c r="B14" i="3" a="1"/>
  <c r="Y13" i="3" a="1"/>
  <c r="B13" i="3" a="1"/>
  <c r="X12" i="3" a="1"/>
  <c r="AU11" i="3" a="1"/>
  <c r="X11" i="3" a="1"/>
  <c r="AT10" i="3" a="1"/>
  <c r="W10" i="3" a="1"/>
  <c r="AT9" i="3" a="1"/>
  <c r="V9" i="3" a="1"/>
  <c r="AS8" i="3" a="1"/>
  <c r="V8" i="3" a="1"/>
  <c r="AR7" i="3" a="1"/>
  <c r="U7" i="3" a="1"/>
  <c r="H36" i="3" a="1"/>
  <c r="G35" i="3" a="1"/>
  <c r="F34" i="3" a="1"/>
  <c r="F33" i="3" a="1"/>
  <c r="AB30" i="3" a="1"/>
  <c r="AM29" i="3" a="1"/>
  <c r="Z23" i="3" a="1"/>
  <c r="AM22" i="3" a="1"/>
  <c r="T21" i="3" a="1"/>
  <c r="AR17" i="3" a="1"/>
  <c r="AB16" i="3" a="1"/>
  <c r="AU15" i="3" a="1"/>
  <c r="W93" i="3" a="1"/>
  <c r="AJ73" i="3" a="1"/>
  <c r="AL67" i="3" a="1"/>
  <c r="AL59" i="3" a="1"/>
  <c r="AD55" i="3" a="1"/>
  <c r="F52" i="3" a="1"/>
  <c r="H49" i="3" a="1"/>
  <c r="M41" i="3" a="1"/>
  <c r="AP39" i="3" a="1"/>
  <c r="J32" i="3" a="1"/>
  <c r="AS28" i="3" a="1"/>
  <c r="H28" i="3" a="1"/>
  <c r="D22" i="3" a="1"/>
  <c r="N19" i="3" a="1"/>
  <c r="AB18" i="3" a="1"/>
  <c r="I17" i="3" a="1"/>
  <c r="U15" i="3" a="1"/>
  <c r="AR14" i="3" a="1"/>
  <c r="T14" i="3" a="1"/>
  <c r="AQ13" i="3" a="1"/>
  <c r="T13" i="3" a="1"/>
  <c r="AP12" i="3" a="1"/>
  <c r="S12" i="3" a="1"/>
  <c r="AP11" i="3" a="1"/>
  <c r="R11" i="3" a="1"/>
  <c r="AO10" i="3" a="1"/>
  <c r="R10" i="3" a="1"/>
  <c r="AN9" i="3" a="1"/>
  <c r="O9" i="3" a="1"/>
  <c r="N8" i="3" a="1"/>
  <c r="AM7" i="3" a="1"/>
  <c r="N7" i="3" a="1"/>
  <c r="O79" i="3" a="1"/>
  <c r="AU72" i="3" a="1"/>
  <c r="J55" i="3" a="1"/>
  <c r="AH51" i="3" a="1"/>
  <c r="B43" i="3" a="1"/>
  <c r="AS40" i="3" a="1"/>
  <c r="I38" i="3" a="1"/>
  <c r="AR36" i="3" a="1"/>
  <c r="AQ35" i="3" a="1"/>
  <c r="AP34" i="3" a="1"/>
  <c r="AP33" i="3" a="1"/>
  <c r="AO32" i="3" a="1"/>
  <c r="AB29" i="3" a="1"/>
  <c r="AL28" i="3" a="1"/>
  <c r="AC22" i="3" a="1"/>
  <c r="J21" i="3" a="1"/>
  <c r="AO19" i="3" a="1"/>
  <c r="V18" i="3" a="1"/>
  <c r="AJ17" i="3" a="1"/>
  <c r="AN15" i="3" a="1"/>
  <c r="Y90" i="3" a="1"/>
  <c r="Z63" i="3" a="1"/>
  <c r="AK54" i="3" a="1"/>
  <c r="N51" i="3" a="1"/>
  <c r="G38" i="3" a="1"/>
  <c r="AU31" i="3" a="1"/>
  <c r="Y20" i="3" a="1"/>
  <c r="M14" i="3" a="1"/>
  <c r="AK12" i="3" a="1"/>
  <c r="K11" i="3" a="1"/>
  <c r="AI9" i="3" a="1"/>
  <c r="I8" i="3" a="1"/>
  <c r="H89" i="3" a="1"/>
  <c r="H58" i="3" a="1"/>
  <c r="AM37" i="3" a="1"/>
  <c r="AD34" i="3" a="1"/>
  <c r="AN31" i="3" a="1"/>
  <c r="AE19" i="3" a="1"/>
  <c r="AC87" i="3" a="1"/>
  <c r="AA50" i="3" a="1"/>
  <c r="I30" i="3" a="1"/>
  <c r="O20" i="3" a="1"/>
  <c r="AP16" i="3" a="1"/>
  <c r="H15" i="3" a="1"/>
  <c r="AD13" i="3" a="1"/>
  <c r="F12" i="3" a="1"/>
  <c r="AB10" i="3" a="1"/>
  <c r="D9" i="3" a="1"/>
  <c r="Z7" i="3" a="1"/>
  <c r="B76" i="3" a="1"/>
  <c r="F57" i="3" a="1"/>
  <c r="AU41" i="3" a="1"/>
  <c r="T35" i="3" a="1"/>
  <c r="Z27" i="3" a="1"/>
  <c r="AB21" i="3" a="1"/>
  <c r="W74" i="3" a="1"/>
  <c r="E56" i="3" a="1"/>
  <c r="R78" i="3" a="1"/>
  <c r="AR27" i="3" a="1"/>
  <c r="AR21" i="3" a="1"/>
  <c r="F19" i="3" a="1"/>
  <c r="N15" i="3" a="1"/>
  <c r="L13" i="3" a="1"/>
  <c r="L12" i="3" a="1"/>
  <c r="AJ10" i="3" a="1"/>
  <c r="J9" i="3" a="1"/>
  <c r="AH7" i="3" a="1"/>
  <c r="O54" i="3" a="1"/>
  <c r="AC40" i="3" a="1"/>
  <c r="AE36" i="3" a="1"/>
  <c r="AC33" i="3" a="1"/>
  <c r="AA28" i="3" a="1"/>
  <c r="AL70" i="3" a="1"/>
  <c r="AN53" i="3" a="1"/>
  <c r="AT30" i="3" a="1"/>
  <c r="AA17" i="3" a="1"/>
  <c r="AH15" i="3" a="1"/>
  <c r="H14" i="3" a="1"/>
  <c r="AD12" i="3" a="1"/>
  <c r="F11" i="3" a="1"/>
  <c r="AB9" i="3" a="1"/>
  <c r="D8" i="3" a="1"/>
  <c r="AB61" i="3" a="1"/>
  <c r="S53" i="3" a="1"/>
  <c r="W37" i="3" a="1"/>
  <c r="S34" i="3" a="1"/>
  <c r="AC31" i="3" a="1"/>
  <c r="W19" i="3" a="1"/>
  <c r="AK16" i="3" a="1"/>
  <c r="Y38" i="3" a="1"/>
  <c r="AN8" i="3" a="1"/>
  <c r="J31" i="3" a="1"/>
  <c r="G27" i="3" a="1"/>
  <c r="C17" i="3" a="1"/>
  <c r="AL14" i="3" a="1"/>
  <c r="AL13" i="3" a="1"/>
  <c r="AJ11" i="3" a="1"/>
  <c r="J10" i="3" a="1"/>
  <c r="AH8" i="3" a="1"/>
  <c r="H7" i="3" a="1"/>
  <c r="AR62" i="3" a="1"/>
  <c r="AQ50" i="3" a="1"/>
  <c r="J39" i="3" a="1"/>
  <c r="AD35" i="3" a="1"/>
  <c r="AD32" i="3" a="1"/>
  <c r="AL27" i="3" a="1"/>
  <c r="D21" i="3" a="1"/>
  <c r="L18" i="3" a="1"/>
  <c r="AK76" i="3" a="1"/>
  <c r="AD57" i="3" a="1"/>
  <c r="AK47" i="3" a="1"/>
  <c r="AR23" i="3" a="1"/>
  <c r="AJ21" i="3" a="1"/>
  <c r="AR18" i="3" a="1"/>
  <c r="M16" i="3" a="1"/>
  <c r="AE14" i="3" a="1"/>
  <c r="G13" i="3" a="1"/>
  <c r="AC11" i="3" a="1"/>
  <c r="E10" i="3" a="1"/>
  <c r="AA8" i="3" a="1"/>
  <c r="C7" i="3" a="1"/>
  <c r="C70" i="3" a="1"/>
  <c r="U47" i="3" a="1"/>
  <c r="T36" i="3" a="1"/>
  <c r="R33" i="3" a="1"/>
  <c r="AN30" i="3" a="1"/>
  <c r="AK23" i="3" a="1"/>
  <c r="AP20" i="3" a="1"/>
  <c r="F18" i="3" a="1"/>
  <c r="AH88" i="1" a="1"/>
  <c r="AL90" i="1" a="1"/>
  <c r="AP92" i="1" a="1"/>
  <c r="AT94" i="1" a="1"/>
  <c r="AJ97" i="1" a="1"/>
  <c r="AN99" i="1" a="1"/>
  <c r="AS89" i="1" a="1"/>
  <c r="AI92" i="1" a="1"/>
  <c r="AM94" i="1" a="1"/>
  <c r="AQ96" i="1" a="1"/>
  <c r="AK99" i="1" a="1"/>
  <c r="AJ90" i="1" a="1"/>
  <c r="AQ99" i="1" a="1"/>
  <c r="AS102" i="1" a="1"/>
  <c r="AT101" i="1" a="1"/>
  <c r="AP93" i="1" a="1"/>
  <c r="AQ101" i="1" a="1"/>
  <c r="AL89" i="1" a="1"/>
  <c r="AS98" i="1" a="1"/>
  <c r="AO92" i="1" a="1"/>
  <c r="AP101" i="1" a="1"/>
  <c r="AH101" i="1" a="1"/>
  <c r="AP102" i="1" a="1"/>
  <c r="AU93" i="1" a="1"/>
  <c r="AM101" i="1" a="1"/>
  <c r="AH91" i="1" a="1"/>
  <c r="AH100" i="1" a="1"/>
  <c r="AL101" i="1" a="1"/>
  <c r="AI87" i="1" a="1"/>
  <c r="AS87" i="1" a="1"/>
  <c r="AP48" i="1" a="1"/>
  <c r="AT50" i="1" a="1"/>
  <c r="AJ53" i="1" a="1"/>
  <c r="AN55" i="1" a="1"/>
  <c r="AR57" i="1" a="1"/>
  <c r="AH60" i="1" a="1"/>
  <c r="AL62" i="1" a="1"/>
  <c r="AU54" i="1" a="1"/>
  <c r="AU60" i="1" a="1"/>
  <c r="AN58" i="1" a="1"/>
  <c r="AS52" i="1" a="1"/>
  <c r="AM48" i="1" a="1"/>
  <c r="AQ52" i="1" a="1"/>
  <c r="AO57" i="1" a="1"/>
  <c r="AL55" i="1" a="1"/>
  <c r="AS48" i="1" a="1"/>
  <c r="AM59" i="1" a="1"/>
  <c r="AI50" i="1" a="1"/>
  <c r="AS59" i="1" a="1"/>
  <c r="AN62" i="1" a="1"/>
  <c r="AH57" i="1" a="1"/>
  <c r="AI57" i="1" a="1"/>
  <c r="AH49" i="1" a="1"/>
  <c r="AL51" i="1" a="1"/>
  <c r="AP53" i="1" a="1"/>
  <c r="AH59" i="1" a="1"/>
  <c r="AO58" i="1" a="1"/>
  <c r="AM57" i="1" a="1"/>
  <c r="AQ47" i="1" a="1"/>
  <c r="AS47" i="1" a="1"/>
  <c r="AN69" i="1" a="1"/>
  <c r="AR71" i="1" a="1"/>
  <c r="AH74" i="1" a="1"/>
  <c r="AL76" i="1" a="1"/>
  <c r="AP78" i="1" a="1"/>
  <c r="AT80" i="1" a="1"/>
  <c r="AJ83" i="1" a="1"/>
  <c r="AU80" i="1" a="1"/>
  <c r="AS73" i="1" a="1"/>
  <c r="AS79" i="1" a="1"/>
  <c r="AQ68" i="1" a="1"/>
  <c r="AK71" i="1" a="1"/>
  <c r="AK75" i="1" a="1"/>
  <c r="AO81" i="1" a="1"/>
  <c r="AP69" i="1" a="1"/>
  <c r="AT71" i="1" a="1"/>
  <c r="AJ74" i="1" a="1"/>
  <c r="AN76" i="1" a="1"/>
  <c r="AR78" i="1" a="1"/>
  <c r="AH81" i="1" a="1"/>
  <c r="AL83" i="1" a="1"/>
  <c r="AM79" i="1" a="1"/>
  <c r="AK68" i="1" a="1"/>
  <c r="AO70" i="1" a="1"/>
  <c r="AS72" i="1" a="1"/>
  <c r="AM75" i="1" a="1"/>
  <c r="AO78" i="1" a="1"/>
  <c r="AS82" i="1" a="1"/>
  <c r="AR67" i="1" a="1"/>
  <c r="AH67" i="1" a="1"/>
  <c r="AR29" i="1" a="1"/>
  <c r="AH32" i="1" a="1"/>
  <c r="AL34" i="1" a="1"/>
  <c r="AP36" i="1" a="1"/>
  <c r="AT38" i="1" a="1"/>
  <c r="AJ41" i="1" a="1"/>
  <c r="AN43" i="1" a="1"/>
  <c r="AM30" i="1" a="1"/>
  <c r="AQ32" i="1" a="1"/>
  <c r="AM36" i="1" a="1"/>
  <c r="AS41" i="1" a="1"/>
  <c r="AO35" i="1" a="1"/>
  <c r="AO39" i="1" a="1"/>
  <c r="AS43" i="1" a="1"/>
  <c r="AL39" i="1" a="1"/>
  <c r="AJ30" i="1" a="1"/>
  <c r="AR34" i="1" a="1"/>
  <c r="AJ32" i="1" a="1"/>
  <c r="AR32" i="1" a="1"/>
  <c r="AM39" i="1" a="1"/>
  <c r="AT35" i="1" a="1"/>
  <c r="AU41" i="1" a="1"/>
  <c r="AO32" i="1" a="1"/>
  <c r="AS40" i="1" a="1"/>
  <c r="AJ40" i="1" a="1"/>
  <c r="AR28" i="1" a="1"/>
  <c r="AI39" i="1" a="1"/>
  <c r="AU29" i="1" a="1"/>
  <c r="AS27" i="1" a="1"/>
  <c r="AH8" i="1" a="1"/>
  <c r="AL10" i="1" a="1"/>
  <c r="AQ8" i="1" a="1"/>
  <c r="AK11" i="1" a="1"/>
  <c r="AO13" i="1" a="1"/>
  <c r="AS15" i="1" a="1"/>
  <c r="AI18" i="1" a="1"/>
  <c r="AM20" i="1" a="1"/>
  <c r="AL88" i="1" a="1"/>
  <c r="AP90" i="1" a="1"/>
  <c r="AT92" i="1" a="1"/>
  <c r="AJ95" i="1" a="1"/>
  <c r="AN97" i="1" a="1"/>
  <c r="AR99" i="1" a="1"/>
  <c r="AI90" i="1" a="1"/>
  <c r="AM92" i="1" a="1"/>
  <c r="AQ94" i="1" a="1"/>
  <c r="AU96" i="1" a="1"/>
  <c r="AO99" i="1" a="1"/>
  <c r="AU91" i="1" a="1"/>
  <c r="AS100" i="1" a="1"/>
  <c r="AN103" i="1" a="1"/>
  <c r="AO103" i="1" a="1"/>
  <c r="AM95" i="1" a="1"/>
  <c r="AU103" i="1" a="1"/>
  <c r="AI91" i="1" a="1"/>
  <c r="AL99" i="1" a="1"/>
  <c r="AL95" i="1" a="1"/>
  <c r="AT102" i="1" a="1"/>
  <c r="AQ102" i="1" a="1"/>
  <c r="AQ97" i="1" a="1"/>
  <c r="AN94" i="1" a="1"/>
  <c r="AO88" i="1" a="1"/>
  <c r="AS92" i="1" a="1"/>
  <c r="AN100" i="1" a="1"/>
  <c r="AU89" i="1" a="1"/>
  <c r="AM87" i="1" a="1"/>
  <c r="AL87" i="1" a="1"/>
  <c r="AT48" i="1" a="1"/>
  <c r="AJ51" i="1" a="1"/>
  <c r="AN53" i="1" a="1"/>
  <c r="AR55" i="1" a="1"/>
  <c r="AH58" i="1" a="1"/>
  <c r="AL60" i="1" a="1"/>
  <c r="AP62" i="1" a="1"/>
  <c r="AO55" i="1" a="1"/>
  <c r="AO61" i="1" a="1"/>
  <c r="AP59" i="1" a="1"/>
  <c r="AK54" i="1" a="1"/>
  <c r="AO49" i="1" a="1"/>
  <c r="AO53" i="1" a="1"/>
  <c r="AM58" i="1" a="1"/>
  <c r="AR56" i="1" a="1"/>
  <c r="AO50" i="1" a="1"/>
  <c r="AI61" i="1" a="1"/>
  <c r="AQ50" i="1" a="1"/>
  <c r="AQ60" i="1" a="1"/>
  <c r="AM49" i="1" a="1"/>
  <c r="AL61" i="1" a="1"/>
  <c r="AK58" i="1" a="1"/>
  <c r="AL49" i="1" a="1"/>
  <c r="AP51" i="1" a="1"/>
  <c r="AT53" i="1" a="1"/>
  <c r="AJ60" i="1" a="1"/>
  <c r="AK60" i="1" a="1"/>
  <c r="AI59" i="1" a="1"/>
  <c r="AU47" i="1" a="1"/>
  <c r="AL47" i="1" a="1"/>
  <c r="AR69" i="1" a="1"/>
  <c r="AH72" i="1" a="1"/>
  <c r="AL74" i="1" a="1"/>
  <c r="AP76" i="1" a="1"/>
  <c r="AT78" i="1" a="1"/>
  <c r="AJ81" i="1" a="1"/>
  <c r="AN83" i="1" a="1"/>
  <c r="AS81" i="1" a="1"/>
  <c r="AM74" i="1" a="1"/>
  <c r="AM80" i="1" a="1"/>
  <c r="AK69" i="1" a="1"/>
  <c r="AS71" i="1" a="1"/>
  <c r="AO75" i="1" a="1"/>
  <c r="AM82" i="1" a="1"/>
  <c r="AT69" i="1" a="1"/>
  <c r="AJ72" i="1" a="1"/>
  <c r="AN74" i="1" a="1"/>
  <c r="AR76" i="1" a="1"/>
  <c r="AH79" i="1" a="1"/>
  <c r="AL81" i="1" a="1"/>
  <c r="AP83" i="1" a="1"/>
  <c r="AU79" i="1" a="1"/>
  <c r="AO68" i="1" a="1"/>
  <c r="AS70" i="1" a="1"/>
  <c r="AI73" i="1" a="1"/>
  <c r="AQ75" i="1" a="1"/>
  <c r="AI79" i="1" a="1"/>
  <c r="AM83" i="1" a="1"/>
  <c r="AT67" i="1" a="1"/>
  <c r="AH47" i="1" a="1"/>
  <c r="AH30" i="1" a="1"/>
  <c r="AL32" i="1" a="1"/>
  <c r="AP34" i="1" a="1"/>
  <c r="AT36" i="1" a="1"/>
  <c r="AJ39" i="1" a="1"/>
  <c r="AN41" i="1" a="1"/>
  <c r="AR43" i="1" a="1"/>
  <c r="AQ30" i="1" a="1"/>
  <c r="AU32" i="1" a="1"/>
  <c r="AU36" i="1" a="1"/>
  <c r="AM42" i="1" a="1"/>
  <c r="AI36" i="1" a="1"/>
  <c r="AI40" i="1" a="1"/>
  <c r="AI28" i="1" a="1"/>
  <c r="AI41" i="1" a="1"/>
  <c r="AR30" i="1" a="1"/>
  <c r="AQ35" i="1" a="1"/>
  <c r="AU35" i="1" a="1"/>
  <c r="AL37" i="1" a="1"/>
  <c r="AT39" i="1" a="1"/>
  <c r="AJ38" i="1" a="1"/>
  <c r="AO28" i="1" a="1"/>
  <c r="AI33" i="1" a="1"/>
  <c r="AP43" i="1" a="1"/>
  <c r="AN42" i="1" a="1"/>
  <c r="AL29" i="1" a="1"/>
  <c r="AM41" i="1" a="1"/>
  <c r="AU33" i="1" a="1"/>
  <c r="AL27" i="1" a="1"/>
  <c r="AL8" i="1" a="1"/>
  <c r="AP10" i="1" a="1"/>
  <c r="AU8" i="1" a="1"/>
  <c r="AO11" i="1" a="1"/>
  <c r="AS13" i="1" a="1"/>
  <c r="AI16" i="1" a="1"/>
  <c r="AM18" i="1" a="1"/>
  <c r="AM10" i="1" a="1"/>
  <c r="AP88" i="1" a="1"/>
  <c r="AT88" i="1" a="1"/>
  <c r="AJ91" i="1" a="1"/>
  <c r="AN93" i="1" a="1"/>
  <c r="AR95" i="1" a="1"/>
  <c r="AH98" i="1" a="1"/>
  <c r="AM88" i="1" a="1"/>
  <c r="AQ90" i="1" a="1"/>
  <c r="AU92" i="1" a="1"/>
  <c r="AK95" i="1" a="1"/>
  <c r="AS97" i="1" a="1"/>
  <c r="AI100" i="1" a="1"/>
  <c r="AK94" i="1" a="1"/>
  <c r="AS101" i="1" a="1"/>
  <c r="AH93" i="1" a="1"/>
  <c r="AT99" i="1" a="1"/>
  <c r="AU102" i="1" a="1"/>
  <c r="AN96" i="1" a="1"/>
  <c r="AM93" i="1" a="1"/>
  <c r="AJ101" i="1" a="1"/>
  <c r="AT100" i="1" a="1"/>
  <c r="AL91" i="1" a="1"/>
  <c r="AM91" i="1" a="1"/>
  <c r="AH103" i="1" a="1"/>
  <c r="AM99" i="1" a="1"/>
  <c r="AH99" i="1" a="1"/>
  <c r="AI95" i="1" a="1"/>
  <c r="AR101" i="1" a="1"/>
  <c r="AJ98" i="1" a="1"/>
  <c r="AU87" i="1" a="1"/>
  <c r="AT87" i="1" a="1"/>
  <c r="AN49" i="1" a="1"/>
  <c r="AR51" i="1" a="1"/>
  <c r="AH54" i="1" a="1"/>
  <c r="AL56" i="1" a="1"/>
  <c r="AP58" i="1" a="1"/>
  <c r="AT60" i="1" a="1"/>
  <c r="AJ63" i="1" a="1"/>
  <c r="AK57" i="1" a="1"/>
  <c r="AU62" i="1" a="1"/>
  <c r="AT61" i="1" a="1"/>
  <c r="AS56" i="1" a="1"/>
  <c r="AU50" i="1" a="1"/>
  <c r="AM54" i="1" a="1"/>
  <c r="AM60" i="1" a="1"/>
  <c r="AR58" i="1" a="1"/>
  <c r="AI53" i="1" a="1"/>
  <c r="AI48" i="1" a="1"/>
  <c r="AK53" i="1" a="1"/>
  <c r="AK63" i="1" a="1"/>
  <c r="AQ53" i="1" a="1"/>
  <c r="AO48" i="1" a="1"/>
  <c r="AQ61" i="1" a="1"/>
  <c r="AT49" i="1" a="1"/>
  <c r="AJ52" i="1" a="1"/>
  <c r="AN54" i="1" a="1"/>
  <c r="AT63" i="1" a="1"/>
  <c r="AK48" i="1" a="1"/>
  <c r="AS62" i="1" a="1"/>
  <c r="AR47" i="1" a="1"/>
  <c r="AH68" i="1" a="1"/>
  <c r="AL70" i="1" a="1"/>
  <c r="AP72" i="1" a="1"/>
  <c r="AT74" i="1" a="1"/>
  <c r="AJ77" i="1" a="1"/>
  <c r="AN79" i="1" a="1"/>
  <c r="AR81" i="1" a="1"/>
  <c r="AM76" i="1" a="1"/>
  <c r="AO83" i="1" a="1"/>
  <c r="AS75" i="1" a="1"/>
  <c r="AI82" i="1" a="1"/>
  <c r="AS69" i="1" a="1"/>
  <c r="AQ72" i="1" a="1"/>
  <c r="AU76" i="1" a="1"/>
  <c r="AJ68" i="1" a="1"/>
  <c r="AN70" i="1" a="1"/>
  <c r="AR72" i="1" a="1"/>
  <c r="AH75" i="1" a="1"/>
  <c r="AL77" i="1" a="1"/>
  <c r="AP79" i="1" a="1"/>
  <c r="AT81" i="1" a="1"/>
  <c r="AQ73" i="1" a="1"/>
  <c r="AM81" i="1" a="1"/>
  <c r="AI69" i="1" a="1"/>
  <c r="AM71" i="1" a="1"/>
  <c r="AU73" i="1" a="1"/>
  <c r="AK76" i="1" a="1"/>
  <c r="AK80" i="1" a="1"/>
  <c r="AI67" i="1" a="1"/>
  <c r="AP67" i="1" a="1"/>
  <c r="AL28" i="1" a="1"/>
  <c r="AP30" i="1" a="1"/>
  <c r="AT32" i="1" a="1"/>
  <c r="AJ35" i="1" a="1"/>
  <c r="AN37" i="1" a="1"/>
  <c r="AR39" i="1" a="1"/>
  <c r="AH42" i="1" a="1"/>
  <c r="AQ28" i="1" a="1"/>
  <c r="AK31" i="1" a="1"/>
  <c r="AS33" i="1" a="1"/>
  <c r="AM38" i="1" a="1"/>
  <c r="AO43" i="1" a="1"/>
  <c r="AK37" i="1" a="1"/>
  <c r="AK41" i="1" a="1"/>
  <c r="AK28" i="1" a="1"/>
  <c r="AM43" i="1" a="1"/>
  <c r="AT31" i="1" a="1"/>
  <c r="AU37" i="1" a="1"/>
  <c r="AO40" i="1" a="1"/>
  <c r="AR38" i="1" a="1"/>
  <c r="AJ42" i="1" a="1"/>
  <c r="AP39" i="1" a="1"/>
  <c r="AQ29" i="1" a="1"/>
  <c r="AK34" i="1" a="1"/>
  <c r="AN40" i="1" a="1"/>
  <c r="AU39" i="1" a="1"/>
  <c r="AN30" i="1" a="1"/>
  <c r="AH41" i="1" a="1"/>
  <c r="AM27" i="1" a="1"/>
  <c r="AJ27" i="1" a="1"/>
  <c r="AT8" i="1" a="1"/>
  <c r="AJ11" i="1" a="1"/>
  <c r="AJ89" i="1" a="1"/>
  <c r="AN91" i="1" a="1"/>
  <c r="AR93" i="1" a="1"/>
  <c r="AH96" i="1" a="1"/>
  <c r="AL98" i="1" a="1"/>
  <c r="AQ88" i="1" a="1"/>
  <c r="AU90" i="1" a="1"/>
  <c r="AK93" i="1" a="1"/>
  <c r="AO95" i="1" a="1"/>
  <c r="AI98" i="1" a="1"/>
  <c r="AM100" i="1" a="1"/>
  <c r="AR94" i="1" a="1"/>
  <c r="AN102" i="1" a="1"/>
  <c r="AS94" i="1" a="1"/>
  <c r="AU100" i="1" a="1"/>
  <c r="AR92" i="1" a="1"/>
  <c r="AP99" i="1" a="1"/>
  <c r="AT93" i="1" a="1"/>
  <c r="AO101" i="1" a="1"/>
  <c r="AO102" i="1" a="1"/>
  <c r="AI93" i="1" a="1"/>
  <c r="AQ93" i="1" a="1"/>
  <c r="AM89" i="1" a="1"/>
  <c r="AK100" i="1" a="1"/>
  <c r="AN90" i="1" a="1"/>
  <c r="AP95" i="1" a="1"/>
  <c r="AI102" i="1" a="1"/>
  <c r="AU99" i="1" a="1"/>
  <c r="AN87" i="1" a="1"/>
  <c r="AJ87" i="1" a="1"/>
  <c r="AR49" i="1" a="1"/>
  <c r="AH52" i="1" a="1"/>
  <c r="AL54" i="1" a="1"/>
  <c r="AP56" i="1" a="1"/>
  <c r="AT58" i="1" a="1"/>
  <c r="AJ61" i="1" a="1"/>
  <c r="AN63" i="1" a="1"/>
  <c r="AI58" i="1" a="1"/>
  <c r="AS63" i="1" a="1"/>
  <c r="AH63" i="1" a="1"/>
  <c r="AU57" i="1" a="1"/>
  <c r="AK51" i="1" a="1"/>
  <c r="AK55" i="1" a="1"/>
  <c r="AK61" i="1" a="1"/>
  <c r="AT59" i="1" a="1"/>
  <c r="AU53" i="1" a="1"/>
  <c r="AQ48" i="1" a="1"/>
  <c r="AQ54" i="1" a="1"/>
  <c r="AJ56" i="1" a="1"/>
  <c r="AK56" i="1" a="1"/>
  <c r="AS50" i="1" a="1"/>
  <c r="AQ63" i="1" a="1"/>
  <c r="AJ50" i="1" a="1"/>
  <c r="AN52" i="1" a="1"/>
  <c r="AR54" i="1" a="1"/>
  <c r="AQ49" i="1" a="1"/>
  <c r="AU49" i="1" a="1"/>
  <c r="AU63" i="1" a="1"/>
  <c r="AK47" i="1" a="1"/>
  <c r="AL68" i="1" a="1"/>
  <c r="AP70" i="1" a="1"/>
  <c r="AT72" i="1" a="1"/>
  <c r="AJ75" i="1" a="1"/>
  <c r="AN77" i="1" a="1"/>
  <c r="AR79" i="1" a="1"/>
  <c r="AH82" i="1" a="1"/>
  <c r="AI78" i="1" a="1"/>
  <c r="AU68" i="1" a="1"/>
  <c r="AQ76" i="1" a="1"/>
  <c r="AU82" i="1" a="1"/>
  <c r="AI70" i="1" a="1"/>
  <c r="AU72" i="1" a="1"/>
  <c r="AO77" i="1" a="1"/>
  <c r="AN68" i="1" a="1"/>
  <c r="AR70" i="1" a="1"/>
  <c r="AH73" i="1" a="1"/>
  <c r="AL75" i="1" a="1"/>
  <c r="AP77" i="1" a="1"/>
  <c r="AT79" i="1" a="1"/>
  <c r="AJ82" i="1" a="1"/>
  <c r="AO76" i="1" a="1"/>
  <c r="AU81" i="1" a="1"/>
  <c r="AM69" i="1" a="1"/>
  <c r="AQ71" i="1" a="1"/>
  <c r="AK74" i="1" a="1"/>
  <c r="AS76" i="1" a="1"/>
  <c r="AO80" i="1" a="1"/>
  <c r="AM67" i="1" a="1"/>
  <c r="AK67" i="1" a="1"/>
  <c r="AP28" i="1" a="1"/>
  <c r="AT30" i="1" a="1"/>
  <c r="AJ33" i="1" a="1"/>
  <c r="AN35" i="1" a="1"/>
  <c r="AR37" i="1" a="1"/>
  <c r="AH40" i="1" a="1"/>
  <c r="AL42" i="1" a="1"/>
  <c r="AU28" i="1" a="1"/>
  <c r="AO31" i="1" a="1"/>
  <c r="AM34" i="1" a="1"/>
  <c r="AK39" i="1" a="1"/>
  <c r="AO29" i="1" a="1"/>
  <c r="AO37" i="1" a="1"/>
  <c r="AO41" i="1" a="1"/>
  <c r="AI35" i="1" a="1"/>
  <c r="AT43" i="1" a="1"/>
  <c r="AN32" i="1" a="1"/>
  <c r="AN38" i="1" a="1"/>
  <c r="AS42" i="1" a="1"/>
  <c r="AO30" i="1" a="1"/>
  <c r="AU43" i="1" a="1"/>
  <c r="AQ43" i="1" a="1"/>
  <c r="AK30" i="1" a="1"/>
  <c r="AS34" i="1" a="1"/>
  <c r="AT33" i="1" a="1"/>
  <c r="AR42" i="1" a="1"/>
  <c r="AH31" i="1" a="1"/>
  <c r="AL43" i="1" a="1"/>
  <c r="AQ27" i="1" a="1"/>
  <c r="AN27" i="1" a="1"/>
  <c r="AJ9" i="1" a="1"/>
  <c r="AN11" i="1" a="1"/>
  <c r="AN89" i="1" a="1"/>
  <c r="AR91" i="1" a="1"/>
  <c r="AH94" i="1" a="1"/>
  <c r="AL96" i="1" a="1"/>
  <c r="AP98" i="1" a="1"/>
  <c r="AU88" i="1" a="1"/>
  <c r="AK91" i="1" a="1"/>
  <c r="AO93" i="1" a="1"/>
  <c r="AS95" i="1" a="1"/>
  <c r="AM98" i="1" a="1"/>
  <c r="AJ88" i="1" a="1"/>
  <c r="AO96" i="1" a="1"/>
  <c r="AI103" i="1" a="1"/>
  <c r="AI97" i="1" a="1"/>
  <c r="AK102" i="1" a="1"/>
  <c r="AO94" i="1" a="1"/>
  <c r="AH102" i="1" a="1"/>
  <c r="AQ95" i="1" a="1"/>
  <c r="AJ102" i="1" a="1"/>
  <c r="AJ103" i="1" a="1"/>
  <c r="AP103" i="1" a="1"/>
  <c r="AI99" i="1" a="1"/>
  <c r="AT89" i="1" a="1"/>
  <c r="AU101" i="1" a="1"/>
  <c r="AL102" i="1" a="1"/>
  <c r="AM97" i="1" a="1"/>
  <c r="AR102" i="1" a="1"/>
  <c r="AT91" i="1" a="1"/>
  <c r="AR87" i="1" a="1"/>
  <c r="AH87" i="1" a="1"/>
  <c r="AH50" i="1" a="1"/>
  <c r="AL52" i="1" a="1"/>
  <c r="AP54" i="1" a="1"/>
  <c r="AT56" i="1" a="1"/>
  <c r="AJ59" i="1" a="1"/>
  <c r="AN61" i="1" a="1"/>
  <c r="AR63" i="1" a="1"/>
  <c r="AQ58" i="1" a="1"/>
  <c r="AH55" i="1" a="1"/>
  <c r="AP63" i="1" a="1"/>
  <c r="AQ59" i="1" a="1"/>
  <c r="AO51" i="1" a="1"/>
  <c r="AS55" i="1" a="1"/>
  <c r="AS61" i="1" a="1"/>
  <c r="AH61" i="1" a="1"/>
  <c r="AI55" i="1" a="1"/>
  <c r="AU48" i="1" a="1"/>
  <c r="AI56" i="1" a="1"/>
  <c r="AJ58" i="1" a="1"/>
  <c r="AS58" i="1" a="1"/>
  <c r="AO52" i="1" a="1"/>
  <c r="AJ48" i="1" a="1"/>
  <c r="AN50" i="1" a="1"/>
  <c r="AR52" i="1" a="1"/>
  <c r="AP55" i="1" a="1"/>
  <c r="AM51" i="1" a="1"/>
  <c r="AK50" i="1" a="1"/>
  <c r="AI63" i="1" a="1"/>
  <c r="AP47" i="1" a="1"/>
  <c r="AP68" i="1" a="1"/>
  <c r="AT70" i="1" a="1"/>
  <c r="AJ73" i="1" a="1"/>
  <c r="AN75" i="1" a="1"/>
  <c r="AR77" i="1" a="1"/>
  <c r="AH80" i="1" a="1"/>
  <c r="AL82" i="1" a="1"/>
  <c r="AU78" i="1" a="1"/>
  <c r="AO71" i="1" a="1"/>
  <c r="AK77" i="1" a="1"/>
  <c r="AS83" i="1" a="1"/>
  <c r="AM70" i="1" a="1"/>
  <c r="AO73" i="1" a="1"/>
  <c r="AM78" i="1" a="1"/>
  <c r="AR68" i="1" a="1"/>
  <c r="AH71" i="1" a="1"/>
  <c r="AL73" i="1" a="1"/>
  <c r="AP75" i="1" a="1"/>
  <c r="AT77" i="1" a="1"/>
  <c r="AJ80" i="1" a="1"/>
  <c r="AN82" i="1" a="1"/>
  <c r="AM77" i="1" a="1"/>
  <c r="AO82" i="1" a="1"/>
  <c r="AQ69" i="1" a="1"/>
  <c r="AU71" i="1" a="1"/>
  <c r="AO74" i="1" a="1"/>
  <c r="AI77" i="1" a="1"/>
  <c r="AI81" i="1" a="1"/>
  <c r="AQ67" i="1" a="1"/>
  <c r="AO67" i="1" a="1"/>
  <c r="AT28" i="1" a="1"/>
  <c r="AJ31" i="1" a="1"/>
  <c r="AN33" i="1" a="1"/>
  <c r="AR35" i="1" a="1"/>
  <c r="AH38" i="1" a="1"/>
  <c r="AL40" i="1" a="1"/>
  <c r="AP42" i="1" a="1"/>
  <c r="AK29" i="1" a="1"/>
  <c r="AS31" i="1" a="1"/>
  <c r="AQ34" i="1" a="1"/>
  <c r="AS39" i="1" a="1"/>
  <c r="AK33" i="1" a="1"/>
  <c r="AI38" i="1" a="1"/>
  <c r="AI42" i="1" a="1"/>
  <c r="AO36" i="1" a="1"/>
  <c r="AN28" i="1" a="1"/>
  <c r="AH33" i="1" a="1"/>
  <c r="AK40" i="1" a="1"/>
  <c r="AQ31" i="1" a="1"/>
  <c r="AL35" i="1" a="1"/>
  <c r="AH39" i="1" a="1"/>
  <c r="AM33" i="1" a="1"/>
  <c r="AS30" i="1" a="1"/>
  <c r="AK36" i="1" a="1"/>
  <c r="AT41" i="1" a="1"/>
  <c r="AK32" i="1" a="1"/>
  <c r="AP31" i="1" a="1"/>
  <c r="AI31" i="1" a="1"/>
  <c r="AU27" i="1" a="1"/>
  <c r="AP27" i="1" a="1"/>
  <c r="AN9" i="1" a="1"/>
  <c r="AR11" i="1" a="1"/>
  <c r="AR89" i="1" a="1"/>
  <c r="AH92" i="1" a="1"/>
  <c r="AH90" i="1" a="1"/>
  <c r="AL92" i="1" a="1"/>
  <c r="AP94" i="1" a="1"/>
  <c r="AT96" i="1" a="1"/>
  <c r="AJ99" i="1" a="1"/>
  <c r="AO89" i="1" a="1"/>
  <c r="AS91" i="1" a="1"/>
  <c r="AI94" i="1" a="1"/>
  <c r="AM96" i="1" a="1"/>
  <c r="AU98" i="1" a="1"/>
  <c r="AQ89" i="1" a="1"/>
  <c r="AT97" i="1" a="1"/>
  <c r="AO100" i="1" a="1"/>
  <c r="AK101" i="1" a="1"/>
  <c r="AH89" i="1" a="1"/>
  <c r="AL100" i="1" a="1"/>
  <c r="AS88" i="1" a="1"/>
  <c r="AO97" i="1" a="1"/>
  <c r="AK90" i="1" a="1"/>
  <c r="AP100" i="1" a="1"/>
  <c r="AS96" i="1" a="1"/>
  <c r="AO98" i="1" a="1"/>
  <c r="AJ92" i="1" a="1"/>
  <c r="AU95" i="1" a="1"/>
  <c r="AO90" i="1" a="1"/>
  <c r="AR98" i="1" a="1"/>
  <c r="AT95" i="1" a="1"/>
  <c r="AM102" i="1" a="1"/>
  <c r="AO87" i="1" a="1"/>
  <c r="AL48" i="1" a="1"/>
  <c r="AP50" i="1" a="1"/>
  <c r="AT52" i="1" a="1"/>
  <c r="AJ55" i="1" a="1"/>
  <c r="AN57" i="1" a="1"/>
  <c r="AR59" i="1" a="1"/>
  <c r="AH62" i="1" a="1"/>
  <c r="AI54" i="1" a="1"/>
  <c r="AI60" i="1" a="1"/>
  <c r="AP57" i="1" a="1"/>
  <c r="AI51" i="1" a="1"/>
  <c r="AM63" i="1" a="1"/>
  <c r="AM52" i="1" a="1"/>
  <c r="AU56" i="1" a="1"/>
  <c r="AO63" i="1" a="1"/>
  <c r="AL63" i="1" a="1"/>
  <c r="AQ57" i="1" a="1"/>
  <c r="AS49" i="1" a="1"/>
  <c r="AU58" i="1" a="1"/>
  <c r="AN60" i="1" a="1"/>
  <c r="AO62" i="1" a="1"/>
  <c r="AQ55" i="1" a="1"/>
  <c r="AR48" i="1" a="1"/>
  <c r="AH51" i="1" a="1"/>
  <c r="AL53" i="1" a="1"/>
  <c r="AL57" i="1" a="1"/>
  <c r="AU55" i="1" a="1"/>
  <c r="AS54" i="1" a="1"/>
  <c r="AM47" i="1" a="1"/>
  <c r="AO47" i="1" a="1"/>
  <c r="AJ69" i="1" a="1"/>
  <c r="AN71" i="1" a="1"/>
  <c r="AR73" i="1" a="1"/>
  <c r="AH76" i="1" a="1"/>
  <c r="AL78" i="1" a="1"/>
  <c r="AP80" i="1" a="1"/>
  <c r="AT82" i="1" a="1"/>
  <c r="AI80" i="1" a="1"/>
  <c r="AK73" i="1" a="1"/>
  <c r="AQ78" i="1" a="1"/>
  <c r="AM68" i="1" a="1"/>
  <c r="AU70" i="1" a="1"/>
  <c r="AQ74" i="1" a="1"/>
  <c r="AQ80" i="1" a="1"/>
  <c r="AL69" i="1" a="1"/>
  <c r="AP71" i="1" a="1"/>
  <c r="AT73" i="1" a="1"/>
  <c r="AJ76" i="1" a="1"/>
  <c r="AN78" i="1" a="1"/>
  <c r="AR80" i="1" a="1"/>
  <c r="AH83" i="1" a="1"/>
  <c r="AS78" i="1" a="1"/>
  <c r="AQ83" i="1" a="1"/>
  <c r="AK70" i="1" a="1"/>
  <c r="AO72" i="1" a="1"/>
  <c r="AI75" i="1" a="1"/>
  <c r="AK78" i="1" a="1"/>
  <c r="AK82" i="1" a="1"/>
  <c r="AN67" i="1" a="1"/>
  <c r="AL67" i="1" a="1"/>
  <c r="AN29" i="1" a="1"/>
  <c r="AR31" i="1" a="1"/>
  <c r="AH34" i="1" a="1"/>
  <c r="AL36" i="1" a="1"/>
  <c r="AP38" i="1" a="1"/>
  <c r="AT40" i="1" a="1"/>
  <c r="AJ43" i="1" a="1"/>
  <c r="AI30" i="1" a="1"/>
  <c r="AM32" i="1" a="1"/>
  <c r="AS35" i="1" a="1"/>
  <c r="AU40" i="1" a="1"/>
  <c r="AU34" i="1" a="1"/>
  <c r="AU38" i="1" a="1"/>
  <c r="AK43" i="1" a="1"/>
  <c r="AS38" i="1" a="1"/>
  <c r="AP29" i="1" a="1"/>
  <c r="AJ34" i="1" a="1"/>
  <c r="AO42" i="1" a="1"/>
  <c r="AK42" i="1" a="1"/>
  <c r="AP37" i="1" a="1"/>
  <c r="AI43" i="1" a="1"/>
  <c r="AQ39" i="1" a="1"/>
  <c r="AU31" i="1" a="1"/>
  <c r="AO38" i="1" a="1"/>
  <c r="AP35" i="1" a="1"/>
  <c r="AT37" i="1" a="1"/>
  <c r="AS36" i="1" a="1"/>
  <c r="AM29" i="1" a="1"/>
  <c r="AK27" i="1" a="1"/>
  <c r="AT90" i="1" a="1"/>
  <c r="AK89" i="1" a="1"/>
  <c r="AQ98" i="1" a="1"/>
  <c r="AN98" i="1" a="1"/>
  <c r="AJ96" i="1" a="1"/>
  <c r="AN88" i="1" a="1"/>
  <c r="AK98" i="1" a="1"/>
  <c r="AH48" i="1" a="1"/>
  <c r="AJ57" i="1" a="1"/>
  <c r="AK59" i="1" a="1"/>
  <c r="AI52" i="1" a="1"/>
  <c r="AO56" i="1" a="1"/>
  <c r="AO60" i="1" a="1"/>
  <c r="AH53" i="1" a="1"/>
  <c r="AI47" i="1" a="1"/>
  <c r="AN73" i="1" a="1"/>
  <c r="AP82" i="1" a="1"/>
  <c r="AI68" i="1" a="1"/>
  <c r="AH69" i="1" a="1"/>
  <c r="AJ78" i="1" a="1"/>
  <c r="AI83" i="1" a="1"/>
  <c r="AQ77" i="1" a="1"/>
  <c r="AJ29" i="1" a="1"/>
  <c r="AL38" i="1" a="1"/>
  <c r="AI32" i="1" a="1"/>
  <c r="AQ38" i="1" a="1"/>
  <c r="AP33" i="1" a="1"/>
  <c r="AL41" i="1" a="1"/>
  <c r="AS32" i="1" a="1"/>
  <c r="AR27" i="1" a="1"/>
  <c r="AI8" i="1" a="1"/>
  <c r="AS11" i="1" a="1"/>
  <c r="AQ14" i="1" a="1"/>
  <c r="AO17" i="1" a="1"/>
  <c r="AJ8" i="1" a="1"/>
  <c r="AN16" i="1" a="1"/>
  <c r="AQ21" i="1" a="1"/>
  <c r="AT11" i="1" a="1"/>
  <c r="AO22" i="1" a="1"/>
  <c r="AO18" i="1" a="1"/>
  <c r="AJ10" i="1" a="1"/>
  <c r="AQ19" i="1" a="1"/>
  <c r="AM23" i="1" a="1"/>
  <c r="AP19" i="1" a="1"/>
  <c r="AH17" i="1" a="1"/>
  <c r="AS21" i="1" a="1"/>
  <c r="AR12" i="1" a="1"/>
  <c r="AU11" i="1" a="1"/>
  <c r="AN18" i="1" a="1"/>
  <c r="AT21" i="1" a="1"/>
  <c r="AH15" i="1" a="1"/>
  <c r="AT14" i="1" a="1"/>
  <c r="AH14" i="1" a="1"/>
  <c r="AN20" i="1" a="1"/>
  <c r="AO23" i="1" a="1"/>
  <c r="AQ7" i="1" a="1"/>
  <c r="AK7" i="1" a="1"/>
  <c r="T89" i="1" a="1"/>
  <c r="X91" i="1" a="1"/>
  <c r="AB93" i="1" a="1"/>
  <c r="R96" i="1" a="1"/>
  <c r="V98" i="1" a="1"/>
  <c r="Z100" i="1" a="1"/>
  <c r="AD102" i="1" a="1"/>
  <c r="R89" i="1" a="1"/>
  <c r="V91" i="1" a="1"/>
  <c r="Z93" i="1" a="1"/>
  <c r="AD95" i="1" a="1"/>
  <c r="T98" i="1" a="1"/>
  <c r="X100" i="1" a="1"/>
  <c r="AB102" i="1" a="1"/>
  <c r="S89" i="1" a="1"/>
  <c r="AA93" i="1" a="1"/>
  <c r="U98" i="1" a="1"/>
  <c r="Y103" i="1" a="1"/>
  <c r="Y99" i="1" a="1"/>
  <c r="W92" i="1" a="1"/>
  <c r="AA91" i="1" a="1"/>
  <c r="W96" i="1" a="1"/>
  <c r="Y91" i="1" a="1"/>
  <c r="AE98" i="1" a="1"/>
  <c r="S94" i="1" a="1"/>
  <c r="Y90" i="1" a="1"/>
  <c r="U91" i="1" a="1"/>
  <c r="AC99" i="1" a="1"/>
  <c r="U87" i="1" a="1"/>
  <c r="AE87" i="1" a="1"/>
  <c r="AB69" i="1" a="1"/>
  <c r="R72" i="1" a="1"/>
  <c r="V74" i="1" a="1"/>
  <c r="Z76" i="1" a="1"/>
  <c r="AD78" i="1" a="1"/>
  <c r="T81" i="1" a="1"/>
  <c r="X83" i="1" a="1"/>
  <c r="W70" i="1" a="1"/>
  <c r="AA72" i="1" a="1"/>
  <c r="AE74" i="1" a="1"/>
  <c r="S78" i="1" a="1"/>
  <c r="W82" i="1" a="1"/>
  <c r="U79" i="1" a="1"/>
  <c r="Y83" i="1" a="1"/>
  <c r="AA73" i="1" a="1"/>
  <c r="Y80" i="1" a="1"/>
  <c r="AE69" i="1" a="1"/>
  <c r="Z71" i="1" a="1"/>
  <c r="AE81" i="1" a="1"/>
  <c r="V83" i="1" a="1"/>
  <c r="AC80" i="1" a="1"/>
  <c r="AB78" i="1" a="1"/>
  <c r="V81" i="1" a="1"/>
  <c r="AE73" i="1" a="1"/>
  <c r="Z83" i="1" a="1"/>
  <c r="AD83" i="1" a="1"/>
  <c r="AC68" i="1" a="1"/>
  <c r="AE77" i="1" a="1"/>
  <c r="AC67" i="1" a="1"/>
  <c r="B67" i="1" a="1"/>
  <c r="R50" i="1" a="1"/>
  <c r="V52" i="1" a="1"/>
  <c r="Z54" i="1" a="1"/>
  <c r="AD56" i="1" a="1"/>
  <c r="T59" i="1" a="1"/>
  <c r="X61" i="1" a="1"/>
  <c r="AB63" i="1" a="1"/>
  <c r="AD49" i="1" a="1"/>
  <c r="T52" i="1" a="1"/>
  <c r="X54" i="1" a="1"/>
  <c r="AB56" i="1" a="1"/>
  <c r="R59" i="1" a="1"/>
  <c r="V61" i="1" a="1"/>
  <c r="Z63" i="1" a="1"/>
  <c r="AA51" i="1" a="1"/>
  <c r="AC59" i="1" a="1"/>
  <c r="W59" i="1" a="1"/>
  <c r="S50" i="1" a="1"/>
  <c r="S58" i="1" a="1"/>
  <c r="AC51" i="1" a="1"/>
  <c r="AC50" i="1" a="1"/>
  <c r="AC56" i="1" a="1"/>
  <c r="AC49" i="1" a="1"/>
  <c r="S63" i="1" a="1"/>
  <c r="AE62" i="1" a="1"/>
  <c r="AA62" i="1" a="1"/>
  <c r="U59" i="1" a="1"/>
  <c r="AE59" i="1" a="1"/>
  <c r="Y47" i="1" a="1"/>
  <c r="V28" i="1" a="1"/>
  <c r="Z30" i="1" a="1"/>
  <c r="AD32" i="1" a="1"/>
  <c r="T35" i="1" a="1"/>
  <c r="X37" i="1" a="1"/>
  <c r="AB39" i="1" a="1"/>
  <c r="R42" i="1" a="1"/>
  <c r="S36" i="1" a="1"/>
  <c r="AE40" i="1" a="1"/>
  <c r="AA28" i="1" a="1"/>
  <c r="AE30" i="1" a="1"/>
  <c r="U33" i="1" a="1"/>
  <c r="W36" i="1" a="1"/>
  <c r="AA40" i="1" a="1"/>
  <c r="U28" i="1" a="1"/>
  <c r="S37" i="1" a="1"/>
  <c r="AD29" i="1" a="1"/>
  <c r="AC40" i="1" a="1"/>
  <c r="Z31" i="1" a="1"/>
  <c r="AJ93" i="1" a="1"/>
  <c r="AM90" i="1" a="1"/>
  <c r="AS99" i="1" a="1"/>
  <c r="AP97" i="1" a="1"/>
  <c r="AJ100" i="1" a="1"/>
  <c r="AJ94" i="1" a="1"/>
  <c r="AI101" i="1" a="1"/>
  <c r="AJ49" i="1" a="1"/>
  <c r="AL58" i="1" a="1"/>
  <c r="AM62" i="1" a="1"/>
  <c r="AS53" i="1" a="1"/>
  <c r="AU61" i="1" a="1"/>
  <c r="AR62" i="1" a="1"/>
  <c r="AJ54" i="1" a="1"/>
  <c r="AN47" i="1" a="1"/>
  <c r="AP74" i="1" a="1"/>
  <c r="AR83" i="1" a="1"/>
  <c r="AO69" i="1" a="1"/>
  <c r="AJ70" i="1" a="1"/>
  <c r="AL79" i="1" a="1"/>
  <c r="AS68" i="1" a="1"/>
  <c r="AQ79" i="1" a="1"/>
  <c r="AL30" i="1" a="1"/>
  <c r="AN39" i="1" a="1"/>
  <c r="AO33" i="1" a="1"/>
  <c r="AQ40" i="1" a="1"/>
  <c r="AJ36" i="1" a="1"/>
  <c r="AN34" i="1" a="1"/>
  <c r="AM35" i="1" a="1"/>
  <c r="AT27" i="1" a="1"/>
  <c r="AM8" i="1" a="1"/>
  <c r="AI12" i="1" a="1"/>
  <c r="AU14" i="1" a="1"/>
  <c r="AS17" i="1" a="1"/>
  <c r="AK8" i="1" a="1"/>
  <c r="AT16" i="1" a="1"/>
  <c r="AI22" i="1" a="1"/>
  <c r="AL13" i="1" a="1"/>
  <c r="AH18" i="1" a="1"/>
  <c r="AJ21" i="1" a="1"/>
  <c r="AR10" i="1" a="1"/>
  <c r="AR21" i="1" a="1"/>
  <c r="AL9" i="1" a="1"/>
  <c r="AH22" i="1" a="1"/>
  <c r="AN17" i="1" a="1"/>
  <c r="AJ22" i="1" a="1"/>
  <c r="AN15" i="1" a="1"/>
  <c r="AM13" i="1" a="1"/>
  <c r="AT18" i="1" a="1"/>
  <c r="AS23" i="1" a="1"/>
  <c r="AO12" i="1" a="1"/>
  <c r="AN23" i="1" a="1"/>
  <c r="AM15" i="1" a="1"/>
  <c r="AS20" i="1" a="1"/>
  <c r="AT23" i="1" a="1"/>
  <c r="AU7" i="1" a="1"/>
  <c r="AP7" i="1" a="1"/>
  <c r="X89" i="1" a="1"/>
  <c r="AB91" i="1" a="1"/>
  <c r="R94" i="1" a="1"/>
  <c r="V96" i="1" a="1"/>
  <c r="Z98" i="1" a="1"/>
  <c r="AD100" i="1" a="1"/>
  <c r="T103" i="1" a="1"/>
  <c r="V89" i="1" a="1"/>
  <c r="Z91" i="1" a="1"/>
  <c r="AD93" i="1" a="1"/>
  <c r="T96" i="1" a="1"/>
  <c r="X98" i="1" a="1"/>
  <c r="AB100" i="1" a="1"/>
  <c r="R103" i="1" a="1"/>
  <c r="AA89" i="1" a="1"/>
  <c r="U94" i="1" a="1"/>
  <c r="AC98" i="1" a="1"/>
  <c r="W88" i="1" a="1"/>
  <c r="U101" i="1" a="1"/>
  <c r="Y93" i="1" a="1"/>
  <c r="AE93" i="1" a="1"/>
  <c r="U99" i="1" a="1"/>
  <c r="S92" i="1" a="1"/>
  <c r="S100" i="1" a="1"/>
  <c r="AA98" i="1" a="1"/>
  <c r="S91" i="1" a="1"/>
  <c r="AA94" i="1" a="1"/>
  <c r="AE102" i="1" a="1"/>
  <c r="Y87" i="1" a="1"/>
  <c r="R87" i="1" a="1"/>
  <c r="R70" i="1" a="1"/>
  <c r="V72" i="1" a="1"/>
  <c r="Z74" i="1" a="1"/>
  <c r="AD76" i="1" a="1"/>
  <c r="T79" i="1" a="1"/>
  <c r="X81" i="1" a="1"/>
  <c r="AB83" i="1" a="1"/>
  <c r="AA70" i="1" a="1"/>
  <c r="AE72" i="1" a="1"/>
  <c r="U75" i="1" a="1"/>
  <c r="AA78" i="1" a="1"/>
  <c r="AE82" i="1" a="1"/>
  <c r="AC79" i="1" a="1"/>
  <c r="AE68" i="1" a="1"/>
  <c r="X74" i="1" a="1"/>
  <c r="S81" i="1" a="1"/>
  <c r="AB70" i="1" a="1"/>
  <c r="T76" i="1" a="1"/>
  <c r="Y76" i="1" a="1"/>
  <c r="AD73" i="1" a="1"/>
  <c r="S83" i="1" a="1"/>
  <c r="R81" i="1" a="1"/>
  <c r="R83" i="1" a="1"/>
  <c r="AB74" i="1" a="1"/>
  <c r="R71" i="1" a="1"/>
  <c r="AB68" i="1" a="1"/>
  <c r="Z69" i="1" a="1"/>
  <c r="X80" i="1" a="1"/>
  <c r="V67" i="1" a="1"/>
  <c r="R48" i="1" a="1"/>
  <c r="V50" i="1" a="1"/>
  <c r="Z52" i="1" a="1"/>
  <c r="AD54" i="1" a="1"/>
  <c r="T57" i="1" a="1"/>
  <c r="X59" i="1" a="1"/>
  <c r="AB61" i="1" a="1"/>
  <c r="S48" i="1" a="1"/>
  <c r="T50" i="1" a="1"/>
  <c r="X52" i="1" a="1"/>
  <c r="AB54" i="1" a="1"/>
  <c r="R57" i="1" a="1"/>
  <c r="V59" i="1" a="1"/>
  <c r="Z61" i="1" a="1"/>
  <c r="AD63" i="1" a="1"/>
  <c r="U52" i="1" a="1"/>
  <c r="U60" i="1" a="1"/>
  <c r="U61" i="1" a="1"/>
  <c r="AA50" i="1" a="1"/>
  <c r="Y58" i="1" a="1"/>
  <c r="U56" i="1" a="1"/>
  <c r="W51" i="1" a="1"/>
  <c r="AA58" i="1" a="1"/>
  <c r="AE50" i="1" a="1"/>
  <c r="AC53" i="1" a="1"/>
  <c r="AA53" i="1" a="1"/>
  <c r="AC63" i="1" a="1"/>
  <c r="AE61" i="1" a="1"/>
  <c r="S47" i="1" a="1"/>
  <c r="AC47" i="1" a="1"/>
  <c r="Z28" i="1" a="1"/>
  <c r="AD30" i="1" a="1"/>
  <c r="T33" i="1" a="1"/>
  <c r="X35" i="1" a="1"/>
  <c r="AB37" i="1" a="1"/>
  <c r="R40" i="1" a="1"/>
  <c r="V42" i="1" a="1"/>
  <c r="AA36" i="1" a="1"/>
  <c r="Y41" i="1" a="1"/>
  <c r="AE28" i="1" a="1"/>
  <c r="U31" i="1" a="1"/>
  <c r="AC33" i="1" a="1"/>
  <c r="AE36" i="1" a="1"/>
  <c r="U41" i="1" a="1"/>
  <c r="AC28" i="1" a="1"/>
  <c r="Z37" i="1" a="1"/>
  <c r="AA31" i="1" a="1"/>
  <c r="V41" i="1" a="1"/>
  <c r="T36" i="1" a="1"/>
  <c r="AL94" i="1" a="1"/>
  <c r="AO91" i="1" a="1"/>
  <c r="AK88" i="1" a="1"/>
  <c r="AK103" i="1" a="1"/>
  <c r="AS103" i="1" a="1"/>
  <c r="AQ91" i="1" a="1"/>
  <c r="AM103" i="1" a="1"/>
  <c r="AL50" i="1" a="1"/>
  <c r="AN59" i="1" a="1"/>
  <c r="AN56" i="1" a="1"/>
  <c r="AQ56" i="1" a="1"/>
  <c r="AK49" i="1" a="1"/>
  <c r="AO54" i="1" a="1"/>
  <c r="AT55" i="1" a="1"/>
  <c r="AJ47" i="1" a="1"/>
  <c r="AR75" i="1" a="1"/>
  <c r="AO79" i="1" a="1"/>
  <c r="AQ70" i="1" a="1"/>
  <c r="AL71" i="1" a="1"/>
  <c r="AN80" i="1" a="1"/>
  <c r="AU69" i="1" a="1"/>
  <c r="AQ81" i="1" a="1"/>
  <c r="AN31" i="1" a="1"/>
  <c r="AP40" i="1" a="1"/>
  <c r="AK35" i="1" a="1"/>
  <c r="AQ42" i="1" a="1"/>
  <c r="AR40" i="1" a="1"/>
  <c r="AM37" i="1" a="1"/>
  <c r="AO34" i="1" a="1"/>
  <c r="AO27" i="1" a="1"/>
  <c r="AK9" i="1" a="1"/>
  <c r="AM12" i="1" a="1"/>
  <c r="AK15" i="1" a="1"/>
  <c r="AQ18" i="1" a="1"/>
  <c r="AH12" i="1" a="1"/>
  <c r="AK18" i="1" a="1"/>
  <c r="AN22" i="1" a="1"/>
  <c r="AI15" i="1" a="1"/>
  <c r="AI21" i="1" a="1"/>
  <c r="AO10" i="1" a="1"/>
  <c r="AL11" i="1" a="1"/>
  <c r="AU22" i="1" a="1"/>
  <c r="AP11" i="1" a="1"/>
  <c r="AN12" i="1" a="1"/>
  <c r="AS18" i="1" a="1"/>
  <c r="AL23" i="1" a="1"/>
  <c r="AO8" i="1" a="1"/>
  <c r="AT13" i="1" a="1"/>
  <c r="AK20" i="1" a="1"/>
  <c r="AN10" i="1" a="1"/>
  <c r="AH13" i="1" a="1"/>
  <c r="AQ11" i="1" a="1"/>
  <c r="AT15" i="1" a="1"/>
  <c r="AK21" i="1" a="1"/>
  <c r="AS8" i="1" a="1"/>
  <c r="AN7" i="1" a="1"/>
  <c r="AT7" i="1" a="1"/>
  <c r="AB89" i="1" a="1"/>
  <c r="R92" i="1" a="1"/>
  <c r="V94" i="1" a="1"/>
  <c r="Z96" i="1" a="1"/>
  <c r="AD98" i="1" a="1"/>
  <c r="T101" i="1" a="1"/>
  <c r="X103" i="1" a="1"/>
  <c r="Z89" i="1" a="1"/>
  <c r="AD91" i="1" a="1"/>
  <c r="T94" i="1" a="1"/>
  <c r="X96" i="1" a="1"/>
  <c r="AB98" i="1" a="1"/>
  <c r="R101" i="1" a="1"/>
  <c r="V103" i="1" a="1"/>
  <c r="U90" i="1" a="1"/>
  <c r="AC94" i="1" a="1"/>
  <c r="W99" i="1" a="1"/>
  <c r="U102" i="1" a="1"/>
  <c r="W93" i="1" a="1"/>
  <c r="Y97" i="1" a="1"/>
  <c r="Y94" i="1" a="1"/>
  <c r="AE88" i="1" a="1"/>
  <c r="AA92" i="1" a="1"/>
  <c r="AC101" i="1" a="1"/>
  <c r="Y101" i="1" a="1"/>
  <c r="AC92" i="1" a="1"/>
  <c r="S98" i="1" a="1"/>
  <c r="AC95" i="1" a="1"/>
  <c r="AC87" i="1" a="1"/>
  <c r="R68" i="1" a="1"/>
  <c r="V70" i="1" a="1"/>
  <c r="Z72" i="1" a="1"/>
  <c r="AD74" i="1" a="1"/>
  <c r="T77" i="1" a="1"/>
  <c r="X79" i="1" a="1"/>
  <c r="AB81" i="1" a="1"/>
  <c r="W68" i="1" a="1"/>
  <c r="AE70" i="1" a="1"/>
  <c r="U73" i="1" a="1"/>
  <c r="Y75" i="1" a="1"/>
  <c r="AE78" i="1" a="1"/>
  <c r="AC83" i="1" a="1"/>
  <c r="W80" i="1" a="1"/>
  <c r="T68" i="1" a="1"/>
  <c r="AE75" i="1" a="1"/>
  <c r="AA81" i="1" a="1"/>
  <c r="U72" i="1" a="1"/>
  <c r="AA77" i="1" a="1"/>
  <c r="Y70" i="1" a="1"/>
  <c r="Z79" i="1" a="1"/>
  <c r="X70" i="1" a="1"/>
  <c r="AB82" i="1" a="1"/>
  <c r="AD79" i="1" a="1"/>
  <c r="U76" i="1" a="1"/>
  <c r="S79" i="1" a="1"/>
  <c r="S77" i="1" a="1"/>
  <c r="S71" i="1" a="1"/>
  <c r="S67" i="1" a="1"/>
  <c r="Z67" i="1" a="1"/>
  <c r="V48" i="1" a="1"/>
  <c r="Z50" i="1" a="1"/>
  <c r="AD52" i="1" a="1"/>
  <c r="T55" i="1" a="1"/>
  <c r="X57" i="1" a="1"/>
  <c r="AB59" i="1" a="1"/>
  <c r="R62" i="1" a="1"/>
  <c r="T48" i="1" a="1"/>
  <c r="X50" i="1" a="1"/>
  <c r="AB52" i="1" a="1"/>
  <c r="R55" i="1" a="1"/>
  <c r="AN95" i="1" a="1"/>
  <c r="AQ92" i="1" a="1"/>
  <c r="AN92" i="1" a="1"/>
  <c r="AQ100" i="1" a="1"/>
  <c r="AU97" i="1" a="1"/>
  <c r="AK96" i="1" a="1"/>
  <c r="AH95" i="1" a="1"/>
  <c r="AN51" i="1" a="1"/>
  <c r="AP60" i="1" a="1"/>
  <c r="AR60" i="1" a="1"/>
  <c r="AO59" i="1" a="1"/>
  <c r="AS51" i="1" a="1"/>
  <c r="AU59" i="1" a="1"/>
  <c r="AP61" i="1" a="1"/>
  <c r="AT47" i="1" a="1"/>
  <c r="AT76" i="1" a="1"/>
  <c r="AQ82" i="1" a="1"/>
  <c r="AI72" i="1" a="1"/>
  <c r="AN72" i="1" a="1"/>
  <c r="AP81" i="1" a="1"/>
  <c r="AI71" i="1" a="1"/>
  <c r="AU83" i="1" a="1"/>
  <c r="AP32" i="1" a="1"/>
  <c r="AR41" i="1" a="1"/>
  <c r="AS37" i="1" a="1"/>
  <c r="AJ28" i="1" a="1"/>
  <c r="AK38" i="1" a="1"/>
  <c r="AI29" i="1" a="1"/>
  <c r="AT29" i="1" a="1"/>
  <c r="AH27" i="1" a="1"/>
  <c r="AO9" i="1" a="1"/>
  <c r="AQ12" i="1" a="1"/>
  <c r="AO15" i="1" a="1"/>
  <c r="AU18" i="1" a="1"/>
  <c r="AL12" i="1" a="1"/>
  <c r="AR18" i="1" a="1"/>
  <c r="AS22" i="1" a="1"/>
  <c r="AH16" i="1" a="1"/>
  <c r="AH23" i="1" a="1"/>
  <c r="AJ13" i="1" a="1"/>
  <c r="AS12" i="1" a="1"/>
  <c r="AQ23" i="1" a="1"/>
  <c r="AU13" i="1" a="1"/>
  <c r="AT12" i="1" a="1"/>
  <c r="AL19" i="1" a="1"/>
  <c r="AR15" i="1" a="1"/>
  <c r="AI9" i="1" a="1"/>
  <c r="AL14" i="1" a="1"/>
  <c r="AN21" i="1" a="1"/>
  <c r="AR16" i="1" a="1"/>
  <c r="AL15" i="1" a="1"/>
  <c r="AS16" i="1" a="1"/>
  <c r="AL16" i="1" a="1"/>
  <c r="AP21" i="1" a="1"/>
  <c r="AO14" i="1" a="1"/>
  <c r="AR7" i="1" a="1"/>
  <c r="AH7" i="1" a="1"/>
  <c r="R90" i="1" a="1"/>
  <c r="V92" i="1" a="1"/>
  <c r="Z94" i="1" a="1"/>
  <c r="AD96" i="1" a="1"/>
  <c r="T99" i="1" a="1"/>
  <c r="X101" i="1" a="1"/>
  <c r="AB103" i="1" a="1"/>
  <c r="AD89" i="1" a="1"/>
  <c r="T92" i="1" a="1"/>
  <c r="X94" i="1" a="1"/>
  <c r="AB96" i="1" a="1"/>
  <c r="R99" i="1" a="1"/>
  <c r="V101" i="1" a="1"/>
  <c r="Z103" i="1" a="1"/>
  <c r="AC90" i="1" a="1"/>
  <c r="W95" i="1" a="1"/>
  <c r="AE99" i="1" a="1"/>
  <c r="AA102" i="1" a="1"/>
  <c r="AC96" i="1" a="1"/>
  <c r="W100" i="1" a="1"/>
  <c r="U96" i="1" a="1"/>
  <c r="AE103" i="1" a="1"/>
  <c r="AC93" i="1" a="1"/>
  <c r="U92" i="1" a="1"/>
  <c r="AC102" i="1" a="1"/>
  <c r="AA95" i="1" a="1"/>
  <c r="AE100" i="1" a="1"/>
  <c r="AE96" i="1" a="1"/>
  <c r="V87" i="1" a="1"/>
  <c r="V68" i="1" a="1"/>
  <c r="Z70" i="1" a="1"/>
  <c r="AD72" i="1" a="1"/>
  <c r="T75" i="1" a="1"/>
  <c r="X77" i="1" a="1"/>
  <c r="AB79" i="1" a="1"/>
  <c r="R82" i="1" a="1"/>
  <c r="AA68" i="1" a="1"/>
  <c r="U71" i="1" a="1"/>
  <c r="Y73" i="1" a="1"/>
  <c r="AC75" i="1" a="1"/>
  <c r="Y79" i="1" a="1"/>
  <c r="S68" i="1" a="1"/>
  <c r="AE80" i="1" a="1"/>
  <c r="U68" i="1" a="1"/>
  <c r="AB76" i="1" a="1"/>
  <c r="U82" i="1" a="1"/>
  <c r="R73" i="1" a="1"/>
  <c r="AB80" i="1" a="1"/>
  <c r="AC72" i="1" a="1"/>
  <c r="X82" i="1" a="1"/>
  <c r="R75" i="1" a="1"/>
  <c r="Y68" i="1" a="1"/>
  <c r="T82" i="1" a="1"/>
  <c r="R77" i="1" a="1"/>
  <c r="W81" i="1" a="1"/>
  <c r="U80" i="1" a="1"/>
  <c r="AD71" i="1" a="1"/>
  <c r="T67" i="1" a="1"/>
  <c r="AD67" i="1" a="1"/>
  <c r="Z48" i="1" a="1"/>
  <c r="AD50" i="1" a="1"/>
  <c r="T53" i="1" a="1"/>
  <c r="X55" i="1" a="1"/>
  <c r="AB57" i="1" a="1"/>
  <c r="R60" i="1" a="1"/>
  <c r="V62" i="1" a="1"/>
  <c r="X48" i="1" a="1"/>
  <c r="AB50" i="1" a="1"/>
  <c r="R53" i="1" a="1"/>
  <c r="V55" i="1" a="1"/>
  <c r="AP96" i="1" a="1"/>
  <c r="AS93" i="1" a="1"/>
  <c r="AH97" i="1" a="1"/>
  <c r="AL97" i="1" a="1"/>
  <c r="AR96" i="1" a="1"/>
  <c r="AL103" i="1" a="1"/>
  <c r="AR100" i="1" a="1"/>
  <c r="AP52" i="1" a="1"/>
  <c r="AR61" i="1" a="1"/>
  <c r="AI49" i="1" a="1"/>
  <c r="AQ62" i="1" a="1"/>
  <c r="AS57" i="1" a="1"/>
  <c r="AN48" i="1" a="1"/>
  <c r="AM53" i="1" a="1"/>
  <c r="AT68" i="1" a="1"/>
  <c r="AH78" i="1" a="1"/>
  <c r="AM72" i="1" a="1"/>
  <c r="AI74" i="1" a="1"/>
  <c r="AP73" i="1" a="1"/>
  <c r="AR82" i="1" a="1"/>
  <c r="AK72" i="1" a="1"/>
  <c r="AU67" i="1" a="1"/>
  <c r="AR33" i="1" a="1"/>
  <c r="AT42" i="1" a="1"/>
  <c r="AM40" i="1" a="1"/>
  <c r="AH37" i="1" a="1"/>
  <c r="AH43" i="1" a="1"/>
  <c r="AM31" i="1" a="1"/>
  <c r="AL33" i="1" a="1"/>
  <c r="AP8" i="1" a="1"/>
  <c r="AS9" i="1" a="1"/>
  <c r="AU12" i="1" a="1"/>
  <c r="AM16" i="1" a="1"/>
  <c r="AK19" i="1" a="1"/>
  <c r="AQ13" i="1" a="1"/>
  <c r="AJ19" i="1" a="1"/>
  <c r="AK23" i="1" a="1"/>
  <c r="AT17" i="1" a="1"/>
  <c r="AT9" i="1" a="1"/>
  <c r="AL17" i="1" a="1"/>
  <c r="AR13" i="1" a="1"/>
  <c r="AS14" i="1" a="1"/>
  <c r="AJ17" i="1" a="1"/>
  <c r="AK14" i="1" a="1"/>
  <c r="AR19" i="1" a="1"/>
  <c r="AR20" i="1" a="1"/>
  <c r="AQ9" i="1" a="1"/>
  <c r="AQ15" i="1" a="1"/>
  <c r="AP22" i="1" a="1"/>
  <c r="AN19" i="1" a="1"/>
  <c r="AI17" i="1" a="1"/>
  <c r="AT20" i="1" a="1"/>
  <c r="AQ17" i="1" a="1"/>
  <c r="AU21" i="1" a="1"/>
  <c r="AI19" i="1" a="1"/>
  <c r="AO7" i="1" a="1"/>
  <c r="R88" i="1" a="1"/>
  <c r="V90" i="1" a="1"/>
  <c r="Z92" i="1" a="1"/>
  <c r="AD94" i="1" a="1"/>
  <c r="T97" i="1" a="1"/>
  <c r="X99" i="1" a="1"/>
  <c r="AB101" i="1" a="1"/>
  <c r="S88" i="1" a="1"/>
  <c r="T90" i="1" a="1"/>
  <c r="X92" i="1" a="1"/>
  <c r="AB94" i="1" a="1"/>
  <c r="R97" i="1" a="1"/>
  <c r="V99" i="1" a="1"/>
  <c r="Z101" i="1" a="1"/>
  <c r="AD103" i="1" a="1"/>
  <c r="W91" i="1" a="1"/>
  <c r="AE95" i="1" a="1"/>
  <c r="Y100" i="1" a="1"/>
  <c r="U93" i="1" a="1"/>
  <c r="S99" i="1" a="1"/>
  <c r="Y102" i="1" a="1"/>
  <c r="AE97" i="1" a="1"/>
  <c r="U89" i="1" a="1"/>
  <c r="AE94" i="1" a="1"/>
  <c r="S95" i="1" a="1"/>
  <c r="U103" i="1" a="1"/>
  <c r="W97" i="1" a="1"/>
  <c r="S102" i="1" a="1"/>
  <c r="S87" i="1" a="1"/>
  <c r="Z87" i="1" a="1"/>
  <c r="Z68" i="1" a="1"/>
  <c r="AD70" i="1" a="1"/>
  <c r="T73" i="1" a="1"/>
  <c r="X75" i="1" a="1"/>
  <c r="AB77" i="1" a="1"/>
  <c r="R80" i="1" a="1"/>
  <c r="V82" i="1" a="1"/>
  <c r="U69" i="1" a="1"/>
  <c r="Y71" i="1" a="1"/>
  <c r="AC73" i="1" a="1"/>
  <c r="W76" i="1" a="1"/>
  <c r="S80" i="1" a="1"/>
  <c r="S76" i="1" a="1"/>
  <c r="Y81" i="1" a="1"/>
  <c r="S69" i="1" a="1"/>
  <c r="U78" i="1" a="1"/>
  <c r="AC82" i="1" a="1"/>
  <c r="Y74" i="1" a="1"/>
  <c r="Y72" i="1" a="1"/>
  <c r="S75" i="1" a="1"/>
  <c r="U70" i="1" a="1"/>
  <c r="V71" i="1" a="1"/>
  <c r="V69" i="1" a="1"/>
  <c r="W69" i="1" a="1"/>
  <c r="X78" i="1" a="1"/>
  <c r="AA83" i="1" a="1"/>
  <c r="Y82" i="1" a="1"/>
  <c r="W73" i="1" a="1"/>
  <c r="X67" i="1" a="1"/>
  <c r="W67" i="1" a="1"/>
  <c r="AD48" i="1" a="1"/>
  <c r="T51" i="1" a="1"/>
  <c r="X53" i="1" a="1"/>
  <c r="AB55" i="1" a="1"/>
  <c r="R58" i="1" a="1"/>
  <c r="V60" i="1" a="1"/>
  <c r="Z62" i="1" a="1"/>
  <c r="AB48" i="1" a="1"/>
  <c r="R51" i="1" a="1"/>
  <c r="V53" i="1" a="1"/>
  <c r="Z55" i="1" a="1"/>
  <c r="AR97" i="1" a="1"/>
  <c r="AU94" i="1" a="1"/>
  <c r="AN101" i="1" a="1"/>
  <c r="AP89" i="1" a="1"/>
  <c r="AT103" i="1" a="1"/>
  <c r="AS90" i="1" a="1"/>
  <c r="AQ87" i="1" a="1"/>
  <c r="AR53" i="1" a="1"/>
  <c r="AT62" i="1" a="1"/>
  <c r="AM55" i="1" a="1"/>
  <c r="AT57" i="1" a="1"/>
  <c r="AI62" i="1" a="1"/>
  <c r="AP49" i="1" a="1"/>
  <c r="AK62" i="1" a="1"/>
  <c r="AH70" i="1" a="1"/>
  <c r="AJ79" i="1" a="1"/>
  <c r="AU74" i="1" a="1"/>
  <c r="AI76" i="1" a="1"/>
  <c r="AR74" i="1" a="1"/>
  <c r="AT83" i="1" a="1"/>
  <c r="AM73" i="1" a="1"/>
  <c r="AJ67" i="1" a="1"/>
  <c r="AT34" i="1" a="1"/>
  <c r="AM28" i="1" a="1"/>
  <c r="AU42" i="1" a="1"/>
  <c r="AP41" i="1" a="1"/>
  <c r="AH35" i="1" a="1"/>
  <c r="AQ33" i="1" a="1"/>
  <c r="AN36" i="1" a="1"/>
  <c r="AR9" i="1" a="1"/>
  <c r="AI10" i="1" a="1"/>
  <c r="AK13" i="1" a="1"/>
  <c r="AQ16" i="1" a="1"/>
  <c r="AO19" i="1" a="1"/>
  <c r="AJ14" i="1" a="1"/>
  <c r="AO20" i="1" a="1"/>
  <c r="AP23" i="1" a="1"/>
  <c r="AT98" i="1" a="1"/>
  <c r="AI96" i="1" a="1"/>
  <c r="AR103" i="1" a="1"/>
  <c r="AQ103" i="1" a="1"/>
  <c r="AK92" i="1" a="1"/>
  <c r="AR88" i="1" a="1"/>
  <c r="AK87" i="1" a="1"/>
  <c r="AT54" i="1" a="1"/>
  <c r="AU52" i="1" a="1"/>
  <c r="AM61" i="1" a="1"/>
  <c r="AJ62" i="1" a="1"/>
  <c r="AL59" i="1" a="1"/>
  <c r="AR50" i="1" a="1"/>
  <c r="AQ51" i="1" a="1"/>
  <c r="AJ71" i="1" a="1"/>
  <c r="AL80" i="1" a="1"/>
  <c r="AS77" i="1" a="1"/>
  <c r="AK79" i="1" a="1"/>
  <c r="AT75" i="1" a="1"/>
  <c r="AU77" i="1" a="1"/>
  <c r="AS74" i="1" a="1"/>
  <c r="AS67" i="1" a="1"/>
  <c r="AH36" i="1" a="1"/>
  <c r="AS29" i="1" a="1"/>
  <c r="AI34" i="1" a="1"/>
  <c r="AH29" i="1" a="1"/>
  <c r="AI37" i="1" a="1"/>
  <c r="AR36" i="1" a="1"/>
  <c r="AS28" i="1" a="1"/>
  <c r="AH10" i="1" a="1"/>
  <c r="AQ10" i="1" a="1"/>
  <c r="AI14" i="1" a="1"/>
  <c r="AU16" i="1" a="1"/>
  <c r="AS19" i="1" a="1"/>
  <c r="AP14" i="1" a="1"/>
  <c r="AU20" i="1" a="1"/>
  <c r="AU23" i="1" a="1"/>
  <c r="AI88" i="1" a="1"/>
  <c r="AK97" i="1" a="1"/>
  <c r="AR90" i="1" a="1"/>
  <c r="AP91" i="1" a="1"/>
  <c r="AI89" i="1" a="1"/>
  <c r="AL93" i="1" a="1"/>
  <c r="AP87" i="1" a="1"/>
  <c r="AH56" i="1" a="1"/>
  <c r="AM56" i="1" a="1"/>
  <c r="AM50" i="1" a="1"/>
  <c r="AK52" i="1" a="1"/>
  <c r="AU51" i="1" a="1"/>
  <c r="AT51" i="1" a="1"/>
  <c r="AS60" i="1" a="1"/>
  <c r="AL72" i="1" a="1"/>
  <c r="AN81" i="1" a="1"/>
  <c r="AK81" i="1" a="1"/>
  <c r="AK83" i="1" a="1"/>
  <c r="AH77" i="1" a="1"/>
  <c r="AS80" i="1" a="1"/>
  <c r="AU75" i="1" a="1"/>
  <c r="AH28" i="1" a="1"/>
  <c r="AJ37" i="1" a="1"/>
  <c r="AU30" i="1" a="1"/>
  <c r="AQ36" i="1" a="1"/>
  <c r="AL31" i="1" a="1"/>
  <c r="AQ41" i="1" a="1"/>
  <c r="AQ37" i="1" a="1"/>
  <c r="AI27" i="1" a="1"/>
  <c r="AT10" i="1" a="1"/>
  <c r="AU10" i="1" a="1"/>
  <c r="AM14" i="1" a="1"/>
  <c r="AK17" i="1" a="1"/>
  <c r="AI20" i="1" a="1"/>
  <c r="AU15" i="1" a="1"/>
  <c r="AL21" i="1" a="1"/>
  <c r="AP9" i="1" a="1"/>
  <c r="AT22" i="1" a="1"/>
  <c r="AK16" i="1" a="1"/>
  <c r="AH9" i="1" a="1"/>
  <c r="AL18" i="1" a="1"/>
  <c r="AO21" i="1" a="1"/>
  <c r="AR17" i="1" a="1"/>
  <c r="AO16" i="1" a="1"/>
  <c r="AM21" i="1" a="1"/>
  <c r="AM9" i="1" a="1"/>
  <c r="AM11" i="1" a="1"/>
  <c r="AU17" i="1" a="1"/>
  <c r="AL20" i="1" a="1"/>
  <c r="AK12" i="1" a="1"/>
  <c r="AH11" i="1" a="1"/>
  <c r="AP13" i="1" a="1"/>
  <c r="AU19" i="1" a="1"/>
  <c r="AI23" i="1" a="1"/>
  <c r="AM7" i="1" a="1"/>
  <c r="AJ7" i="1" a="1"/>
  <c r="AD88" i="1" a="1"/>
  <c r="T91" i="1" a="1"/>
  <c r="X93" i="1" a="1"/>
  <c r="AB95" i="1" a="1"/>
  <c r="R98" i="1" a="1"/>
  <c r="V100" i="1" a="1"/>
  <c r="Z102" i="1" a="1"/>
  <c r="AB88" i="1" a="1"/>
  <c r="R91" i="1" a="1"/>
  <c r="V93" i="1" a="1"/>
  <c r="Z95" i="1" a="1"/>
  <c r="AD97" i="1" a="1"/>
  <c r="T100" i="1" a="1"/>
  <c r="X102" i="1" a="1"/>
  <c r="AC88" i="1" a="1"/>
  <c r="S93" i="1" a="1"/>
  <c r="AA97" i="1" a="1"/>
  <c r="S103" i="1" a="1"/>
  <c r="AC97" i="1" a="1"/>
  <c r="AA90" i="1" a="1"/>
  <c r="AA103" i="1" a="1"/>
  <c r="AE92" i="1" a="1"/>
  <c r="AE90" i="1" a="1"/>
  <c r="U97" i="1" a="1"/>
  <c r="Y89" i="1" a="1"/>
  <c r="AE89" i="1" a="1"/>
  <c r="W103" i="1" a="1"/>
  <c r="U95" i="1" a="1"/>
  <c r="AB87" i="1" a="1"/>
  <c r="AA87" i="1" a="1"/>
  <c r="X69" i="1" a="1"/>
  <c r="AB71" i="1" a="1"/>
  <c r="R74" i="1" a="1"/>
  <c r="V76" i="1" a="1"/>
  <c r="Z78" i="1" a="1"/>
  <c r="AD80" i="1" a="1"/>
  <c r="T83" i="1" a="1"/>
  <c r="S70" i="1" a="1"/>
  <c r="W72" i="1" a="1"/>
  <c r="AA74" i="1" a="1"/>
  <c r="Y77" i="1" a="1"/>
  <c r="AC81" i="1" a="1"/>
  <c r="W78" i="1" a="1"/>
  <c r="U83" i="1" a="1"/>
  <c r="T72" i="1" a="1"/>
  <c r="AE79" i="1" a="1"/>
  <c r="AJ20" i="1" a="1"/>
  <c r="AP17" i="1" a="1"/>
  <c r="AK22" i="1" a="1"/>
  <c r="AL22" i="1" a="1"/>
  <c r="AM22" i="1" a="1"/>
  <c r="Z90" i="1" a="1"/>
  <c r="AB99" i="1" a="1"/>
  <c r="AB92" i="1" a="1"/>
  <c r="AD101" i="1" a="1"/>
  <c r="S101" i="1" a="1"/>
  <c r="W101" i="1" a="1"/>
  <c r="AA88" i="1" a="1"/>
  <c r="AD87" i="1" a="1"/>
  <c r="AB75" i="1" a="1"/>
  <c r="Y69" i="1" a="1"/>
  <c r="AA80" i="1" a="1"/>
  <c r="AC78" i="1" a="1"/>
  <c r="AC74" i="1" a="1"/>
  <c r="Y78" i="1" a="1"/>
  <c r="AA71" i="1" a="1"/>
  <c r="AE71" i="1" a="1"/>
  <c r="Y67" i="1" a="1"/>
  <c r="AB51" i="1" a="1"/>
  <c r="V58" i="1" a="1"/>
  <c r="X63" i="1" a="1"/>
  <c r="AD53" i="1" a="1"/>
  <c r="T58" i="1" a="1"/>
  <c r="R61" i="1" a="1"/>
  <c r="AC48" i="1" a="1"/>
  <c r="AA55" i="1" a="1"/>
  <c r="AE58" i="1" a="1"/>
  <c r="W52" i="1" a="1"/>
  <c r="AA57" i="1" a="1"/>
  <c r="U50" i="1" a="1"/>
  <c r="AE60" i="1" a="1"/>
  <c r="AE56" i="1" a="1"/>
  <c r="Y59" i="1" a="1"/>
  <c r="W50" i="1" a="1"/>
  <c r="AA60" i="1" a="1"/>
  <c r="AB47" i="1" a="1"/>
  <c r="T29" i="1" a="1"/>
  <c r="R32" i="1" a="1"/>
  <c r="AD34" i="1" a="1"/>
  <c r="V38" i="1" a="1"/>
  <c r="T41" i="1" a="1"/>
  <c r="U35" i="1" a="1"/>
  <c r="AA42" i="1" a="1"/>
  <c r="S30" i="1" a="1"/>
  <c r="AE32" i="1" a="1"/>
  <c r="AC37" i="1" a="1"/>
  <c r="Y43" i="1" a="1"/>
  <c r="V35" i="1" a="1"/>
  <c r="AE33" i="1" a="1"/>
  <c r="AA43" i="1" a="1"/>
  <c r="T34" i="1" a="1"/>
  <c r="R29" i="1" a="1"/>
  <c r="AB42" i="1" a="1"/>
  <c r="Y36" i="1" a="1"/>
  <c r="Y34" i="1" a="1"/>
  <c r="X36" i="1" a="1"/>
  <c r="AC38" i="1" a="1"/>
  <c r="AD31" i="1" a="1"/>
  <c r="AE41" i="1" a="1"/>
  <c r="S27" i="1" a="1"/>
  <c r="V27" i="1" a="1"/>
  <c r="Z8" i="1" a="1"/>
  <c r="AD10" i="1" a="1"/>
  <c r="T13" i="1" a="1"/>
  <c r="X15" i="1" a="1"/>
  <c r="AB17" i="1" a="1"/>
  <c r="R20" i="1" a="1"/>
  <c r="V22" i="1" a="1"/>
  <c r="Y9" i="1" a="1"/>
  <c r="AC13" i="1" a="1"/>
  <c r="W18" i="1" a="1"/>
  <c r="AA22" i="1" a="1"/>
  <c r="AC11" i="1" a="1"/>
  <c r="W16" i="1" a="1"/>
  <c r="AE20" i="1" a="1"/>
  <c r="X8" i="1" a="1"/>
  <c r="R13" i="1" a="1"/>
  <c r="V19" i="1" a="1"/>
  <c r="Y22" i="1" a="1"/>
  <c r="V23" i="1" a="1"/>
  <c r="AC16" i="1" a="1"/>
  <c r="AE11" i="1" a="1"/>
  <c r="Z17" i="1" a="1"/>
  <c r="S17" i="1" a="1"/>
  <c r="AB8" i="1" a="1"/>
  <c r="V13" i="1" a="1"/>
  <c r="AD17" i="1" a="1"/>
  <c r="AA11" i="1" a="1"/>
  <c r="U16" i="1" a="1"/>
  <c r="AA7" i="1" a="1"/>
  <c r="AD7" i="1" a="1"/>
  <c r="D89" i="1" a="1"/>
  <c r="H91" i="1" a="1"/>
  <c r="L93" i="1" a="1"/>
  <c r="E89" i="1" a="1"/>
  <c r="I91" i="1" a="1"/>
  <c r="M93" i="1" a="1"/>
  <c r="C96" i="1" a="1"/>
  <c r="G98" i="1" a="1"/>
  <c r="C88" i="1" a="1"/>
  <c r="D90" i="1" a="1"/>
  <c r="H92" i="1" a="1"/>
  <c r="L94" i="1" a="1"/>
  <c r="B97" i="1" a="1"/>
  <c r="F99" i="1" a="1"/>
  <c r="C91" i="1" a="1"/>
  <c r="N96" i="1" a="1"/>
  <c r="D103" i="1" a="1"/>
  <c r="C97" i="1" a="1"/>
  <c r="B98" i="1" a="1"/>
  <c r="M98" i="1" a="1"/>
  <c r="D95" i="1" a="1"/>
  <c r="F102" i="1" a="1"/>
  <c r="B103" i="1" a="1"/>
  <c r="M94" i="1" a="1"/>
  <c r="O91" i="1" a="1"/>
  <c r="H99" i="1" a="1"/>
  <c r="B100" i="1" a="1"/>
  <c r="D97" i="1" a="1"/>
  <c r="D87" i="1" a="1"/>
  <c r="M87" i="1" a="1"/>
  <c r="L69" i="1" a="1"/>
  <c r="B72" i="1" a="1"/>
  <c r="F74" i="1" a="1"/>
  <c r="J76" i="1" a="1"/>
  <c r="N78" i="1" a="1"/>
  <c r="D81" i="1" a="1"/>
  <c r="H83" i="1" a="1"/>
  <c r="C70" i="1" a="1"/>
  <c r="G72" i="1" a="1"/>
  <c r="K74" i="1" a="1"/>
  <c r="O76" i="1" a="1"/>
  <c r="E79" i="1" a="1"/>
  <c r="I81" i="1" a="1"/>
  <c r="M81" i="1" a="1"/>
  <c r="N69" i="1" a="1"/>
  <c r="D72" i="1" a="1"/>
  <c r="E68" i="1" a="1"/>
  <c r="M70" i="1" a="1"/>
  <c r="N75" i="1" a="1"/>
  <c r="G75" i="1" a="1"/>
  <c r="E74" i="1" a="1"/>
  <c r="F75" i="1" a="1"/>
  <c r="E82" i="1" a="1"/>
  <c r="J75" i="1" a="1"/>
  <c r="O73" i="1" a="1"/>
  <c r="I82" i="1" a="1"/>
  <c r="N81" i="1" a="1"/>
  <c r="O81" i="1" a="1"/>
  <c r="J67" i="1" a="1"/>
  <c r="F48" i="1" a="1"/>
  <c r="J50" i="1" a="1"/>
  <c r="N52" i="1" a="1"/>
  <c r="D55" i="1" a="1"/>
  <c r="H57" i="1" a="1"/>
  <c r="L59" i="1" a="1"/>
  <c r="B62" i="1" a="1"/>
  <c r="C50" i="1" a="1"/>
  <c r="K54" i="1" a="1"/>
  <c r="I59" i="1" a="1"/>
  <c r="M63" i="1" a="1"/>
  <c r="I51" i="1" a="1"/>
  <c r="C56" i="1" a="1"/>
  <c r="G60" i="1" a="1"/>
  <c r="E48" i="1" a="1"/>
  <c r="I50" i="1" a="1"/>
  <c r="H50" i="1" a="1"/>
  <c r="J55" i="1" a="1"/>
  <c r="D60" i="1" a="1"/>
  <c r="I52" i="1" a="1"/>
  <c r="E60" i="1" a="1"/>
  <c r="D62" i="1" a="1"/>
  <c r="L62" i="1" a="1"/>
  <c r="M60" i="1" a="1"/>
  <c r="F53" i="1" a="1"/>
  <c r="J49" i="1" a="1"/>
  <c r="O51" i="1" a="1"/>
  <c r="B57" i="1" a="1"/>
  <c r="G47" i="1" a="1"/>
  <c r="F47" i="1" a="1"/>
  <c r="N28" i="1" a="1"/>
  <c r="D31" i="1" a="1"/>
  <c r="H33" i="1" a="1"/>
  <c r="L35" i="1" a="1"/>
  <c r="K28" i="1" a="1"/>
  <c r="O30" i="1" a="1"/>
  <c r="I33" i="1" a="1"/>
  <c r="M35" i="1" a="1"/>
  <c r="I39" i="1" a="1"/>
  <c r="M31" i="1" a="1"/>
  <c r="D39" i="1" a="1"/>
  <c r="H41" i="1" a="1"/>
  <c r="L43" i="1" a="1"/>
  <c r="O40" i="1" a="1"/>
  <c r="C29" i="1" a="1"/>
  <c r="AP20" i="1" a="1"/>
  <c r="AM19" i="1" a="1"/>
  <c r="AP12" i="1" a="1"/>
  <c r="AU9" i="1" a="1"/>
  <c r="AR22" i="1" a="1"/>
  <c r="AD90" i="1" a="1"/>
  <c r="R100" i="1" a="1"/>
  <c r="R93" i="1" a="1"/>
  <c r="T102" i="1" a="1"/>
  <c r="AA101" i="1" a="1"/>
  <c r="AC91" i="1" a="1"/>
  <c r="W89" i="1" a="1"/>
  <c r="W87" i="1" a="1"/>
  <c r="R76" i="1" a="1"/>
  <c r="AC69" i="1" a="1"/>
  <c r="U81" i="1" a="1"/>
  <c r="W79" i="1" a="1"/>
  <c r="AD77" i="1" a="1"/>
  <c r="Z73" i="1" a="1"/>
  <c r="X72" i="1" a="1"/>
  <c r="U74" i="1" a="1"/>
  <c r="AA67" i="1" a="1"/>
  <c r="R52" i="1" a="1"/>
  <c r="Z58" i="1" a="1"/>
  <c r="R49" i="1" a="1"/>
  <c r="T54" i="1" a="1"/>
  <c r="X58" i="1" a="1"/>
  <c r="AD61" i="1" a="1"/>
  <c r="W49" i="1" a="1"/>
  <c r="Y57" i="1" a="1"/>
  <c r="AA61" i="1" a="1"/>
  <c r="AE52" i="1" a="1"/>
  <c r="AC61" i="1" a="1"/>
  <c r="AE51" i="1" a="1"/>
  <c r="W61" i="1" a="1"/>
  <c r="AA59" i="1" a="1"/>
  <c r="Y55" i="1" a="1"/>
  <c r="Y51" i="1" a="1"/>
  <c r="W62" i="1" a="1"/>
  <c r="Z47" i="1" a="1"/>
  <c r="X29" i="1" a="1"/>
  <c r="V32" i="1" a="1"/>
  <c r="AB35" i="1" a="1"/>
  <c r="Z38" i="1" a="1"/>
  <c r="X41" i="1" a="1"/>
  <c r="Y37" i="1" a="1"/>
  <c r="U43" i="1" a="1"/>
  <c r="W30" i="1" a="1"/>
  <c r="S34" i="1" a="1"/>
  <c r="W38" i="1" a="1"/>
  <c r="Y33" i="1" a="1"/>
  <c r="W39" i="1" a="1"/>
  <c r="X34" i="1" a="1"/>
  <c r="AE35" i="1" a="1"/>
  <c r="AE31" i="1" a="1"/>
  <c r="AC30" i="1" a="1"/>
  <c r="R41" i="1" a="1"/>
  <c r="V39" i="1" a="1"/>
  <c r="R35" i="1" a="1"/>
  <c r="AB38" i="1" a="1"/>
  <c r="AD43" i="1" a="1"/>
  <c r="AA33" i="1" a="1"/>
  <c r="R37" i="1" a="1"/>
  <c r="W27" i="1" a="1"/>
  <c r="Z27" i="1" a="1"/>
  <c r="AD8" i="1" a="1"/>
  <c r="T11" i="1" a="1"/>
  <c r="X13" i="1" a="1"/>
  <c r="AB15" i="1" a="1"/>
  <c r="R18" i="1" a="1"/>
  <c r="V20" i="1" a="1"/>
  <c r="Z22" i="1" a="1"/>
  <c r="S10" i="1" a="1"/>
  <c r="W14" i="1" a="1"/>
  <c r="AE18" i="1" a="1"/>
  <c r="U23" i="1" a="1"/>
  <c r="W12" i="1" a="1"/>
  <c r="AE16" i="1" a="1"/>
  <c r="AC21" i="1" a="1"/>
  <c r="R9" i="1" a="1"/>
  <c r="Z13" i="1" a="1"/>
  <c r="S21" i="1" a="1"/>
  <c r="Y16" i="1" a="1"/>
  <c r="AA19" i="1" a="1"/>
  <c r="AE21" i="1" a="1"/>
  <c r="Y12" i="1" a="1"/>
  <c r="W19" i="1" a="1"/>
  <c r="Y18" i="1" a="1"/>
  <c r="V9" i="1" a="1"/>
  <c r="AD13" i="1" a="1"/>
  <c r="AB16" i="1" a="1"/>
  <c r="U12" i="1" a="1"/>
  <c r="U18" i="1" a="1"/>
  <c r="AE7" i="1" a="1"/>
  <c r="T7" i="1" a="1"/>
  <c r="H89" i="1" a="1"/>
  <c r="L91" i="1" a="1"/>
  <c r="B94" i="1" a="1"/>
  <c r="I89" i="1" a="1"/>
  <c r="M91" i="1" a="1"/>
  <c r="C94" i="1" a="1"/>
  <c r="G96" i="1" a="1"/>
  <c r="K98" i="1" a="1"/>
  <c r="D88" i="1" a="1"/>
  <c r="H90" i="1" a="1"/>
  <c r="L92" i="1" a="1"/>
  <c r="B95" i="1" a="1"/>
  <c r="F97" i="1" a="1"/>
  <c r="J99" i="1" a="1"/>
  <c r="K91" i="1" a="1"/>
  <c r="G97" i="1" a="1"/>
  <c r="I103" i="1" a="1"/>
  <c r="G99" i="1" a="1"/>
  <c r="G102" i="1" a="1"/>
  <c r="J100" i="1" a="1"/>
  <c r="O97" i="1" a="1"/>
  <c r="F103" i="1" a="1"/>
  <c r="K103" i="1" a="1"/>
  <c r="L100" i="1" a="1"/>
  <c r="E96" i="1" a="1"/>
  <c r="K89" i="1" a="1"/>
  <c r="I100" i="1" a="1"/>
  <c r="L102" i="1" a="1"/>
  <c r="L87" i="1" a="1"/>
  <c r="B87" i="1" a="1"/>
  <c r="B70" i="1" a="1"/>
  <c r="F72" i="1" a="1"/>
  <c r="J74" i="1" a="1"/>
  <c r="N76" i="1" a="1"/>
  <c r="D79" i="1" a="1"/>
  <c r="H81" i="1" a="1"/>
  <c r="L83" i="1" a="1"/>
  <c r="G70" i="1" a="1"/>
  <c r="K72" i="1" a="1"/>
  <c r="O74" i="1" a="1"/>
  <c r="E77" i="1" a="1"/>
  <c r="I79" i="1" a="1"/>
  <c r="C82" i="1" a="1"/>
  <c r="C68" i="1" a="1"/>
  <c r="D70" i="1" a="1"/>
  <c r="H72" i="1" a="1"/>
  <c r="M68" i="1" a="1"/>
  <c r="C71" i="1" a="1"/>
  <c r="J77" i="1" a="1"/>
  <c r="I76" i="1" a="1"/>
  <c r="O75" i="1" a="1"/>
  <c r="B77" i="1" a="1"/>
  <c r="M74" i="1" a="1"/>
  <c r="L76" i="1" a="1"/>
  <c r="I74" i="1" a="1"/>
  <c r="K83" i="1" a="1"/>
  <c r="B83" i="1" a="1"/>
  <c r="C83" i="1" a="1"/>
  <c r="G67" i="1" a="1"/>
  <c r="J48" i="1" a="1"/>
  <c r="N50" i="1" a="1"/>
  <c r="D53" i="1" a="1"/>
  <c r="H55" i="1" a="1"/>
  <c r="L57" i="1" a="1"/>
  <c r="B60" i="1" a="1"/>
  <c r="F62" i="1" a="1"/>
  <c r="K50" i="1" a="1"/>
  <c r="E55" i="1" a="1"/>
  <c r="C60" i="1" a="1"/>
  <c r="G48" i="1" a="1"/>
  <c r="C52" i="1" a="1"/>
  <c r="K56" i="1" a="1"/>
  <c r="E61" i="1" a="1"/>
  <c r="I48" i="1" a="1"/>
  <c r="M50" i="1" a="1"/>
  <c r="J51" i="1" a="1"/>
  <c r="D56" i="1" a="1"/>
  <c r="L60" i="1" a="1"/>
  <c r="O53" i="1" a="1"/>
  <c r="O61" i="1" a="1"/>
  <c r="F51" i="1" a="1"/>
  <c r="D52" i="1" a="1"/>
  <c r="I62" i="1" a="1"/>
  <c r="K55" i="1" a="1"/>
  <c r="N51" i="1" a="1"/>
  <c r="L52" i="1" a="1"/>
  <c r="H60" i="1" a="1"/>
  <c r="K47" i="1" a="1"/>
  <c r="J47" i="1" a="1"/>
  <c r="D29" i="1" a="1"/>
  <c r="H31" i="1" a="1"/>
  <c r="L33" i="1" a="1"/>
  <c r="B36" i="1" a="1"/>
  <c r="O28" i="1" a="1"/>
  <c r="E31" i="1" a="1"/>
  <c r="M33" i="1" a="1"/>
  <c r="C36" i="1" a="1"/>
  <c r="C40" i="1" a="1"/>
  <c r="D28" i="1" a="1"/>
  <c r="H39" i="1" a="1"/>
  <c r="L41" i="1" a="1"/>
  <c r="K36" i="1" a="1"/>
  <c r="I41" i="1" a="1"/>
  <c r="K29" i="1" a="1"/>
  <c r="AJ12" i="1" a="1"/>
  <c r="AH19" i="1" a="1"/>
  <c r="AK10" i="1" a="1"/>
  <c r="AT19" i="1" a="1"/>
  <c r="AJ23" i="1" a="1"/>
  <c r="AD92" i="1" a="1"/>
  <c r="R102" i="1" a="1"/>
  <c r="R95" i="1" a="1"/>
  <c r="Y88" i="1" a="1"/>
  <c r="W94" i="1" a="1"/>
  <c r="AC89" i="1" a="1"/>
  <c r="AA99" i="1" a="1"/>
  <c r="AD68" i="1" a="1"/>
  <c r="R78" i="1" a="1"/>
  <c r="AC71" i="1" a="1"/>
  <c r="U77" i="1" a="1"/>
  <c r="W83" i="1" a="1"/>
  <c r="AA79" i="1" a="1"/>
  <c r="AD75" i="1" a="1"/>
  <c r="R79" i="1" a="1"/>
  <c r="R69" i="1" a="1"/>
  <c r="AE67" i="1" a="1"/>
  <c r="AB53" i="1" a="1"/>
  <c r="AD58" i="1" a="1"/>
  <c r="V49" i="1" a="1"/>
  <c r="AD55" i="1" a="1"/>
  <c r="AB58" i="1" a="1"/>
  <c r="T62" i="1" a="1"/>
  <c r="AE49" i="1" a="1"/>
  <c r="AE57" i="1" a="1"/>
  <c r="S62" i="1" a="1"/>
  <c r="Y53" i="1" a="1"/>
  <c r="W54" i="1" a="1"/>
  <c r="Y52" i="1" a="1"/>
  <c r="U62" i="1" a="1"/>
  <c r="Y61" i="1" a="1"/>
  <c r="AE55" i="1" a="1"/>
  <c r="AA52" i="1" a="1"/>
  <c r="W55" i="1" a="1"/>
  <c r="V47" i="1" a="1"/>
  <c r="AB29" i="1" a="1"/>
  <c r="Z32" i="1" a="1"/>
  <c r="R36" i="1" a="1"/>
  <c r="AD38" i="1" a="1"/>
  <c r="AB41" i="1" a="1"/>
  <c r="S38" i="1" a="1"/>
  <c r="AC43" i="1" a="1"/>
  <c r="AA30" i="1" a="1"/>
  <c r="W34" i="1" a="1"/>
  <c r="AE38" i="1" a="1"/>
  <c r="T28" i="1" a="1"/>
  <c r="AD39" i="1" a="1"/>
  <c r="U36" i="1" a="1"/>
  <c r="V43" i="1" a="1"/>
  <c r="AB34" i="1" a="1"/>
  <c r="V31" i="1" a="1"/>
  <c r="Y30" i="1" a="1"/>
  <c r="S31" i="1" a="1"/>
  <c r="AC36" i="1" a="1"/>
  <c r="R31" i="1" a="1"/>
  <c r="AA35" i="1" a="1"/>
  <c r="U38" i="1" a="1"/>
  <c r="Z41" i="1" a="1"/>
  <c r="AA27" i="1" a="1"/>
  <c r="AD27" i="1" a="1"/>
  <c r="T9" i="1" a="1"/>
  <c r="X11" i="1" a="1"/>
  <c r="AB13" i="1" a="1"/>
  <c r="R16" i="1" a="1"/>
  <c r="V18" i="1" a="1"/>
  <c r="Z20" i="1" a="1"/>
  <c r="AD22" i="1" a="1"/>
  <c r="W10" i="1" a="1"/>
  <c r="AE14" i="1" a="1"/>
  <c r="Y19" i="1" a="1"/>
  <c r="AC23" i="1" a="1"/>
  <c r="AE12" i="1" a="1"/>
  <c r="Y17" i="1" a="1"/>
  <c r="W22" i="1" a="1"/>
  <c r="Z9" i="1" a="1"/>
  <c r="T14" i="1" a="1"/>
  <c r="Z21" i="1" a="1"/>
  <c r="AA21" i="1" a="1"/>
  <c r="AE17" i="1" a="1"/>
  <c r="Y8" i="1" a="1"/>
  <c r="S13" i="1" a="1"/>
  <c r="AD19" i="1" a="1"/>
  <c r="R19" i="1" a="1"/>
  <c r="AD9" i="1" a="1"/>
  <c r="X14" i="1" a="1"/>
  <c r="X22" i="1" a="1"/>
  <c r="AC12" i="1" a="1"/>
  <c r="AB18" i="1" a="1"/>
  <c r="AB7" i="1" a="1"/>
  <c r="U7" i="1" a="1"/>
  <c r="L89" i="1" a="1"/>
  <c r="B92" i="1" a="1"/>
  <c r="F94" i="1" a="1"/>
  <c r="M89" i="1" a="1"/>
  <c r="C92" i="1" a="1"/>
  <c r="G94" i="1" a="1"/>
  <c r="K96" i="1" a="1"/>
  <c r="O98" i="1" a="1"/>
  <c r="H88" i="1" a="1"/>
  <c r="L90" i="1" a="1"/>
  <c r="B93" i="1" a="1"/>
  <c r="F95" i="1" a="1"/>
  <c r="J97" i="1" a="1"/>
  <c r="N99" i="1" a="1"/>
  <c r="E92" i="1" a="1"/>
  <c r="D99" i="1" a="1"/>
  <c r="K95" i="1" a="1"/>
  <c r="K101" i="1" a="1"/>
  <c r="G103" i="1" a="1"/>
  <c r="O100" i="1" a="1"/>
  <c r="L99" i="1" a="1"/>
  <c r="M90" i="1" a="1"/>
  <c r="G95" i="1" a="1"/>
  <c r="O99" i="1" a="1"/>
  <c r="B102" i="1" a="1"/>
  <c r="F96" i="1" a="1"/>
  <c r="D101" i="1" a="1"/>
  <c r="H101" i="1" a="1"/>
  <c r="E87" i="1" a="1"/>
  <c r="B68" i="1" a="1"/>
  <c r="F70" i="1" a="1"/>
  <c r="J72" i="1" a="1"/>
  <c r="N74" i="1" a="1"/>
  <c r="AN14" i="1" a="1"/>
  <c r="AI11" i="1" a="1"/>
  <c r="AS10" i="1" a="1"/>
  <c r="AQ22" i="1" a="1"/>
  <c r="AI7" i="1" a="1"/>
  <c r="T93" i="1" a="1"/>
  <c r="V102" i="1" a="1"/>
  <c r="V95" i="1" a="1"/>
  <c r="U88" i="1" a="1"/>
  <c r="S96" i="1" a="1"/>
  <c r="W90" i="1" a="1"/>
  <c r="AC100" i="1" a="1"/>
  <c r="T69" i="1" a="1"/>
  <c r="V78" i="1" a="1"/>
  <c r="S72" i="1" a="1"/>
  <c r="AC77" i="1" a="1"/>
  <c r="AE83" i="1" a="1"/>
  <c r="T78" i="1" a="1"/>
  <c r="W77" i="1" a="1"/>
  <c r="T80" i="1" a="1"/>
  <c r="T74" i="1" a="1"/>
  <c r="R67" i="1" a="1"/>
  <c r="R54" i="1" a="1"/>
  <c r="Z60" i="1" a="1"/>
  <c r="Z49" i="1" a="1"/>
  <c r="T56" i="1" a="1"/>
  <c r="Z59" i="1" a="1"/>
  <c r="X62" i="1" a="1"/>
  <c r="Y50" i="1" a="1"/>
  <c r="AC62" i="1" a="1"/>
  <c r="U63" i="1" a="1"/>
  <c r="AE53" i="1" a="1"/>
  <c r="AC60" i="1" a="1"/>
  <c r="S53" i="1" a="1"/>
  <c r="W63" i="1" a="1"/>
  <c r="S56" i="1" a="1"/>
  <c r="AC57" i="1" a="1"/>
  <c r="AA54" i="1" a="1"/>
  <c r="W47" i="1" a="1"/>
  <c r="U47" i="1" a="1"/>
  <c r="R30" i="1" a="1"/>
  <c r="X33" i="1" a="1"/>
  <c r="V36" i="1" a="1"/>
  <c r="T39" i="1" a="1"/>
  <c r="Z42" i="1" a="1"/>
  <c r="AA38" i="1" a="1"/>
  <c r="S28" i="1" a="1"/>
  <c r="Y31" i="1" a="1"/>
  <c r="AA34" i="1" a="1"/>
  <c r="Y39" i="1" a="1"/>
  <c r="U30" i="1" a="1"/>
  <c r="AA41" i="1" a="1"/>
  <c r="Y38" i="1" a="1"/>
  <c r="R43" i="1" a="1"/>
  <c r="S41" i="1" a="1"/>
  <c r="S33" i="1" a="1"/>
  <c r="V33" i="1" a="1"/>
  <c r="AB40" i="1" a="1"/>
  <c r="V37" i="1" a="1"/>
  <c r="S35" i="1" a="1"/>
  <c r="X38" i="1" a="1"/>
  <c r="Y40" i="1" a="1"/>
  <c r="W33" i="1" a="1"/>
  <c r="AE27" i="1" a="1"/>
  <c r="T27" i="1" a="1"/>
  <c r="X9" i="1" a="1"/>
  <c r="AB11" i="1" a="1"/>
  <c r="R14" i="1" a="1"/>
  <c r="V16" i="1" a="1"/>
  <c r="Z18" i="1" a="1"/>
  <c r="AD20" i="1" a="1"/>
  <c r="T23" i="1" a="1"/>
  <c r="AE10" i="1" a="1"/>
  <c r="Y15" i="1" a="1"/>
  <c r="S20" i="1" a="1"/>
  <c r="W8" i="1" a="1"/>
  <c r="Y13" i="1" a="1"/>
  <c r="S18" i="1" a="1"/>
  <c r="AE22" i="1" a="1"/>
  <c r="T10" i="1" a="1"/>
  <c r="AB14" i="1" a="1"/>
  <c r="W23" i="1" a="1"/>
  <c r="AE23" i="1" a="1"/>
  <c r="AB20" i="1" a="1"/>
  <c r="S9" i="1" a="1"/>
  <c r="AA13" i="1" a="1"/>
  <c r="T22" i="1" a="1"/>
  <c r="AC20" i="1" a="1"/>
  <c r="X10" i="1" a="1"/>
  <c r="R15" i="1" a="1"/>
  <c r="AC8" i="1" a="1"/>
  <c r="W13" i="1" a="1"/>
  <c r="R21" i="1" a="1"/>
  <c r="Y7" i="1" a="1"/>
  <c r="R7" i="1" a="1"/>
  <c r="B90" i="1" a="1"/>
  <c r="F92" i="1" a="1"/>
  <c r="J94" i="1" a="1"/>
  <c r="C90" i="1" a="1"/>
  <c r="G92" i="1" a="1"/>
  <c r="K94" i="1" a="1"/>
  <c r="O96" i="1" a="1"/>
  <c r="E99" i="1" a="1"/>
  <c r="L88" i="1" a="1"/>
  <c r="B91" i="1" a="1"/>
  <c r="F93" i="1" a="1"/>
  <c r="J95" i="1" a="1"/>
  <c r="N97" i="1" a="1"/>
  <c r="D100" i="1" a="1"/>
  <c r="M92" i="1" a="1"/>
  <c r="K99" i="1" a="1"/>
  <c r="H97" i="1" a="1"/>
  <c r="K102" i="1" a="1"/>
  <c r="J98" i="1" a="1"/>
  <c r="J101" i="1" a="1"/>
  <c r="F101" i="1" a="1"/>
  <c r="I92" i="1" a="1"/>
  <c r="C101" i="1" a="1"/>
  <c r="C99" i="1" a="1"/>
  <c r="K97" i="1" a="1"/>
  <c r="L103" i="1" a="1"/>
  <c r="I101" i="1" a="1"/>
  <c r="C103" i="1" a="1"/>
  <c r="I87" i="1" a="1"/>
  <c r="F68" i="1" a="1"/>
  <c r="J70" i="1" a="1"/>
  <c r="N72" i="1" a="1"/>
  <c r="D75" i="1" a="1"/>
  <c r="AH20" i="1" a="1"/>
  <c r="AR14" i="1" a="1"/>
  <c r="AJ16" i="1" a="1"/>
  <c r="AR8" i="1" a="1"/>
  <c r="AS7" i="1" a="1"/>
  <c r="T95" i="1" a="1"/>
  <c r="T88" i="1" a="1"/>
  <c r="V97" i="1" a="1"/>
  <c r="AE91" i="1" a="1"/>
  <c r="W102" i="1" a="1"/>
  <c r="Y95" i="1" a="1"/>
  <c r="AE101" i="1" a="1"/>
  <c r="T71" i="1" a="1"/>
  <c r="V80" i="1" a="1"/>
  <c r="S74" i="1" a="1"/>
  <c r="S82" i="1" a="1"/>
  <c r="X68" i="1" a="1"/>
  <c r="V79" i="1" a="1"/>
  <c r="AC70" i="1" a="1"/>
  <c r="AD81" i="1" a="1"/>
  <c r="AA75" i="1" a="1"/>
  <c r="T49" i="1" a="1"/>
  <c r="V54" i="1" a="1"/>
  <c r="AD60" i="1" a="1"/>
  <c r="V51" i="1" a="1"/>
  <c r="X56" i="1" a="1"/>
  <c r="AD59" i="1" a="1"/>
  <c r="AB62" i="1" a="1"/>
  <c r="S51" i="1" a="1"/>
  <c r="AE63" i="1" a="1"/>
  <c r="W48" i="1" a="1"/>
  <c r="AC55" i="1" a="1"/>
  <c r="U57" i="1" a="1"/>
  <c r="S54" i="1" a="1"/>
  <c r="U49" i="1" a="1"/>
  <c r="AC58" i="1" a="1"/>
  <c r="U58" i="1" a="1"/>
  <c r="W57" i="1" a="1"/>
  <c r="AA47" i="1" a="1"/>
  <c r="AD47" i="1" a="1"/>
  <c r="V30" i="1" a="1"/>
  <c r="AB33" i="1" a="1"/>
  <c r="Z36" i="1" a="1"/>
  <c r="X39" i="1" a="1"/>
  <c r="AD42" i="1" a="1"/>
  <c r="U39" i="1" a="1"/>
  <c r="W28" i="1" a="1"/>
  <c r="AC31" i="1" a="1"/>
  <c r="AE34" i="1" a="1"/>
  <c r="S40" i="1" a="1"/>
  <c r="AB30" i="1" a="1"/>
  <c r="T42" i="1" a="1"/>
  <c r="R39" i="1" a="1"/>
  <c r="AB36" i="1" a="1"/>
  <c r="W43" i="1" a="1"/>
  <c r="Z33" i="1" a="1"/>
  <c r="W37" i="1" a="1"/>
  <c r="AE29" i="1" a="1"/>
  <c r="S39" i="1" a="1"/>
  <c r="AA39" i="1" a="1"/>
  <c r="Y28" i="1" a="1"/>
  <c r="AC42" i="1" a="1"/>
  <c r="AE37" i="1" a="1"/>
  <c r="X27" i="1" a="1"/>
  <c r="U27" i="1" a="1"/>
  <c r="AB9" i="1" a="1"/>
  <c r="R12" i="1" a="1"/>
  <c r="V14" i="1" a="1"/>
  <c r="Z16" i="1" a="1"/>
  <c r="AD18" i="1" a="1"/>
  <c r="T21" i="1" a="1"/>
  <c r="X23" i="1" a="1"/>
  <c r="Y11" i="1" a="1"/>
  <c r="S16" i="1" a="1"/>
  <c r="AA20" i="1" a="1"/>
  <c r="U9" i="1" a="1"/>
  <c r="S14" i="1" a="1"/>
  <c r="AA18" i="1" a="1"/>
  <c r="Y23" i="1" a="1"/>
  <c r="AB10" i="1" a="1"/>
  <c r="V15" i="1" a="1"/>
  <c r="AD23" i="1" a="1"/>
  <c r="T18" i="1" a="1"/>
  <c r="R23" i="1" a="1"/>
  <c r="AA9" i="1" a="1"/>
  <c r="U14" i="1" a="1"/>
  <c r="AA17" i="1" a="1"/>
  <c r="V21" i="1" a="1"/>
  <c r="R11" i="1" a="1"/>
  <c r="Z15" i="1" a="1"/>
  <c r="W9" i="1" a="1"/>
  <c r="AE13" i="1" a="1"/>
  <c r="W17" i="1" a="1"/>
  <c r="V7" i="1" a="1"/>
  <c r="B88" i="1" a="1"/>
  <c r="F90" i="1" a="1"/>
  <c r="J92" i="1" a="1"/>
  <c r="N94" i="1" a="1"/>
  <c r="G90" i="1" a="1"/>
  <c r="K92" i="1" a="1"/>
  <c r="O94" i="1" a="1"/>
  <c r="E97" i="1" a="1"/>
  <c r="I99" i="1" a="1"/>
  <c r="B89" i="1" a="1"/>
  <c r="F91" i="1" a="1"/>
  <c r="J93" i="1" a="1"/>
  <c r="N95" i="1" a="1"/>
  <c r="D98" i="1" a="1"/>
  <c r="H100" i="1" a="1"/>
  <c r="G93" i="1" a="1"/>
  <c r="N100" i="1" a="1"/>
  <c r="E100" i="1" a="1"/>
  <c r="G91" i="1" a="1"/>
  <c r="O89" i="1" a="1"/>
  <c r="E102" i="1" a="1"/>
  <c r="O101" i="1" a="1"/>
  <c r="K93" i="1" a="1"/>
  <c r="M96" i="1" a="1"/>
  <c r="H102" i="1" a="1"/>
  <c r="L101" i="1" a="1"/>
  <c r="H95" i="1" a="1"/>
  <c r="D102" i="1" a="1"/>
  <c r="C87" i="1" a="1"/>
  <c r="F87" i="1" a="1"/>
  <c r="J68" i="1" a="1"/>
  <c r="N70" i="1" a="1"/>
  <c r="D73" i="1" a="1"/>
  <c r="AN8" i="1" a="1"/>
  <c r="AJ15" i="1" a="1"/>
  <c r="AP16" i="1" a="1"/>
  <c r="AI13" i="1" a="1"/>
  <c r="AL7" i="1" a="1"/>
  <c r="X95" i="1" a="1"/>
  <c r="X88" i="1" a="1"/>
  <c r="Z97" i="1" a="1"/>
  <c r="Y92" i="1" a="1"/>
  <c r="AC103" i="1" a="1"/>
  <c r="AA96" i="1" a="1"/>
  <c r="S90" i="1" a="1"/>
  <c r="X71" i="1" a="1"/>
  <c r="Z80" i="1" a="1"/>
  <c r="W74" i="1" a="1"/>
  <c r="AA82" i="1" a="1"/>
  <c r="V75" i="1" a="1"/>
  <c r="Z81" i="1" a="1"/>
  <c r="S73" i="1" a="1"/>
  <c r="AA69" i="1" a="1"/>
  <c r="X76" i="1" a="1"/>
  <c r="X49" i="1" a="1"/>
  <c r="R56" i="1" a="1"/>
  <c r="T61" i="1" a="1"/>
  <c r="Z51" i="1" a="1"/>
  <c r="V57" i="1" a="1"/>
  <c r="T60" i="1" a="1"/>
  <c r="R63" i="1" a="1"/>
  <c r="AC52" i="1" a="1"/>
  <c r="AC54" i="1" a="1"/>
  <c r="AE48" i="1" a="1"/>
  <c r="W60" i="1" a="1"/>
  <c r="Y48" i="1" a="1"/>
  <c r="Y54" i="1" a="1"/>
  <c r="S52" i="1" a="1"/>
  <c r="S61" i="1" a="1"/>
  <c r="S60" i="1" a="1"/>
  <c r="U54" i="1" a="1"/>
  <c r="AP15" i="1" a="1"/>
  <c r="AQ20" i="1" a="1"/>
  <c r="AR23" i="1" a="1"/>
  <c r="AJ18" i="1" a="1"/>
  <c r="V88" i="1" a="1"/>
  <c r="X97" i="1" a="1"/>
  <c r="X90" i="1" a="1"/>
  <c r="Z99" i="1" a="1"/>
  <c r="Y96" i="1" a="1"/>
  <c r="W98" i="1" a="1"/>
  <c r="Y98" i="1" a="1"/>
  <c r="T87" i="1" a="1"/>
  <c r="X73" i="1" a="1"/>
  <c r="Z82" i="1" a="1"/>
  <c r="AA76" i="1" a="1"/>
  <c r="AD69" i="1" a="1"/>
  <c r="AC76" i="1" a="1"/>
  <c r="V73" i="1" a="1"/>
  <c r="W75" i="1" a="1"/>
  <c r="AB72" i="1" a="1"/>
  <c r="AB67" i="1" a="1"/>
  <c r="AB49" i="1" a="1"/>
  <c r="V56" i="1" a="1"/>
  <c r="AD62" i="1" a="1"/>
  <c r="AD51" i="1" a="1"/>
  <c r="Z57" i="1" a="1"/>
  <c r="X60" i="1" a="1"/>
  <c r="V63" i="1" a="1"/>
  <c r="W53" i="1" a="1"/>
  <c r="AA56" i="1" a="1"/>
  <c r="Y49" i="1" a="1"/>
  <c r="AA63" i="1" a="1"/>
  <c r="S49" i="1" a="1"/>
  <c r="W56" i="1" a="1"/>
  <c r="U53" i="1" a="1"/>
  <c r="Y63" i="1" a="1"/>
  <c r="Y60" i="1" a="1"/>
  <c r="Y56" i="1" a="1"/>
  <c r="T47" i="1" a="1"/>
  <c r="R28" i="1" a="1"/>
  <c r="X31" i="1" a="1"/>
  <c r="V34" i="1" a="1"/>
  <c r="T37" i="1" a="1"/>
  <c r="Z40" i="1" a="1"/>
  <c r="X43" i="1" a="1"/>
  <c r="W40" i="1" a="1"/>
  <c r="Y29" i="1" a="1"/>
  <c r="W32" i="1" a="1"/>
  <c r="AC35" i="1" a="1"/>
  <c r="W42" i="1" a="1"/>
  <c r="R33" i="1" a="1"/>
  <c r="W29" i="1" a="1"/>
  <c r="Z43" i="1" a="1"/>
  <c r="AA37" i="1" a="1"/>
  <c r="Y42" i="1" a="1"/>
  <c r="T38" i="1" a="1"/>
  <c r="AB28" i="1" a="1"/>
  <c r="U32" i="1" a="1"/>
  <c r="W41" i="1" a="1"/>
  <c r="AA29" i="1" a="1"/>
  <c r="Z29" i="1" a="1"/>
  <c r="Z35" i="1" a="1"/>
  <c r="X32" i="1" a="1"/>
  <c r="Y27" i="1" a="1"/>
  <c r="R8" i="1" a="1"/>
  <c r="V10" i="1" a="1"/>
  <c r="Z12" i="1" a="1"/>
  <c r="AD14" i="1" a="1"/>
  <c r="T17" i="1" a="1"/>
  <c r="X19" i="1" a="1"/>
  <c r="AB21" i="1" a="1"/>
  <c r="AA8" i="1" a="1"/>
  <c r="AA12" i="1" a="1"/>
  <c r="U17" i="1" a="1"/>
  <c r="Y21" i="1" a="1"/>
  <c r="AA10" i="1" a="1"/>
  <c r="U15" i="1" a="1"/>
  <c r="AC19" i="1" a="1"/>
  <c r="T8" i="1" a="1"/>
  <c r="AD11" i="1" a="1"/>
  <c r="X16" i="1" a="1"/>
  <c r="X18" i="1" a="1"/>
  <c r="W21" i="1" a="1"/>
  <c r="AD21" i="1" a="1"/>
  <c r="AC10" i="1" a="1"/>
  <c r="W15" i="1" a="1"/>
  <c r="U22" i="1" a="1"/>
  <c r="Z23" i="1" a="1"/>
  <c r="T12" i="1" a="1"/>
  <c r="AB22" i="1" a="1"/>
  <c r="Y10" i="1" a="1"/>
  <c r="S15" i="1" a="1"/>
  <c r="S7" i="1" a="1"/>
  <c r="X7" i="1" a="1"/>
  <c r="J88" i="1" a="1"/>
  <c r="N90" i="1" a="1"/>
  <c r="D93" i="1" a="1"/>
  <c r="K88" i="1" a="1"/>
  <c r="O90" i="1" a="1"/>
  <c r="AM17" i="1" a="1"/>
  <c r="AH21" i="1" a="1"/>
  <c r="AN13" i="1" a="1"/>
  <c r="AP18" i="1" a="1"/>
  <c r="Z88" i="1" a="1"/>
  <c r="AB97" i="1" a="1"/>
  <c r="AB90" i="1" a="1"/>
  <c r="AD99" i="1" a="1"/>
  <c r="S97" i="1" a="1"/>
  <c r="AA100" i="1" a="1"/>
  <c r="U100" i="1" a="1"/>
  <c r="X87" i="1" a="1"/>
  <c r="AB73" i="1" a="1"/>
  <c r="AD82" i="1" a="1"/>
  <c r="AE76" i="1" a="1"/>
  <c r="W71" i="1" a="1"/>
  <c r="Z77" i="1" a="1"/>
  <c r="Z75" i="1" a="1"/>
  <c r="T70" i="1" a="1"/>
  <c r="V77" i="1" a="1"/>
  <c r="U67" i="1" a="1"/>
  <c r="X51" i="1" a="1"/>
  <c r="Z56" i="1" a="1"/>
  <c r="T63" i="1" a="1"/>
  <c r="Z53" i="1" a="1"/>
  <c r="AD57" i="1" a="1"/>
  <c r="AB60" i="1" a="1"/>
  <c r="U48" i="1" a="1"/>
  <c r="U55" i="1" a="1"/>
  <c r="S57" i="1" a="1"/>
  <c r="U51" i="1" a="1"/>
  <c r="AE54" i="1" a="1"/>
  <c r="AA49" i="1" a="1"/>
  <c r="S59" i="1" a="1"/>
  <c r="S55" i="1" a="1"/>
  <c r="Y62" i="1" a="1"/>
  <c r="AA48" i="1" a="1"/>
  <c r="W58" i="1" a="1"/>
  <c r="AE47" i="1" a="1"/>
  <c r="AD36" i="1" a="1"/>
  <c r="U29" i="1" a="1"/>
  <c r="Y32" i="1" a="1"/>
  <c r="AD33" i="1" a="1"/>
  <c r="Z39" i="1" a="1"/>
  <c r="U40" i="1" a="1"/>
  <c r="V12" i="1" a="1"/>
  <c r="X21" i="1" a="1"/>
  <c r="U21" i="1" a="1"/>
  <c r="S8" i="1" a="1"/>
  <c r="S19" i="1" a="1"/>
  <c r="AE19" i="1" a="1"/>
  <c r="AE9" i="1" a="1"/>
  <c r="F88" i="1" a="1"/>
  <c r="K90" i="1" a="1"/>
  <c r="I97" i="1" a="1"/>
  <c r="N89" i="1" a="1"/>
  <c r="H96" i="1" a="1"/>
  <c r="O93" i="1" a="1"/>
  <c r="J103" i="1" a="1"/>
  <c r="E103" i="1" a="1"/>
  <c r="M100" i="1" a="1"/>
  <c r="M88" i="1" a="1"/>
  <c r="K87" i="1" a="1"/>
  <c r="D71" i="1" a="1"/>
  <c r="B76" i="1" a="1"/>
  <c r="H79" i="1" a="1"/>
  <c r="F82" i="1" a="1"/>
  <c r="I69" i="1" a="1"/>
  <c r="O72" i="1" a="1"/>
  <c r="M75" i="1" a="1"/>
  <c r="K78" i="1" a="1"/>
  <c r="G82" i="1" a="1"/>
  <c r="L68" i="1" a="1"/>
  <c r="J71" i="1" a="1"/>
  <c r="C69" i="1" a="1"/>
  <c r="O71" i="1" a="1"/>
  <c r="N83" i="1" a="1"/>
  <c r="C77" i="1" a="1"/>
  <c r="N79" i="1" a="1"/>
  <c r="C73" i="1" a="1"/>
  <c r="K75" i="1" a="1"/>
  <c r="F77" i="1" a="1"/>
  <c r="E80" i="1" a="1"/>
  <c r="K67" i="1" a="1"/>
  <c r="H49" i="1" a="1"/>
  <c r="F52" i="1" a="1"/>
  <c r="L55" i="1" a="1"/>
  <c r="J58" i="1" a="1"/>
  <c r="H61" i="1" a="1"/>
  <c r="E51" i="1" a="1"/>
  <c r="O56" i="1" a="1"/>
  <c r="K62" i="1" a="1"/>
  <c r="K52" i="1" a="1"/>
  <c r="G58" i="1" a="1"/>
  <c r="C48" i="1" a="1"/>
  <c r="C51" i="1" a="1"/>
  <c r="H52" i="1" a="1"/>
  <c r="B59" i="1" a="1"/>
  <c r="I54" i="1" a="1"/>
  <c r="J53" i="1" a="1"/>
  <c r="D54" i="1" a="1"/>
  <c r="N55" i="1" a="1"/>
  <c r="G61" i="1" a="1"/>
  <c r="M58" i="1" a="1"/>
  <c r="N63" i="1" a="1"/>
  <c r="L47" i="1" a="1"/>
  <c r="F28" i="1" a="1"/>
  <c r="L31" i="1" a="1"/>
  <c r="J34" i="1" a="1"/>
  <c r="C28" i="1" a="1"/>
  <c r="I31" i="1" a="1"/>
  <c r="K34" i="1" a="1"/>
  <c r="G38" i="1" a="1"/>
  <c r="H37" i="1" a="1"/>
  <c r="F40" i="1" a="1"/>
  <c r="D43" i="1" a="1"/>
  <c r="C42" i="1" a="1"/>
  <c r="G31" i="1" a="1"/>
  <c r="O35" i="1" a="1"/>
  <c r="I40" i="1" a="1"/>
  <c r="F33" i="1" a="1"/>
  <c r="C39" i="1" a="1"/>
  <c r="H38" i="1" a="1"/>
  <c r="N43" i="1" a="1"/>
  <c r="G37" i="1" a="1"/>
  <c r="N33" i="1" a="1"/>
  <c r="N39" i="1" a="1"/>
  <c r="C35" i="1" a="1"/>
  <c r="M28" i="1" a="1"/>
  <c r="B33" i="1" a="1"/>
  <c r="D42" i="1" a="1"/>
  <c r="D27" i="1" a="1"/>
  <c r="I47" i="1" a="1"/>
  <c r="G32" i="1" a="1"/>
  <c r="B38" i="1" a="1"/>
  <c r="I37" i="1" a="1"/>
  <c r="C37" i="1" a="1"/>
  <c r="L36" i="1" a="1"/>
  <c r="D38" i="1" a="1"/>
  <c r="J35" i="1" a="1"/>
  <c r="J39" i="1" a="1"/>
  <c r="I38" i="1" a="1"/>
  <c r="D34" i="1" a="1"/>
  <c r="B78" i="1" a="1"/>
  <c r="L70" i="1" a="1"/>
  <c r="I70" i="1" a="1"/>
  <c r="L74" i="1" a="1"/>
  <c r="F81" i="1" a="1"/>
  <c r="H51" i="1" a="1"/>
  <c r="C54" i="1" a="1"/>
  <c r="L48" i="1" a="1"/>
  <c r="G63" i="1" a="1"/>
  <c r="D47" i="1" a="1"/>
  <c r="O36" i="1" a="1"/>
  <c r="H28" i="1" a="1"/>
  <c r="D32" i="1" a="1"/>
  <c r="C31" i="1" a="1"/>
  <c r="X47" i="1" a="1"/>
  <c r="R38" i="1" a="1"/>
  <c r="AC29" i="1" a="1"/>
  <c r="AC34" i="1" a="1"/>
  <c r="X28" i="1" a="1"/>
  <c r="AD41" i="1" a="1"/>
  <c r="V29" i="1" a="1"/>
  <c r="AD12" i="1" a="1"/>
  <c r="R22" i="1" a="1"/>
  <c r="S22" i="1" a="1"/>
  <c r="U8" i="1" a="1"/>
  <c r="AA23" i="1" a="1"/>
  <c r="Y20" i="1" a="1"/>
  <c r="S11" i="1" a="1"/>
  <c r="N88" i="1" a="1"/>
  <c r="E91" i="1" a="1"/>
  <c r="M97" i="1" a="1"/>
  <c r="J91" i="1" a="1"/>
  <c r="L96" i="1" a="1"/>
  <c r="I94" i="1" a="1"/>
  <c r="C93" i="1" a="1"/>
  <c r="N103" i="1" a="1"/>
  <c r="I88" i="1" a="1"/>
  <c r="O95" i="1" a="1"/>
  <c r="O87" i="1" a="1"/>
  <c r="H71" i="1" a="1"/>
  <c r="F76" i="1" a="1"/>
  <c r="L79" i="1" a="1"/>
  <c r="J82" i="1" a="1"/>
  <c r="M69" i="1" a="1"/>
  <c r="E73" i="1" a="1"/>
  <c r="C76" i="1" a="1"/>
  <c r="O78" i="1" a="1"/>
  <c r="K82" i="1" a="1"/>
  <c r="B69" i="1" a="1"/>
  <c r="N71" i="1" a="1"/>
  <c r="G69" i="1" a="1"/>
  <c r="E72" i="1" a="1"/>
  <c r="M72" i="1" a="1"/>
  <c r="O79" i="1" a="1"/>
  <c r="B81" i="1" a="1"/>
  <c r="B75" i="1" a="1"/>
  <c r="E76" i="1" a="1"/>
  <c r="H78" i="1" a="1"/>
  <c r="M80" i="1" a="1"/>
  <c r="O67" i="1" a="1"/>
  <c r="L49" i="1" a="1"/>
  <c r="J52" i="1" a="1"/>
  <c r="B56" i="1" a="1"/>
  <c r="N58" i="1" a="1"/>
  <c r="L61" i="1" a="1"/>
  <c r="M51" i="1" a="1"/>
  <c r="I57" i="1" a="1"/>
  <c r="E63" i="1" a="1"/>
  <c r="E53" i="1" a="1"/>
  <c r="K58" i="1" a="1"/>
  <c r="D48" i="1" a="1"/>
  <c r="G51" i="1" a="1"/>
  <c r="N53" i="1" a="1"/>
  <c r="J59" i="1" a="1"/>
  <c r="C55" i="1" a="1"/>
  <c r="H56" i="1" a="1"/>
  <c r="N59" i="1" a="1"/>
  <c r="L58" i="1" a="1"/>
  <c r="K63" i="1" a="1"/>
  <c r="B51" i="1" a="1"/>
  <c r="K53" i="1" a="1"/>
  <c r="E47" i="1" a="1"/>
  <c r="J28" i="1" a="1"/>
  <c r="B32" i="1" a="1"/>
  <c r="N34" i="1" a="1"/>
  <c r="G28" i="1" a="1"/>
  <c r="C32" i="1" a="1"/>
  <c r="O34" i="1" a="1"/>
  <c r="O38" i="1" a="1"/>
  <c r="L37" i="1" a="1"/>
  <c r="J40" i="1" a="1"/>
  <c r="H43" i="1" a="1"/>
  <c r="K42" i="1" a="1"/>
  <c r="O31" i="1" a="1"/>
  <c r="I36" i="1" a="1"/>
  <c r="C41" i="1" a="1"/>
  <c r="B35" i="1" a="1"/>
  <c r="I42" i="1" a="1"/>
  <c r="L40" i="1" a="1"/>
  <c r="H30" i="1" a="1"/>
  <c r="M40" i="1" a="1"/>
  <c r="F37" i="1" a="1"/>
  <c r="L42" i="1" a="1"/>
  <c r="K35" i="1" a="1"/>
  <c r="B29" i="1" a="1"/>
  <c r="J33" i="1" a="1"/>
  <c r="O27" i="1" a="1"/>
  <c r="H27" i="1" a="1"/>
  <c r="H29" i="1" a="1"/>
  <c r="D35" i="1" a="1"/>
  <c r="E35" i="1" a="1"/>
  <c r="K40" i="1" a="1"/>
  <c r="N40" i="1" a="1"/>
  <c r="I32" i="1" a="1"/>
  <c r="K41" i="1" a="1"/>
  <c r="H42" i="1" a="1"/>
  <c r="F39" i="1" a="1"/>
  <c r="L28" i="1" a="1"/>
  <c r="J29" i="1" a="1"/>
  <c r="C27" i="1" a="1"/>
  <c r="L27" i="1" a="1"/>
  <c r="N80" i="1" a="1"/>
  <c r="M83" i="1" a="1"/>
  <c r="J73" i="1" a="1"/>
  <c r="M82" i="1" a="1"/>
  <c r="C81" i="1" a="1"/>
  <c r="I67" i="1" a="1"/>
  <c r="F54" i="1" a="1"/>
  <c r="H63" i="1" a="1"/>
  <c r="G62" i="1" a="1"/>
  <c r="K57" i="1" a="1"/>
  <c r="D33" i="1" a="1"/>
  <c r="G42" i="1" a="1"/>
  <c r="E34" i="1" a="1"/>
  <c r="C43" i="1" a="1"/>
  <c r="F31" i="1" a="1"/>
  <c r="R47" i="1" a="1"/>
  <c r="V40" i="1" a="1"/>
  <c r="S32" i="1" a="1"/>
  <c r="AE43" i="1" a="1"/>
  <c r="AD35" i="1" a="1"/>
  <c r="X42" i="1" a="1"/>
  <c r="AB27" i="1" a="1"/>
  <c r="Z14" i="1" a="1"/>
  <c r="AB23" i="1" a="1"/>
  <c r="AC9" i="1" a="1"/>
  <c r="V11" i="1" a="1"/>
  <c r="V17" i="1" a="1"/>
  <c r="S23" i="1" a="1"/>
  <c r="Y14" i="1" a="1"/>
  <c r="J90" i="1" a="1"/>
  <c r="O92" i="1" a="1"/>
  <c r="C98" i="1" a="1"/>
  <c r="N91" i="1" a="1"/>
  <c r="H98" i="1" a="1"/>
  <c r="C95" i="1" a="1"/>
  <c r="E94" i="1" a="1"/>
  <c r="O102" i="1" a="1"/>
  <c r="E90" i="1" a="1"/>
  <c r="L97" i="1" a="1"/>
  <c r="J87" i="1" a="1"/>
  <c r="L71" i="1" a="1"/>
  <c r="D77" i="1" a="1"/>
  <c r="B80" i="1" a="1"/>
  <c r="N82" i="1" a="1"/>
  <c r="K70" i="1" a="1"/>
  <c r="I73" i="1" a="1"/>
  <c r="G76" i="1" a="1"/>
  <c r="M79" i="1" a="1"/>
  <c r="O82" i="1" a="1"/>
  <c r="F69" i="1" a="1"/>
  <c r="L72" i="1" a="1"/>
  <c r="K69" i="1" a="1"/>
  <c r="I72" i="1" a="1"/>
  <c r="K77" i="1" a="1"/>
  <c r="K81" i="1" a="1"/>
  <c r="L82" i="1" a="1"/>
  <c r="N77" i="1" a="1"/>
  <c r="G77" i="1" a="1"/>
  <c r="J79" i="1" a="1"/>
  <c r="C67" i="1" a="1"/>
  <c r="H67" i="1" a="1"/>
  <c r="B50" i="1" a="1"/>
  <c r="H53" i="1" a="1"/>
  <c r="F56" i="1" a="1"/>
  <c r="D59" i="1" a="1"/>
  <c r="J62" i="1" a="1"/>
  <c r="G52" i="1" a="1"/>
  <c r="C58" i="1" a="1"/>
  <c r="O48" i="1" a="1"/>
  <c r="M53" i="1" a="1"/>
  <c r="E59" i="1" a="1"/>
  <c r="M48" i="1" a="1"/>
  <c r="H48" i="1" a="1"/>
  <c r="H54" i="1" a="1"/>
  <c r="F61" i="1" a="1"/>
  <c r="E56" i="1" a="1"/>
  <c r="J57" i="1" a="1"/>
  <c r="G55" i="1" a="1"/>
  <c r="J61" i="1" a="1"/>
  <c r="D50" i="1" a="1"/>
  <c r="N49" i="1" a="1"/>
  <c r="I56" i="1" a="1"/>
  <c r="F32" i="1" a="1"/>
  <c r="E29" i="1" a="1"/>
  <c r="E43" i="1" a="1"/>
  <c r="G74" i="1" a="1"/>
  <c r="M76" i="1" a="1"/>
  <c r="J60" i="1" a="1"/>
  <c r="I55" i="1" a="1"/>
  <c r="B63" i="1" a="1"/>
  <c r="D58" i="1" a="1"/>
  <c r="J36" i="1" a="1"/>
  <c r="F42" i="1" a="1"/>
  <c r="N41" i="1" a="1"/>
  <c r="O37" i="1" a="1"/>
  <c r="I27" i="1" a="1"/>
  <c r="AD28" i="1" a="1"/>
  <c r="AD40" i="1" a="1"/>
  <c r="AA32" i="1" a="1"/>
  <c r="T32" i="1" a="1"/>
  <c r="U42" i="1" a="1"/>
  <c r="U34" i="1" a="1"/>
  <c r="AC27" i="1" a="1"/>
  <c r="T15" i="1" a="1"/>
  <c r="AE8" i="1" a="1"/>
  <c r="U11" i="1" a="1"/>
  <c r="X12" i="1" a="1"/>
  <c r="AC22" i="1" a="1"/>
  <c r="X20" i="1" a="1"/>
  <c r="AA15" i="1" a="1"/>
  <c r="D91" i="1" a="1"/>
  <c r="E93" i="1" a="1"/>
  <c r="M99" i="1" a="1"/>
  <c r="D92" i="1" a="1"/>
  <c r="L98" i="1" a="1"/>
  <c r="E101" i="1" a="1"/>
  <c r="L95" i="1" a="1"/>
  <c r="J96" i="1" a="1"/>
  <c r="G89" i="1" a="1"/>
  <c r="E98" i="1" a="1"/>
  <c r="N87" i="1" a="1"/>
  <c r="H73" i="1" a="1"/>
  <c r="H77" i="1" a="1"/>
  <c r="F80" i="1" a="1"/>
  <c r="D83" i="1" a="1"/>
  <c r="O70" i="1" a="1"/>
  <c r="M73" i="1" a="1"/>
  <c r="K76" i="1" a="1"/>
  <c r="C80" i="1" a="1"/>
  <c r="E83" i="1" a="1"/>
  <c r="J69" i="1" a="1"/>
  <c r="B73" i="1" a="1"/>
  <c r="O69" i="1" a="1"/>
  <c r="G73" i="1" a="1"/>
  <c r="G79" i="1" a="1"/>
  <c r="O83" i="1" a="1"/>
  <c r="E78" i="1" a="1"/>
  <c r="B79" i="1" a="1"/>
  <c r="I78" i="1" a="1"/>
  <c r="L80" i="1" a="1"/>
  <c r="D67" i="1" a="1"/>
  <c r="E67" i="1" a="1"/>
  <c r="F50" i="1" a="1"/>
  <c r="L53" i="1" a="1"/>
  <c r="J56" i="1" a="1"/>
  <c r="H59" i="1" a="1"/>
  <c r="N62" i="1" a="1"/>
  <c r="O52" i="1" a="1"/>
  <c r="O58" i="1" a="1"/>
  <c r="E49" i="1" a="1"/>
  <c r="G54" i="1" a="1"/>
  <c r="M59" i="1" a="1"/>
  <c r="C49" i="1" a="1"/>
  <c r="E52" i="1" a="1"/>
  <c r="B55" i="1" a="1"/>
  <c r="N61" i="1" a="1"/>
  <c r="M56" i="1" a="1"/>
  <c r="F59" i="1" a="1"/>
  <c r="E58" i="1" a="1"/>
  <c r="E54" i="1" a="1"/>
  <c r="I60" i="1" a="1"/>
  <c r="F55" i="1" a="1"/>
  <c r="O59" i="1" a="1"/>
  <c r="M47" i="1" a="1"/>
  <c r="L29" i="1" a="1"/>
  <c r="J32" i="1" a="1"/>
  <c r="H35" i="1" a="1"/>
  <c r="I29" i="1" a="1"/>
  <c r="K32" i="1" a="1"/>
  <c r="I35" i="1" a="1"/>
  <c r="E41" i="1" a="1"/>
  <c r="F38" i="1" a="1"/>
  <c r="D41" i="1" a="1"/>
  <c r="C38" i="1" a="1"/>
  <c r="M43" i="1" a="1"/>
  <c r="C33" i="1" a="1"/>
  <c r="K37" i="1" a="1"/>
  <c r="E42" i="1" a="1"/>
  <c r="B39" i="1" a="1"/>
  <c r="B41" i="1" a="1"/>
  <c r="E36" i="1" a="1"/>
  <c r="N37" i="1" a="1"/>
  <c r="F43" i="1" a="1"/>
  <c r="B43" i="1" a="1"/>
  <c r="O29" i="1" a="1"/>
  <c r="O41" i="1" a="1"/>
  <c r="D30" i="1" a="1"/>
  <c r="L34" i="1" a="1"/>
  <c r="G27" i="1" a="1"/>
  <c r="M27" i="1" a="1"/>
  <c r="K68" i="1" a="1"/>
  <c r="B48" i="1" a="1"/>
  <c r="O60" i="1" a="1"/>
  <c r="K49" i="1" a="1"/>
  <c r="C59" i="1" a="1"/>
  <c r="C57" i="1" a="1"/>
  <c r="C30" i="1" a="1"/>
  <c r="N38" i="1" a="1"/>
  <c r="M38" i="1" a="1"/>
  <c r="J43" i="1" a="1"/>
  <c r="J41" i="1" a="1"/>
  <c r="E27" i="1" a="1"/>
  <c r="T31" i="1" a="1"/>
  <c r="T43" i="1" a="1"/>
  <c r="Y35" i="1" a="1"/>
  <c r="S43" i="1" a="1"/>
  <c r="T40" i="1" a="1"/>
  <c r="S29" i="1" a="1"/>
  <c r="R27" i="1" a="1"/>
  <c r="AD16" i="1" a="1"/>
  <c r="S12" i="1" a="1"/>
  <c r="AA14" i="1" a="1"/>
  <c r="AD15" i="1" a="1"/>
  <c r="U10" i="1" a="1"/>
  <c r="Z11" i="1" a="1"/>
  <c r="T20" i="1" a="1"/>
  <c r="N92" i="1" a="1"/>
  <c r="I93" i="1" a="1"/>
  <c r="C100" i="1" a="1"/>
  <c r="N93" i="1" a="1"/>
  <c r="B99" i="1" a="1"/>
  <c r="N101" i="1" a="1"/>
  <c r="B96" i="1" a="1"/>
  <c r="N98" i="1" a="1"/>
  <c r="B101" i="1" a="1"/>
  <c r="M102" i="1" a="1"/>
  <c r="H87" i="1" a="1"/>
  <c r="L73" i="1" a="1"/>
  <c r="L77" i="1" a="1"/>
  <c r="J80" i="1" a="1"/>
  <c r="G68" i="1" a="1"/>
  <c r="E71" i="1" a="1"/>
  <c r="C74" i="1" a="1"/>
  <c r="I77" i="1" a="1"/>
  <c r="G80" i="1" a="1"/>
  <c r="I83" i="1" a="1"/>
  <c r="H70" i="1" a="1"/>
  <c r="F73" i="1" a="1"/>
  <c r="E70" i="1" a="1"/>
  <c r="F79" i="1" a="1"/>
  <c r="I80" i="1" a="1"/>
  <c r="D74" i="1" a="1"/>
  <c r="M78" i="1" a="1"/>
  <c r="D80" i="1" a="1"/>
  <c r="K79" i="1" a="1"/>
  <c r="C75" i="1" a="1"/>
  <c r="L67" i="1" a="1"/>
  <c r="N67" i="1" a="1"/>
  <c r="D51" i="1" a="1"/>
  <c r="B54" i="1" a="1"/>
  <c r="N56" i="1" a="1"/>
  <c r="F60" i="1" a="1"/>
  <c r="D63" i="1" a="1"/>
  <c r="I53" i="1" a="1"/>
  <c r="K60" i="1" a="1"/>
  <c r="I49" i="1" a="1"/>
  <c r="O54" i="1" a="1"/>
  <c r="M61" i="1" a="1"/>
  <c r="G49" i="1" a="1"/>
  <c r="B53" i="1" a="1"/>
  <c r="L56" i="1" a="1"/>
  <c r="H62" i="1" a="1"/>
  <c r="I58" i="1" a="1"/>
  <c r="O55" i="1" a="1"/>
  <c r="K61" i="1" a="1"/>
  <c r="G59" i="1" a="1"/>
  <c r="L54" i="1" a="1"/>
  <c r="B61" i="1" a="1"/>
  <c r="E62" i="1" a="1"/>
  <c r="N47" i="1" a="1"/>
  <c r="B30" i="1" a="1"/>
  <c r="N32" i="1" a="1"/>
  <c r="F36" i="1" a="1"/>
  <c r="M29" i="1" a="1"/>
  <c r="O32" i="1" a="1"/>
  <c r="G36" i="1" a="1"/>
  <c r="M41" i="1" a="1"/>
  <c r="J38" i="1" a="1"/>
  <c r="B42" i="1" a="1"/>
  <c r="K38" i="1" a="1"/>
  <c r="E28" i="1" a="1"/>
  <c r="K33" i="1" a="1"/>
  <c r="E38" i="1" a="1"/>
  <c r="G43" i="1" a="1"/>
  <c r="F41" i="1" a="1"/>
  <c r="M42" i="1" a="1"/>
  <c r="E40" i="1" a="1"/>
  <c r="D40" i="1" a="1"/>
  <c r="I28" i="1" a="1"/>
  <c r="M32" i="1" a="1"/>
  <c r="I30" i="1" a="1"/>
  <c r="J37" i="1" a="1"/>
  <c r="L30" i="1" a="1"/>
  <c r="F35" i="1" a="1"/>
  <c r="K27" i="1" a="1"/>
  <c r="J27" i="1" a="1"/>
  <c r="M77" i="1" a="1"/>
  <c r="G81" i="1" a="1"/>
  <c r="D57" i="1" a="1"/>
  <c r="M49" i="1" a="1"/>
  <c r="F57" i="1" a="1"/>
  <c r="F49" i="1" a="1"/>
  <c r="F30" i="1" a="1"/>
  <c r="E33" i="1" a="1"/>
  <c r="E39" i="1" a="1"/>
  <c r="O43" i="1" a="1"/>
  <c r="F29" i="1" a="1"/>
  <c r="N35" i="1" a="1"/>
  <c r="AB31" i="1" a="1"/>
  <c r="AB43" i="1" a="1"/>
  <c r="U37" i="1" a="1"/>
  <c r="X40" i="1" a="1"/>
  <c r="T30" i="1" a="1"/>
  <c r="W31" i="1" a="1"/>
  <c r="V8" i="1" a="1"/>
  <c r="X17" i="1" a="1"/>
  <c r="U13" i="1" a="1"/>
  <c r="AC15" i="1" a="1"/>
  <c r="AC18" i="1" a="1"/>
  <c r="W11" i="1" a="1"/>
  <c r="AB12" i="1" a="1"/>
  <c r="W7" i="1" a="1"/>
  <c r="H93" i="1" a="1"/>
  <c r="E95" i="1" a="1"/>
  <c r="G100" i="1" a="1"/>
  <c r="D94" i="1" a="1"/>
  <c r="E88" i="1" a="1"/>
  <c r="I102" i="1" a="1"/>
  <c r="I96" i="1" a="1"/>
  <c r="I98" i="1" a="1"/>
  <c r="O103" i="1" a="1"/>
  <c r="H103" i="1" a="1"/>
  <c r="N68" i="1" a="1"/>
  <c r="B74" i="1" a="1"/>
  <c r="I71" i="1" a="1"/>
  <c r="K80" i="1" a="1"/>
  <c r="H80" i="1" a="1"/>
  <c r="R34" i="1" a="1"/>
  <c r="AC39" i="1" a="1"/>
  <c r="AC41" i="1" a="1"/>
  <c r="W35" i="1" a="1"/>
  <c r="X30" i="1" a="1"/>
  <c r="AC32" i="1" a="1"/>
  <c r="R10" i="1" a="1"/>
  <c r="T19" i="1" a="1"/>
  <c r="AA16" i="1" a="1"/>
  <c r="U19" i="1" a="1"/>
  <c r="R17" i="1" a="1"/>
  <c r="AC14" i="1" a="1"/>
  <c r="T16" i="1" a="1"/>
  <c r="Z7" i="1" a="1"/>
  <c r="G88" i="1" a="1"/>
  <c r="I95" i="1" a="1"/>
  <c r="F89" i="1" a="1"/>
  <c r="H94" i="1" a="1"/>
  <c r="C89" i="1" a="1"/>
  <c r="K100" i="1" a="1"/>
  <c r="F98" i="1" a="1"/>
  <c r="F100" i="1" a="1"/>
  <c r="M101" i="1" a="1"/>
  <c r="M103" i="1" a="1"/>
  <c r="D69" i="1" a="1"/>
  <c r="H75" i="1" a="1"/>
  <c r="F78" i="1" a="1"/>
  <c r="L81" i="1" a="1"/>
  <c r="O68" i="1" a="1"/>
  <c r="M71" i="1" a="1"/>
  <c r="E75" i="1" a="1"/>
  <c r="C78" i="1" a="1"/>
  <c r="O80" i="1" a="1"/>
  <c r="D68" i="1" a="1"/>
  <c r="B71" i="1" a="1"/>
  <c r="N73" i="1" a="1"/>
  <c r="G71" i="1" a="1"/>
  <c r="J81" i="1" a="1"/>
  <c r="H76" i="1" a="1"/>
  <c r="D78" i="1" a="1"/>
  <c r="G83" i="1" a="1"/>
  <c r="H82" i="1" a="1"/>
  <c r="H74" i="1" a="1"/>
  <c r="O77" i="1" a="1"/>
  <c r="M67" i="1" a="1"/>
  <c r="N48" i="1" a="1"/>
  <c r="L51" i="1" a="1"/>
  <c r="J54" i="1" a="1"/>
  <c r="B58" i="1" a="1"/>
  <c r="N60" i="1" a="1"/>
  <c r="L63" i="1" a="1"/>
  <c r="M55" i="1" a="1"/>
  <c r="I61" i="1" a="1"/>
  <c r="G50" i="1" a="1"/>
  <c r="E57" i="1" a="1"/>
  <c r="O62" i="1" a="1"/>
  <c r="O49" i="1" a="1"/>
  <c r="C53" i="1" a="1"/>
  <c r="N57" i="1" a="1"/>
  <c r="J63" i="1" a="1"/>
  <c r="C63" i="1" a="1"/>
  <c r="C61" i="1" a="1"/>
  <c r="B49" i="1" a="1"/>
  <c r="G57" i="1" a="1"/>
  <c r="F63" i="1" a="1"/>
  <c r="M62" i="1" a="1"/>
  <c r="O47" i="1" a="1"/>
  <c r="B47" i="1" a="1"/>
  <c r="J30" i="1" a="1"/>
  <c r="B34" i="1" a="1"/>
  <c r="N36" i="1" a="1"/>
  <c r="G30" i="1" a="1"/>
  <c r="C34" i="1" a="1"/>
  <c r="E37" i="1" a="1"/>
  <c r="O42" i="1" a="1"/>
  <c r="L39" i="1" a="1"/>
  <c r="J42" i="1" a="1"/>
  <c r="M39" i="1" a="1"/>
  <c r="E30" i="1" a="1"/>
  <c r="M34" i="1" a="1"/>
  <c r="G39" i="1" a="1"/>
  <c r="N29" i="1" a="1"/>
  <c r="G33" i="1" a="1"/>
  <c r="H34" i="1" a="1"/>
  <c r="B37" i="1" a="1"/>
  <c r="E32" i="1" a="1"/>
  <c r="B31" i="1" a="1"/>
  <c r="G41" i="1" a="1"/>
  <c r="K31" i="1" a="1"/>
  <c r="G29" i="1" a="1"/>
  <c r="N31" i="1" a="1"/>
  <c r="H36" i="1" a="1"/>
  <c r="F27" i="1" a="1"/>
  <c r="B27" i="1" a="1"/>
  <c r="K73" i="1" a="1"/>
  <c r="C79" i="1" a="1"/>
  <c r="D49" i="1" a="1"/>
  <c r="B52" i="1" a="1"/>
  <c r="Z34" i="1" a="1"/>
  <c r="S42" i="1" a="1"/>
  <c r="AE42" i="1" a="1"/>
  <c r="AE39" i="1" a="1"/>
  <c r="AB32" i="1" a="1"/>
  <c r="AD37" i="1" a="1"/>
  <c r="Z10" i="1" a="1"/>
  <c r="AB19" i="1" a="1"/>
  <c r="AC17" i="1" a="1"/>
  <c r="W20" i="1" a="1"/>
  <c r="U20" i="1" a="1"/>
  <c r="AE15" i="1" a="1"/>
  <c r="Z19" i="1" a="1"/>
  <c r="AC7" i="1" a="1"/>
  <c r="O88" i="1" a="1"/>
  <c r="M95" i="1" a="1"/>
  <c r="J89" i="1" a="1"/>
  <c r="D96" i="1" a="1"/>
  <c r="I90" i="1" a="1"/>
  <c r="J102" i="1" a="1"/>
  <c r="N102" i="1" a="1"/>
  <c r="G101" i="1" a="1"/>
  <c r="C102" i="1" a="1"/>
  <c r="G87" i="1" a="1"/>
  <c r="H69" i="1" a="1"/>
  <c r="L75" i="1" a="1"/>
  <c r="J78" i="1" a="1"/>
  <c r="B82" i="1" a="1"/>
  <c r="E69" i="1" a="1"/>
  <c r="C72" i="1" a="1"/>
  <c r="I75" i="1" a="1"/>
  <c r="G78" i="1" a="1"/>
  <c r="E81" i="1" a="1"/>
  <c r="H68" i="1" a="1"/>
  <c r="F71" i="1" a="1"/>
  <c r="I68" i="1" a="1"/>
  <c r="K71" i="1" a="1"/>
  <c r="F83" i="1" a="1"/>
  <c r="D82" i="1" a="1"/>
  <c r="L78" i="1" a="1"/>
  <c r="J83" i="1" a="1"/>
  <c r="D76" i="1" a="1"/>
  <c r="F67" i="1" a="1"/>
  <c r="N54" i="1" a="1"/>
  <c r="I63" i="1" a="1"/>
  <c r="K59" i="1" a="1"/>
  <c r="D37" i="1" a="1"/>
  <c r="M30" i="1" a="1"/>
  <c r="L32" i="1" a="1"/>
  <c r="D61" i="1" a="1"/>
  <c r="K51" i="1" a="1"/>
  <c r="G34" i="1" a="1"/>
  <c r="H58" i="1" a="1"/>
  <c r="M37" i="1" a="1"/>
  <c r="K39" i="1" a="1"/>
  <c r="L50" i="1" a="1"/>
  <c r="I43" i="1" a="1"/>
  <c r="M36" i="1" a="1"/>
  <c r="C62" i="1" a="1"/>
  <c r="B28" i="1" a="1"/>
  <c r="D36" i="1" a="1"/>
  <c r="O63" i="1" a="1"/>
  <c r="N42" i="1" a="1"/>
  <c r="N27" i="1" a="1"/>
  <c r="F34" i="1" a="1"/>
  <c r="F58" i="1" a="1"/>
  <c r="E50" i="1" a="1"/>
  <c r="M54" i="1" a="1"/>
  <c r="K30" i="1" a="1"/>
  <c r="G35" i="1" a="1"/>
  <c r="K43" i="1" a="1"/>
  <c r="M52" i="1" a="1"/>
  <c r="O39" i="1" a="1"/>
  <c r="O33" i="1" a="1"/>
  <c r="K48" i="1" a="1"/>
  <c r="C47" i="1" a="1"/>
  <c r="J31" i="1" a="1"/>
  <c r="G56" i="1" a="1"/>
  <c r="H47" i="1" a="1"/>
  <c r="H32" i="1" a="1"/>
  <c r="G53" i="1" a="1"/>
  <c r="B40" i="1" a="1"/>
  <c r="L38" i="1" a="1"/>
  <c r="O50" i="1" a="1"/>
  <c r="N30" i="1" a="1"/>
  <c r="H40" i="1" a="1"/>
  <c r="O57" i="1" a="1"/>
  <c r="I34" i="1" a="1"/>
  <c r="G40" i="1" a="1"/>
  <c r="M57" i="1" a="1"/>
  <c r="C7" i="1" a="1"/>
  <c r="G7" i="1" a="1"/>
  <c r="K7" i="1" a="1"/>
  <c r="O7" i="1" a="1"/>
  <c r="N7" i="1" a="1"/>
  <c r="J7" i="1" a="1"/>
  <c r="D7" i="1" a="1"/>
  <c r="H7" i="1" a="1"/>
  <c r="L7" i="1" a="1"/>
  <c r="E7" i="1" a="1"/>
  <c r="I7" i="1" a="1"/>
  <c r="M7" i="1" a="1"/>
  <c r="F7" i="1" a="1"/>
  <c r="B8" i="1" a="1"/>
  <c r="F8" i="1" a="1"/>
  <c r="J8" i="1" a="1"/>
  <c r="N8" i="1" a="1"/>
  <c r="D9" i="1" a="1"/>
  <c r="H9" i="1" a="1"/>
  <c r="L9" i="1" a="1"/>
  <c r="B10" i="1" a="1"/>
  <c r="F10" i="1" a="1"/>
  <c r="J10" i="1" a="1"/>
  <c r="N10" i="1" a="1"/>
  <c r="D11" i="1" a="1"/>
  <c r="H11" i="1" a="1"/>
  <c r="L11" i="1" a="1"/>
  <c r="B12" i="1" a="1"/>
  <c r="F12" i="1" a="1"/>
  <c r="J12" i="1" a="1"/>
  <c r="N12" i="1" a="1"/>
  <c r="D13" i="1" a="1"/>
  <c r="H13" i="1" a="1"/>
  <c r="L13" i="1" a="1"/>
  <c r="B14" i="1" a="1"/>
  <c r="F14" i="1" a="1"/>
  <c r="J14" i="1" a="1"/>
  <c r="N14" i="1" a="1"/>
  <c r="D15" i="1" a="1"/>
  <c r="H15" i="1" a="1"/>
  <c r="L15" i="1" a="1"/>
  <c r="B16" i="1" a="1"/>
  <c r="F16" i="1" a="1"/>
  <c r="J16" i="1" a="1"/>
  <c r="N16" i="1" a="1"/>
  <c r="D17" i="1" a="1"/>
  <c r="H17" i="1" a="1"/>
  <c r="L17" i="1" a="1"/>
  <c r="B18" i="1" a="1"/>
  <c r="F18" i="1" a="1"/>
  <c r="J18" i="1" a="1"/>
  <c r="N18" i="1" a="1"/>
  <c r="D19" i="1" a="1"/>
  <c r="H19" i="1" a="1"/>
  <c r="L19" i="1" a="1"/>
  <c r="B20" i="1" a="1"/>
  <c r="F20" i="1" a="1"/>
  <c r="J20" i="1" a="1"/>
  <c r="N20" i="1" a="1"/>
  <c r="D21" i="1" a="1"/>
  <c r="H21" i="1" a="1"/>
  <c r="L21" i="1" a="1"/>
  <c r="B22" i="1" a="1"/>
  <c r="F22" i="1" a="1"/>
  <c r="J22" i="1" a="1"/>
  <c r="N22" i="1" a="1"/>
  <c r="D23" i="1" a="1"/>
  <c r="H23" i="1" a="1"/>
  <c r="L23" i="1" a="1"/>
  <c r="C8" i="1" a="1"/>
  <c r="G8" i="1" a="1"/>
  <c r="K8" i="1" a="1"/>
  <c r="O8" i="1" a="1"/>
  <c r="E9" i="1" a="1"/>
  <c r="I9" i="1" a="1"/>
  <c r="M9" i="1" a="1"/>
  <c r="C10" i="1" a="1"/>
  <c r="G10" i="1" a="1"/>
  <c r="K10" i="1" a="1"/>
  <c r="O10" i="1" a="1"/>
  <c r="E11" i="1" a="1"/>
  <c r="I11" i="1" a="1"/>
  <c r="M11" i="1" a="1"/>
  <c r="C12" i="1" a="1"/>
  <c r="G12" i="1" a="1"/>
  <c r="K12" i="1" a="1"/>
  <c r="O12" i="1" a="1"/>
  <c r="E13" i="1" a="1"/>
  <c r="I13" i="1" a="1"/>
  <c r="M13" i="1" a="1"/>
  <c r="C14" i="1" a="1"/>
  <c r="G14" i="1" a="1"/>
  <c r="K14" i="1" a="1"/>
  <c r="O14" i="1" a="1"/>
  <c r="E15" i="1" a="1"/>
  <c r="I15" i="1" a="1"/>
  <c r="M15" i="1" a="1"/>
  <c r="C16" i="1" a="1"/>
  <c r="G16" i="1" a="1"/>
  <c r="K16" i="1" a="1"/>
  <c r="O16" i="1" a="1"/>
  <c r="E17" i="1" a="1"/>
  <c r="I17" i="1" a="1"/>
  <c r="M17" i="1" a="1"/>
  <c r="C18" i="1" a="1"/>
  <c r="G18" i="1" a="1"/>
  <c r="K18" i="1" a="1"/>
  <c r="O18" i="1" a="1"/>
  <c r="E19" i="1" a="1"/>
  <c r="I19" i="1" a="1"/>
  <c r="M19" i="1" a="1"/>
  <c r="C20" i="1" a="1"/>
  <c r="G20" i="1" a="1"/>
  <c r="K20" i="1" a="1"/>
  <c r="O20" i="1" a="1"/>
  <c r="E21" i="1" a="1"/>
  <c r="I21" i="1" a="1"/>
  <c r="M21" i="1" a="1"/>
  <c r="C22" i="1" a="1"/>
  <c r="G22" i="1" a="1"/>
  <c r="K22" i="1" a="1"/>
  <c r="O22" i="1" a="1"/>
  <c r="E23" i="1" a="1"/>
  <c r="I23" i="1" a="1"/>
  <c r="M23" i="1" a="1"/>
  <c r="D8" i="1" a="1"/>
  <c r="H8" i="1" a="1"/>
  <c r="L8" i="1" a="1"/>
  <c r="B9" i="1" a="1"/>
  <c r="F9" i="1" a="1"/>
  <c r="J9" i="1" a="1"/>
  <c r="N9" i="1" a="1"/>
  <c r="D10" i="1" a="1"/>
  <c r="H10" i="1" a="1"/>
  <c r="L10" i="1" a="1"/>
  <c r="B11" i="1" a="1"/>
  <c r="F11" i="1" a="1"/>
  <c r="J11" i="1" a="1"/>
  <c r="N11" i="1" a="1"/>
  <c r="D12" i="1" a="1"/>
  <c r="H12" i="1" a="1"/>
  <c r="L12" i="1" a="1"/>
  <c r="B13" i="1" a="1"/>
  <c r="F13" i="1" a="1"/>
  <c r="J13" i="1" a="1"/>
  <c r="N13" i="1" a="1"/>
  <c r="D14" i="1" a="1"/>
  <c r="H14" i="1" a="1"/>
  <c r="L14" i="1" a="1"/>
  <c r="B15" i="1" a="1"/>
  <c r="F15" i="1" a="1"/>
  <c r="J15" i="1" a="1"/>
  <c r="N15" i="1" a="1"/>
  <c r="D16" i="1" a="1"/>
  <c r="H16" i="1" a="1"/>
  <c r="L16" i="1" a="1"/>
  <c r="B17" i="1" a="1"/>
  <c r="F17" i="1" a="1"/>
  <c r="J17" i="1" a="1"/>
  <c r="N17" i="1" a="1"/>
  <c r="D18" i="1" a="1"/>
  <c r="H18" i="1" a="1"/>
  <c r="L18" i="1" a="1"/>
  <c r="B19" i="1" a="1"/>
  <c r="F19" i="1" a="1"/>
  <c r="J19" i="1" a="1"/>
  <c r="N19" i="1" a="1"/>
  <c r="D20" i="1" a="1"/>
  <c r="H20" i="1" a="1"/>
  <c r="L20" i="1" a="1"/>
  <c r="B21" i="1" a="1"/>
  <c r="F21" i="1" a="1"/>
  <c r="J21" i="1" a="1"/>
  <c r="N21" i="1" a="1"/>
  <c r="D22" i="1" a="1"/>
  <c r="H22" i="1" a="1"/>
  <c r="L22" i="1" a="1"/>
  <c r="B23" i="1" a="1"/>
  <c r="F23" i="1" a="1"/>
  <c r="J23" i="1" a="1"/>
  <c r="N23" i="1" a="1"/>
  <c r="E8" i="1" a="1"/>
  <c r="I8" i="1" a="1"/>
  <c r="M8" i="1" a="1"/>
  <c r="C9" i="1" a="1"/>
  <c r="G9" i="1" a="1"/>
  <c r="K9" i="1" a="1"/>
  <c r="O9" i="1" a="1"/>
  <c r="E10" i="1" a="1"/>
  <c r="I10" i="1" a="1"/>
  <c r="M10" i="1" a="1"/>
  <c r="C11" i="1" a="1"/>
  <c r="G11" i="1" a="1"/>
  <c r="K11" i="1" a="1"/>
  <c r="O11" i="1" a="1"/>
  <c r="E12" i="1" a="1"/>
  <c r="I12" i="1" a="1"/>
  <c r="M12" i="1" a="1"/>
  <c r="C13" i="1" a="1"/>
  <c r="G13" i="1" a="1"/>
  <c r="K13" i="1" a="1"/>
  <c r="O13" i="1" a="1"/>
  <c r="E14" i="1" a="1"/>
  <c r="I14" i="1" a="1"/>
  <c r="M14" i="1" a="1"/>
  <c r="C15" i="1" a="1"/>
  <c r="G15" i="1" a="1"/>
  <c r="K15" i="1" a="1"/>
  <c r="O15" i="1" a="1"/>
  <c r="E16" i="1" a="1"/>
  <c r="I16" i="1" a="1"/>
  <c r="M16" i="1" a="1"/>
  <c r="C17" i="1" a="1"/>
  <c r="G17" i="1" a="1"/>
  <c r="K17" i="1" a="1"/>
  <c r="O17" i="1" a="1"/>
  <c r="E18" i="1" a="1"/>
  <c r="I18" i="1" a="1"/>
  <c r="M18" i="1" a="1"/>
  <c r="C19" i="1" a="1"/>
  <c r="G19" i="1" a="1"/>
  <c r="K19" i="1" a="1"/>
  <c r="O19" i="1" a="1"/>
  <c r="E20" i="1" a="1"/>
  <c r="I20" i="1" a="1"/>
  <c r="M20" i="1" a="1"/>
  <c r="C21" i="1" a="1"/>
  <c r="G21" i="1" a="1"/>
  <c r="K21" i="1" a="1"/>
  <c r="O21" i="1" a="1"/>
  <c r="E22" i="1" a="1"/>
  <c r="I22" i="1" a="1"/>
  <c r="M22" i="1" a="1"/>
  <c r="C23" i="1" a="1"/>
  <c r="G23" i="1" a="1"/>
  <c r="K23" i="1" a="1"/>
  <c r="O23" i="1" a="1"/>
  <c r="B7" i="1" a="1"/>
  <c r="I5" i="5" a="1"/>
  <c r="H5" i="5" a="1"/>
  <c r="G5" i="5" a="1"/>
  <c r="F5" i="5" a="1"/>
  <c r="E5" i="5" a="1"/>
  <c r="I5" i="5" l="1"/>
  <c r="H5" i="5"/>
  <c r="G5" i="5"/>
  <c r="F5" i="5"/>
  <c r="E5" i="5"/>
  <c r="F7" i="1"/>
  <c r="M7" i="1"/>
  <c r="I7" i="1"/>
  <c r="E7" i="1"/>
  <c r="L7" i="1"/>
  <c r="H7" i="1"/>
  <c r="D7" i="1"/>
  <c r="J7" i="1"/>
  <c r="N7" i="1"/>
  <c r="O7" i="1"/>
  <c r="K7" i="1"/>
  <c r="G7" i="1"/>
  <c r="C7" i="1"/>
  <c r="O23" i="1"/>
  <c r="K23" i="1"/>
  <c r="G23" i="1"/>
  <c r="C23" i="1"/>
  <c r="M22" i="1"/>
  <c r="I22" i="1"/>
  <c r="E22" i="1"/>
  <c r="O21" i="1"/>
  <c r="K21" i="1"/>
  <c r="G21" i="1"/>
  <c r="C21" i="1"/>
  <c r="M20" i="1"/>
  <c r="I20" i="1"/>
  <c r="E20" i="1"/>
  <c r="O19" i="1"/>
  <c r="K19" i="1"/>
  <c r="G19" i="1"/>
  <c r="C19" i="1"/>
  <c r="M18" i="1"/>
  <c r="I18" i="1"/>
  <c r="E18" i="1"/>
  <c r="O17" i="1"/>
  <c r="K17" i="1"/>
  <c r="G17" i="1"/>
  <c r="C17" i="1"/>
  <c r="M16" i="1"/>
  <c r="I16" i="1"/>
  <c r="E16" i="1"/>
  <c r="O15" i="1"/>
  <c r="K15" i="1"/>
  <c r="G15" i="1"/>
  <c r="C15" i="1"/>
  <c r="M14" i="1"/>
  <c r="I14" i="1"/>
  <c r="E14" i="1"/>
  <c r="O13" i="1"/>
  <c r="K13" i="1"/>
  <c r="G13" i="1"/>
  <c r="C13" i="1"/>
  <c r="M12" i="1"/>
  <c r="I12" i="1"/>
  <c r="E12" i="1"/>
  <c r="O11" i="1"/>
  <c r="K11" i="1"/>
  <c r="G11" i="1"/>
  <c r="C11" i="1"/>
  <c r="M10" i="1"/>
  <c r="I10" i="1"/>
  <c r="E10" i="1"/>
  <c r="O9" i="1"/>
  <c r="K9" i="1"/>
  <c r="G9" i="1"/>
  <c r="C9" i="1"/>
  <c r="M8" i="1"/>
  <c r="I8" i="1"/>
  <c r="E8" i="1"/>
  <c r="N23" i="1"/>
  <c r="J23" i="1"/>
  <c r="F23" i="1"/>
  <c r="B23" i="1"/>
  <c r="L22" i="1"/>
  <c r="H22" i="1"/>
  <c r="D22" i="1"/>
  <c r="N21" i="1"/>
  <c r="J21" i="1"/>
  <c r="F21" i="1"/>
  <c r="B21" i="1"/>
  <c r="L20" i="1"/>
  <c r="H20" i="1"/>
  <c r="D20" i="1"/>
  <c r="N19" i="1"/>
  <c r="J19" i="1"/>
  <c r="F19" i="1"/>
  <c r="B19" i="1"/>
  <c r="L18" i="1"/>
  <c r="H18" i="1"/>
  <c r="D18" i="1"/>
  <c r="N17" i="1"/>
  <c r="J17" i="1"/>
  <c r="F17" i="1"/>
  <c r="B17" i="1"/>
  <c r="L16" i="1"/>
  <c r="H16" i="1"/>
  <c r="D16" i="1"/>
  <c r="N15" i="1"/>
  <c r="J15" i="1"/>
  <c r="F15" i="1"/>
  <c r="B15" i="1"/>
  <c r="L14" i="1"/>
  <c r="H14" i="1"/>
  <c r="D14" i="1"/>
  <c r="N13" i="1"/>
  <c r="J13" i="1"/>
  <c r="F13" i="1"/>
  <c r="B13" i="1"/>
  <c r="L12" i="1"/>
  <c r="H12" i="1"/>
  <c r="D12" i="1"/>
  <c r="N11" i="1"/>
  <c r="J11" i="1"/>
  <c r="F11" i="1"/>
  <c r="B11" i="1"/>
  <c r="L10" i="1"/>
  <c r="H10" i="1"/>
  <c r="D10" i="1"/>
  <c r="N9" i="1"/>
  <c r="J9" i="1"/>
  <c r="F9" i="1"/>
  <c r="B9" i="1"/>
  <c r="L8" i="1"/>
  <c r="H8" i="1"/>
  <c r="D8" i="1"/>
  <c r="M23" i="1"/>
  <c r="I23" i="1"/>
  <c r="E23" i="1"/>
  <c r="O22" i="1"/>
  <c r="K22" i="1"/>
  <c r="G22" i="1"/>
  <c r="C22" i="1"/>
  <c r="M21" i="1"/>
  <c r="I21" i="1"/>
  <c r="E21" i="1"/>
  <c r="O20" i="1"/>
  <c r="K20" i="1"/>
  <c r="G20" i="1"/>
  <c r="C20" i="1"/>
  <c r="M19" i="1"/>
  <c r="I19" i="1"/>
  <c r="E19" i="1"/>
  <c r="O18" i="1"/>
  <c r="K18" i="1"/>
  <c r="G18" i="1"/>
  <c r="C18" i="1"/>
  <c r="M17" i="1"/>
  <c r="I17" i="1"/>
  <c r="E17" i="1"/>
  <c r="O16" i="1"/>
  <c r="K16" i="1"/>
  <c r="G16" i="1"/>
  <c r="C16" i="1"/>
  <c r="M15" i="1"/>
  <c r="I15" i="1"/>
  <c r="E15" i="1"/>
  <c r="O14" i="1"/>
  <c r="K14" i="1"/>
  <c r="G14" i="1"/>
  <c r="C14" i="1"/>
  <c r="M13" i="1"/>
  <c r="I13" i="1"/>
  <c r="E13" i="1"/>
  <c r="O12" i="1"/>
  <c r="K12" i="1"/>
  <c r="G12" i="1"/>
  <c r="C12" i="1"/>
  <c r="M11" i="1"/>
  <c r="I11" i="1"/>
  <c r="E11" i="1"/>
  <c r="O10" i="1"/>
  <c r="K10" i="1"/>
  <c r="G10" i="1"/>
  <c r="C10" i="1"/>
  <c r="M9" i="1"/>
  <c r="I9" i="1"/>
  <c r="E9" i="1"/>
  <c r="O8" i="1"/>
  <c r="K8" i="1"/>
  <c r="G8" i="1"/>
  <c r="C8" i="1"/>
  <c r="L23" i="1"/>
  <c r="H23" i="1"/>
  <c r="D23" i="1"/>
  <c r="N22" i="1"/>
  <c r="J22" i="1"/>
  <c r="F22" i="1"/>
  <c r="B22" i="1"/>
  <c r="L21" i="1"/>
  <c r="H21" i="1"/>
  <c r="D21" i="1"/>
  <c r="N20" i="1"/>
  <c r="J20" i="1"/>
  <c r="F20" i="1"/>
  <c r="B20" i="1"/>
  <c r="L19" i="1"/>
  <c r="H19" i="1"/>
  <c r="D19" i="1"/>
  <c r="N18" i="1"/>
  <c r="J18" i="1"/>
  <c r="F18" i="1"/>
  <c r="B18" i="1"/>
  <c r="L17" i="1"/>
  <c r="H17" i="1"/>
  <c r="D17" i="1"/>
  <c r="N16" i="1"/>
  <c r="J16" i="1"/>
  <c r="F16" i="1"/>
  <c r="B16" i="1"/>
  <c r="L15" i="1"/>
  <c r="H15" i="1"/>
  <c r="D15" i="1"/>
  <c r="N14" i="1"/>
  <c r="J14" i="1"/>
  <c r="F14" i="1"/>
  <c r="B14" i="1"/>
  <c r="L13" i="1"/>
  <c r="H13" i="1"/>
  <c r="D13" i="1"/>
  <c r="N12" i="1"/>
  <c r="J12" i="1"/>
  <c r="F12" i="1"/>
  <c r="B12" i="1"/>
  <c r="L11" i="1"/>
  <c r="H11" i="1"/>
  <c r="D11" i="1"/>
  <c r="N10" i="1"/>
  <c r="J10" i="1"/>
  <c r="F10" i="1"/>
  <c r="B10" i="1"/>
  <c r="L9" i="1"/>
  <c r="H9" i="1"/>
  <c r="D9" i="1"/>
  <c r="N8" i="1"/>
  <c r="J8" i="1"/>
  <c r="F8" i="1"/>
  <c r="B8" i="1"/>
  <c r="B7" i="1"/>
  <c r="F18" i="3"/>
  <c r="AP20" i="3"/>
  <c r="AK23" i="3"/>
  <c r="AN30" i="3"/>
  <c r="R33" i="3"/>
  <c r="T36" i="3"/>
  <c r="U47" i="3"/>
  <c r="C70" i="3"/>
  <c r="C7" i="3"/>
  <c r="AA8" i="3"/>
  <c r="E10" i="3"/>
  <c r="AC11" i="3"/>
  <c r="G13" i="3"/>
  <c r="AE14" i="3"/>
  <c r="M16" i="3"/>
  <c r="AR18" i="3"/>
  <c r="AJ21" i="3"/>
  <c r="AR23" i="3"/>
  <c r="AK47" i="3"/>
  <c r="AD57" i="3"/>
  <c r="AK76" i="3"/>
  <c r="L18" i="3"/>
  <c r="D21" i="3"/>
  <c r="AL27" i="3"/>
  <c r="AD32" i="3"/>
  <c r="AD35" i="3"/>
  <c r="J39" i="3"/>
  <c r="AQ50" i="3"/>
  <c r="AR62" i="3"/>
  <c r="H7" i="3"/>
  <c r="AH8" i="3"/>
  <c r="J10" i="3"/>
  <c r="AJ11" i="3"/>
  <c r="AL13" i="3"/>
  <c r="AL14" i="3"/>
  <c r="C17" i="3"/>
  <c r="G27" i="3"/>
  <c r="J31" i="3"/>
  <c r="AN8" i="3"/>
  <c r="Y38" i="3"/>
  <c r="AK16" i="3"/>
  <c r="W19" i="3"/>
  <c r="AC31" i="3"/>
  <c r="S34" i="3"/>
  <c r="W37" i="3"/>
  <c r="S53" i="3"/>
  <c r="AB61" i="3"/>
  <c r="D8" i="3"/>
  <c r="AB9" i="3"/>
  <c r="F11" i="3"/>
  <c r="AD12" i="3"/>
  <c r="H14" i="3"/>
  <c r="AH15" i="3"/>
  <c r="AA17" i="3"/>
  <c r="AT30" i="3"/>
  <c r="AN53" i="3"/>
  <c r="AL70" i="3"/>
  <c r="AA28" i="3"/>
  <c r="AC33" i="3"/>
  <c r="AE36" i="3"/>
  <c r="AC40" i="3"/>
  <c r="O54" i="3"/>
  <c r="AH7" i="3"/>
  <c r="J9" i="3"/>
  <c r="AJ10" i="3"/>
  <c r="L12" i="3"/>
  <c r="L13" i="3"/>
  <c r="N15" i="3"/>
  <c r="F19" i="3"/>
  <c r="AR21" i="3"/>
  <c r="AR27" i="3"/>
  <c r="R78" i="3"/>
  <c r="E56" i="3"/>
  <c r="W74" i="3"/>
  <c r="AB21" i="3"/>
  <c r="Z27" i="3"/>
  <c r="T35" i="3"/>
  <c r="AU41" i="3"/>
  <c r="F57" i="3"/>
  <c r="B76" i="3"/>
  <c r="Z7" i="3"/>
  <c r="D9" i="3"/>
  <c r="AB10" i="3"/>
  <c r="F12" i="3"/>
  <c r="AD13" i="3"/>
  <c r="H15" i="3"/>
  <c r="AP16" i="3"/>
  <c r="O20" i="3"/>
  <c r="I30" i="3"/>
  <c r="AA50" i="3"/>
  <c r="AC87" i="3"/>
  <c r="AE19" i="3"/>
  <c r="AN31" i="3"/>
  <c r="AD34" i="3"/>
  <c r="AM37" i="3"/>
  <c r="H58" i="3"/>
  <c r="H89" i="3"/>
  <c r="I8" i="3"/>
  <c r="AI9" i="3"/>
  <c r="K11" i="3"/>
  <c r="AK12" i="3"/>
  <c r="M14" i="3"/>
  <c r="Y20" i="3"/>
  <c r="AU31" i="3"/>
  <c r="G38" i="3"/>
  <c r="N51" i="3"/>
  <c r="AK54" i="3"/>
  <c r="Z63" i="3"/>
  <c r="Y90" i="3"/>
  <c r="AN15" i="3"/>
  <c r="AJ17" i="3"/>
  <c r="V18" i="3"/>
  <c r="AO19" i="3"/>
  <c r="J21" i="3"/>
  <c r="AC22" i="3"/>
  <c r="AL28" i="3"/>
  <c r="AB29" i="3"/>
  <c r="AO32" i="3"/>
  <c r="AP33" i="3"/>
  <c r="AP34" i="3"/>
  <c r="AQ35" i="3"/>
  <c r="AR36" i="3"/>
  <c r="I38" i="3"/>
  <c r="AS40" i="3"/>
  <c r="B43" i="3"/>
  <c r="AH51" i="3"/>
  <c r="J55" i="3"/>
  <c r="AU72" i="3"/>
  <c r="O79" i="3"/>
  <c r="N7" i="3"/>
  <c r="AM7" i="3"/>
  <c r="N8" i="3"/>
  <c r="O9" i="3"/>
  <c r="AN9" i="3"/>
  <c r="R10" i="3"/>
  <c r="AO10" i="3"/>
  <c r="R11" i="3"/>
  <c r="AP11" i="3"/>
  <c r="S12" i="3"/>
  <c r="AP12" i="3"/>
  <c r="T13" i="3"/>
  <c r="AQ13" i="3"/>
  <c r="T14" i="3"/>
  <c r="AR14" i="3"/>
  <c r="U15" i="3"/>
  <c r="I17" i="3"/>
  <c r="AB18" i="3"/>
  <c r="N19" i="3"/>
  <c r="D22" i="3"/>
  <c r="H28" i="3"/>
  <c r="AS28" i="3"/>
  <c r="J32" i="3"/>
  <c r="AP39" i="3"/>
  <c r="M41" i="3"/>
  <c r="H49" i="3"/>
  <c r="F52" i="3"/>
  <c r="AD55" i="3"/>
  <c r="AL59" i="3"/>
  <c r="AL67" i="3"/>
  <c r="AJ73" i="3"/>
  <c r="W93" i="3"/>
  <c r="AU15" i="3"/>
  <c r="AB16" i="3"/>
  <c r="AR17" i="3"/>
  <c r="T21" i="3"/>
  <c r="AM22" i="3"/>
  <c r="Z23" i="3"/>
  <c r="AM29" i="3"/>
  <c r="AB30" i="3"/>
  <c r="F33" i="3"/>
  <c r="F34" i="3"/>
  <c r="G35" i="3"/>
  <c r="H36" i="3"/>
  <c r="U7" i="3"/>
  <c r="AR7" i="3"/>
  <c r="V8" i="3"/>
  <c r="AS8" i="3"/>
  <c r="V9" i="3"/>
  <c r="AT9" i="3"/>
  <c r="W10" i="3"/>
  <c r="AT10" i="3"/>
  <c r="X11" i="3"/>
  <c r="AU11" i="3"/>
  <c r="X12" i="3"/>
  <c r="B13" i="3"/>
  <c r="Y13" i="3"/>
  <c r="B14" i="3"/>
  <c r="Z14" i="3"/>
  <c r="C15" i="3"/>
  <c r="Z15" i="3"/>
  <c r="F16" i="3"/>
  <c r="S17" i="3"/>
  <c r="AL18" i="3"/>
  <c r="Z21" i="3"/>
  <c r="L22" i="3"/>
  <c r="H29" i="3"/>
  <c r="AT29" i="3"/>
  <c r="AO38" i="3"/>
  <c r="L40" i="3"/>
  <c r="AC41" i="3"/>
  <c r="AB56" i="3"/>
  <c r="N69" i="3"/>
  <c r="O99" i="3"/>
  <c r="R42" i="3"/>
  <c r="AK43" i="3"/>
  <c r="X48" i="3"/>
  <c r="Y49" i="3"/>
  <c r="K50" i="3"/>
  <c r="G52" i="3"/>
  <c r="T53" i="3"/>
  <c r="AH55" i="3"/>
  <c r="G57" i="3"/>
  <c r="AK58" i="3"/>
  <c r="O62" i="3"/>
  <c r="I67" i="3"/>
  <c r="AC68" i="3"/>
  <c r="N72" i="3"/>
  <c r="Y77" i="3"/>
  <c r="W81" i="3"/>
  <c r="AC83" i="3"/>
  <c r="J89" i="3"/>
  <c r="AT91" i="3"/>
  <c r="J7" i="3"/>
  <c r="V7" i="3"/>
  <c r="AN7" i="3"/>
  <c r="E8" i="3"/>
  <c r="R8" i="3"/>
  <c r="AB8" i="3"/>
  <c r="AT8" i="3"/>
  <c r="R9" i="3"/>
  <c r="AC9" i="3"/>
  <c r="AP9" i="3"/>
  <c r="F10" i="3"/>
  <c r="L10" i="3"/>
  <c r="X10" i="3"/>
  <c r="AK10" i="3"/>
  <c r="B11" i="3"/>
  <c r="G11" i="3"/>
  <c r="T11" i="3"/>
  <c r="AL11" i="3"/>
  <c r="B12" i="3"/>
  <c r="M12" i="3"/>
  <c r="Z12" i="3"/>
  <c r="AL12" i="3"/>
  <c r="C13" i="3"/>
  <c r="N13" i="3"/>
  <c r="U13" i="3"/>
  <c r="AH13" i="3"/>
  <c r="AM13" i="3"/>
  <c r="D14" i="3"/>
  <c r="N14" i="3"/>
  <c r="AA14" i="3"/>
  <c r="AN14" i="3"/>
  <c r="J15" i="3"/>
  <c r="AB15" i="3"/>
  <c r="N16" i="3"/>
  <c r="D17" i="3"/>
  <c r="T17" i="3"/>
  <c r="AL17" i="3"/>
  <c r="AM18" i="3"/>
  <c r="AU18" i="3"/>
  <c r="J20" i="3"/>
  <c r="Z20" i="3"/>
  <c r="AS21" i="3"/>
  <c r="H23" i="3"/>
  <c r="H27" i="3"/>
  <c r="I28" i="3"/>
  <c r="J29" i="3"/>
  <c r="J30" i="3"/>
  <c r="K31" i="3"/>
  <c r="L32" i="3"/>
  <c r="Z38" i="3"/>
  <c r="M40" i="3"/>
  <c r="AI42" i="3"/>
  <c r="E43" i="3"/>
  <c r="AN47" i="3"/>
  <c r="I49" i="3"/>
  <c r="AS50" i="3"/>
  <c r="AK51" i="3"/>
  <c r="H52" i="3"/>
  <c r="AT52" i="3"/>
  <c r="AQ53" i="3"/>
  <c r="AJ55" i="3"/>
  <c r="AD56" i="3"/>
  <c r="AH57" i="3"/>
  <c r="AL58" i="3"/>
  <c r="U60" i="3"/>
  <c r="AI61" i="3"/>
  <c r="AS62" i="3"/>
  <c r="D70" i="3"/>
  <c r="R72" i="3"/>
  <c r="E73" i="3"/>
  <c r="AN73" i="3"/>
  <c r="C76" i="3"/>
  <c r="AL76" i="3"/>
  <c r="X79" i="3"/>
  <c r="X81" i="3"/>
  <c r="AJ83" i="3"/>
  <c r="AQ87" i="3"/>
  <c r="Z90" i="3"/>
  <c r="AE99" i="3"/>
  <c r="I16" i="3"/>
  <c r="AL16" i="3"/>
  <c r="AS17" i="3"/>
  <c r="G18" i="3"/>
  <c r="Z19" i="3"/>
  <c r="AH19" i="3"/>
  <c r="AP19" i="3"/>
  <c r="M21" i="3"/>
  <c r="X22" i="3"/>
  <c r="AN22" i="3"/>
  <c r="B27" i="3"/>
  <c r="B28" i="3"/>
  <c r="C29" i="3"/>
  <c r="AN29" i="3"/>
  <c r="AO30" i="3"/>
  <c r="AP31" i="3"/>
  <c r="G33" i="3"/>
  <c r="AD33" i="3"/>
  <c r="AQ33" i="3"/>
  <c r="T34" i="3"/>
  <c r="AR34" i="3"/>
  <c r="U35" i="3"/>
  <c r="AR35" i="3"/>
  <c r="V36" i="3"/>
  <c r="AS36" i="3"/>
  <c r="AQ38" i="3"/>
  <c r="AC39" i="3"/>
  <c r="B41" i="3"/>
  <c r="C42" i="3"/>
  <c r="AK42" i="3"/>
  <c r="I48" i="3"/>
  <c r="AR49" i="3"/>
  <c r="AL51" i="3"/>
  <c r="AS53" i="3"/>
  <c r="S54" i="3"/>
  <c r="AK55" i="3"/>
  <c r="AN59" i="3"/>
  <c r="AL61" i="3"/>
  <c r="B63" i="3"/>
  <c r="N67" i="3"/>
  <c r="AD68" i="3"/>
  <c r="S69" i="3"/>
  <c r="AR70" i="3"/>
  <c r="AE71" i="3"/>
  <c r="T72" i="3"/>
  <c r="AP73" i="3"/>
  <c r="AC74" i="3"/>
  <c r="R75" i="3"/>
  <c r="AI77" i="3"/>
  <c r="AA78" i="3"/>
  <c r="AA79" i="3"/>
  <c r="AO83" i="3"/>
  <c r="C88" i="3"/>
  <c r="R89" i="3"/>
  <c r="AJ93" i="3"/>
  <c r="AL99" i="3"/>
  <c r="K7" i="3"/>
  <c r="AC7" i="3"/>
  <c r="AP7" i="3"/>
  <c r="F8" i="3"/>
  <c r="S8" i="3"/>
  <c r="AD8" i="3"/>
  <c r="AP8" i="3"/>
  <c r="B9" i="3"/>
  <c r="L9" i="3"/>
  <c r="Y9" i="3"/>
  <c r="AD9" i="3"/>
  <c r="AQ9" i="3"/>
  <c r="H10" i="3"/>
  <c r="T10" i="3"/>
  <c r="AE10" i="3"/>
  <c r="AR10" i="3"/>
  <c r="C11" i="3"/>
  <c r="N11" i="3"/>
  <c r="Z11" i="3"/>
  <c r="AM11" i="3"/>
  <c r="D12" i="3"/>
  <c r="N12" i="3"/>
  <c r="AH12" i="3"/>
  <c r="AS12" i="3"/>
  <c r="O13" i="3"/>
  <c r="AB13" i="3"/>
  <c r="AN13" i="3"/>
  <c r="E14" i="3"/>
  <c r="R14" i="3"/>
  <c r="AB14" i="3"/>
  <c r="AO14" i="3"/>
  <c r="AT14" i="3"/>
  <c r="K15" i="3"/>
  <c r="X15" i="3"/>
  <c r="AJ15" i="3"/>
  <c r="X16" i="3"/>
  <c r="W17" i="3"/>
  <c r="AH18" i="3"/>
  <c r="B19" i="3"/>
  <c r="U20" i="3"/>
  <c r="AD21" i="3"/>
  <c r="H22" i="3"/>
  <c r="T23" i="3"/>
  <c r="U27" i="3"/>
  <c r="V28" i="3"/>
  <c r="V29" i="3"/>
  <c r="W30" i="3"/>
  <c r="AI31" i="3"/>
  <c r="X32" i="3"/>
  <c r="AE38" i="3"/>
  <c r="D40" i="3"/>
  <c r="W41" i="3"/>
  <c r="K47" i="3"/>
  <c r="AC47" i="3"/>
  <c r="AT48" i="3"/>
  <c r="S50" i="3"/>
  <c r="Y51" i="3"/>
  <c r="AH52" i="3"/>
  <c r="W55" i="3"/>
  <c r="R56" i="3"/>
  <c r="AR57" i="3"/>
  <c r="V58" i="3"/>
  <c r="W59" i="3"/>
  <c r="C60" i="3"/>
  <c r="AI60" i="3"/>
  <c r="AS61" i="3"/>
  <c r="AA62" i="3"/>
  <c r="AQ63" i="3"/>
  <c r="I68" i="3"/>
  <c r="T70" i="3"/>
  <c r="G71" i="3"/>
  <c r="N73" i="3"/>
  <c r="AB75" i="3"/>
  <c r="O76" i="3"/>
  <c r="C77" i="3"/>
  <c r="AP79" i="3"/>
  <c r="S88" i="3"/>
  <c r="D91" i="3"/>
  <c r="AK92" i="3"/>
  <c r="N94" i="3"/>
  <c r="J16" i="3"/>
  <c r="AT16" i="3"/>
  <c r="AN17" i="3"/>
  <c r="H18" i="3"/>
  <c r="Z18" i="3"/>
  <c r="AA19" i="3"/>
  <c r="AL20" i="3"/>
  <c r="H21" i="3"/>
  <c r="X21" i="3"/>
  <c r="AI22" i="3"/>
  <c r="L23" i="3"/>
  <c r="L27" i="3"/>
  <c r="D28" i="3"/>
  <c r="D29" i="3"/>
  <c r="N30" i="3"/>
  <c r="O31" i="3"/>
  <c r="R32" i="3"/>
  <c r="K33" i="3"/>
  <c r="AJ33" i="3"/>
  <c r="L34" i="3"/>
  <c r="AK34" i="3"/>
  <c r="L35" i="3"/>
  <c r="AL35" i="3"/>
  <c r="M36" i="3"/>
  <c r="AL36" i="3"/>
  <c r="O37" i="3"/>
  <c r="AU37" i="3"/>
  <c r="U40" i="3"/>
  <c r="G41" i="3"/>
  <c r="Z42" i="3"/>
  <c r="AQ43" i="3"/>
  <c r="N48" i="3"/>
  <c r="C50" i="3"/>
  <c r="AR51" i="3"/>
  <c r="AK52" i="3"/>
  <c r="AD53" i="3"/>
  <c r="AR55" i="3"/>
  <c r="AT58" i="3"/>
  <c r="Z67" i="3"/>
  <c r="Y97" i="3"/>
  <c r="B7" i="3"/>
  <c r="L7" i="3"/>
  <c r="Y7" i="3"/>
  <c r="AL7" i="3"/>
  <c r="B8" i="3"/>
  <c r="M8" i="3"/>
  <c r="AE8" i="3"/>
  <c r="C9" i="3"/>
  <c r="U9" i="3"/>
  <c r="AH9" i="3"/>
  <c r="AR9" i="3"/>
  <c r="I10" i="3"/>
  <c r="V10" i="3"/>
  <c r="AH10" i="3"/>
  <c r="AS10" i="3"/>
  <c r="J11" i="3"/>
  <c r="V11" i="3"/>
  <c r="AB11" i="3"/>
  <c r="AN11" i="3"/>
  <c r="E12" i="3"/>
  <c r="R12" i="3"/>
  <c r="AB12" i="3"/>
  <c r="AJ12" i="3"/>
  <c r="F13" i="3"/>
  <c r="R13" i="3"/>
  <c r="AC13" i="3"/>
  <c r="AP13" i="3"/>
  <c r="AU13" i="3"/>
  <c r="L14" i="3"/>
  <c r="X14" i="3"/>
  <c r="AK14" i="3"/>
  <c r="B15" i="3"/>
  <c r="L15" i="3"/>
  <c r="AD15" i="3"/>
  <c r="E16" i="3"/>
  <c r="AH16" i="3"/>
  <c r="H17" i="3"/>
  <c r="X17" i="3"/>
  <c r="AQ18" i="3"/>
  <c r="F20" i="3"/>
  <c r="V20" i="3"/>
  <c r="AN20" i="3"/>
  <c r="C22" i="3"/>
  <c r="AH28" i="3"/>
  <c r="AJ30" i="3"/>
  <c r="R38" i="3"/>
  <c r="W40" i="3"/>
  <c r="K43" i="3"/>
  <c r="C49" i="3"/>
  <c r="S49" i="3"/>
  <c r="AL50" i="3"/>
  <c r="H51" i="3"/>
  <c r="Z51" i="3"/>
  <c r="S52" i="3"/>
  <c r="AE53" i="3"/>
  <c r="AC54" i="3"/>
  <c r="X55" i="3"/>
  <c r="AS55" i="3"/>
  <c r="S56" i="3"/>
  <c r="V57" i="3"/>
  <c r="AT57" i="3"/>
  <c r="W58" i="3"/>
  <c r="H60" i="3"/>
  <c r="T61" i="3"/>
  <c r="B62" i="3"/>
  <c r="AH62" i="3"/>
  <c r="AR63" i="3"/>
  <c r="J68" i="3"/>
  <c r="AL69" i="3"/>
  <c r="X70" i="3"/>
  <c r="K71" i="3"/>
  <c r="AJ72" i="3"/>
  <c r="V73" i="3"/>
  <c r="I74" i="3"/>
  <c r="W76" i="3"/>
  <c r="J77" i="3"/>
  <c r="AS78" i="3"/>
  <c r="AS79" i="3"/>
  <c r="E81" i="3"/>
  <c r="H83" i="3"/>
  <c r="AU89" i="3"/>
  <c r="AQ92" i="3"/>
  <c r="AB97" i="3"/>
  <c r="AO101" i="3"/>
  <c r="E47" i="3"/>
  <c r="AQ49" i="3"/>
  <c r="AR50" i="3"/>
  <c r="Y52" i="3"/>
  <c r="AC56" i="3"/>
  <c r="I58" i="3"/>
  <c r="T60" i="3"/>
  <c r="AA63" i="3"/>
  <c r="AQ67" i="3"/>
  <c r="R69" i="3"/>
  <c r="AA71" i="3"/>
  <c r="W80" i="3"/>
  <c r="W82" i="3"/>
  <c r="R99" i="3"/>
  <c r="D7" i="3"/>
  <c r="O7" i="3"/>
  <c r="AB7" i="3"/>
  <c r="AI7" i="3"/>
  <c r="AT7" i="3"/>
  <c r="J8" i="3"/>
  <c r="W8" i="3"/>
  <c r="AJ8" i="3"/>
  <c r="AO8" i="3"/>
  <c r="F9" i="3"/>
  <c r="K9" i="3"/>
  <c r="X9" i="3"/>
  <c r="AJ9" i="3"/>
  <c r="AU9" i="3"/>
  <c r="S10" i="3"/>
  <c r="AD10" i="3"/>
  <c r="AP10" i="3"/>
  <c r="L11" i="3"/>
  <c r="Y11" i="3"/>
  <c r="AD11" i="3"/>
  <c r="AQ11" i="3"/>
  <c r="H12" i="3"/>
  <c r="T12" i="3"/>
  <c r="AE12" i="3"/>
  <c r="AR12" i="3"/>
  <c r="H13" i="3"/>
  <c r="Z13" i="3"/>
  <c r="AR13" i="3"/>
  <c r="I14" i="3"/>
  <c r="V14" i="3"/>
  <c r="AH14" i="3"/>
  <c r="AS14" i="3"/>
  <c r="D15" i="3"/>
  <c r="O15" i="3"/>
  <c r="V15" i="3"/>
  <c r="AI15" i="3"/>
  <c r="W16" i="3"/>
  <c r="L17" i="3"/>
  <c r="AB17" i="3"/>
  <c r="B20" i="3"/>
  <c r="T20" i="3"/>
  <c r="AJ20" i="3"/>
  <c r="AK21" i="3"/>
  <c r="G22" i="3"/>
  <c r="S23" i="3"/>
  <c r="T27" i="3"/>
  <c r="T28" i="3"/>
  <c r="U29" i="3"/>
  <c r="V30" i="3"/>
  <c r="V31" i="3"/>
  <c r="W32" i="3"/>
  <c r="J37" i="3"/>
  <c r="AS39" i="3"/>
  <c r="AH41" i="3"/>
  <c r="U43" i="3"/>
  <c r="V47" i="3"/>
  <c r="AO48" i="3"/>
  <c r="AA49" i="3"/>
  <c r="AB50" i="3"/>
  <c r="S51" i="3"/>
  <c r="Z52" i="3"/>
  <c r="W53" i="3"/>
  <c r="R54" i="3"/>
  <c r="I56" i="3"/>
  <c r="H57" i="3"/>
  <c r="L58" i="3"/>
  <c r="N59" i="3"/>
  <c r="E61" i="3"/>
  <c r="AL95" i="3"/>
  <c r="B16" i="3"/>
  <c r="AS16" i="3"/>
  <c r="O18" i="3"/>
  <c r="R19" i="3"/>
  <c r="D20" i="3"/>
  <c r="E21" i="3"/>
  <c r="N22" i="3"/>
  <c r="AH22" i="3"/>
  <c r="B23" i="3"/>
  <c r="AL23" i="3"/>
  <c r="AM27" i="3"/>
  <c r="AN28" i="3"/>
  <c r="D30" i="3"/>
  <c r="D31" i="3"/>
  <c r="E32" i="3"/>
  <c r="AP32" i="3"/>
  <c r="T33" i="3"/>
  <c r="H34" i="3"/>
  <c r="AE34" i="3"/>
  <c r="H35" i="3"/>
  <c r="AH35" i="3"/>
  <c r="I36" i="3"/>
  <c r="AH36" i="3"/>
  <c r="AP37" i="3"/>
  <c r="M39" i="3"/>
  <c r="AD40" i="3"/>
  <c r="S42" i="3"/>
  <c r="AL43" i="3"/>
  <c r="Y48" i="3"/>
  <c r="AU50" i="3"/>
  <c r="T51" i="3"/>
  <c r="AN54" i="3"/>
  <c r="I57" i="3"/>
  <c r="AM58" i="3"/>
  <c r="AH63" i="3"/>
  <c r="AT95" i="3"/>
  <c r="F7" i="3"/>
  <c r="R7" i="3"/>
  <c r="X7" i="3"/>
  <c r="AJ7" i="3"/>
  <c r="AU7" i="3"/>
  <c r="L8" i="3"/>
  <c r="X8" i="3"/>
  <c r="AK8" i="3"/>
  <c r="G9" i="3"/>
  <c r="T9" i="3"/>
  <c r="AL9" i="3"/>
  <c r="B10" i="3"/>
  <c r="M10" i="3"/>
  <c r="Z10" i="3"/>
  <c r="AL10" i="3"/>
  <c r="H11" i="3"/>
  <c r="U11" i="3"/>
  <c r="AH11" i="3"/>
  <c r="AR11" i="3"/>
  <c r="I12" i="3"/>
  <c r="V12" i="3"/>
  <c r="AA12" i="3"/>
  <c r="AN12" i="3"/>
  <c r="D13" i="3"/>
  <c r="J13" i="3"/>
  <c r="V13" i="3"/>
  <c r="AI13" i="3"/>
  <c r="AT13" i="3"/>
  <c r="J14" i="3"/>
  <c r="W14" i="3"/>
  <c r="AJ14" i="3"/>
  <c r="F15" i="3"/>
  <c r="R15" i="3"/>
  <c r="AC15" i="3"/>
  <c r="AQ15" i="3"/>
  <c r="AE16" i="3"/>
  <c r="M17" i="3"/>
  <c r="X18" i="3"/>
  <c r="AP18" i="3"/>
  <c r="J19" i="3"/>
  <c r="K20" i="3"/>
  <c r="AC20" i="3"/>
  <c r="AN21" i="3"/>
  <c r="AT21" i="3"/>
  <c r="R22" i="3"/>
  <c r="AD23" i="3"/>
  <c r="AD27" i="3"/>
  <c r="AE28" i="3"/>
  <c r="AH29" i="3"/>
  <c r="AH30" i="3"/>
  <c r="X31" i="3"/>
  <c r="AJ32" i="3"/>
  <c r="O38" i="3"/>
  <c r="AM41" i="3"/>
  <c r="J43" i="3"/>
  <c r="AS47" i="3"/>
  <c r="R49" i="3"/>
  <c r="AI50" i="3"/>
  <c r="AQ51" i="3"/>
  <c r="Y54" i="3"/>
  <c r="AQ55" i="3"/>
  <c r="AN56" i="3"/>
  <c r="T97" i="3"/>
  <c r="S16" i="3"/>
  <c r="B18" i="3"/>
  <c r="R18" i="3"/>
  <c r="AK19" i="3"/>
  <c r="AT20" i="3"/>
  <c r="N21" i="3"/>
  <c r="Y22" i="3"/>
  <c r="AQ22" i="3"/>
  <c r="C27" i="3"/>
  <c r="M28" i="3"/>
  <c r="N29" i="3"/>
  <c r="E30" i="3"/>
  <c r="F31" i="3"/>
  <c r="F32" i="3"/>
  <c r="AT32" i="3"/>
  <c r="X33" i="3"/>
  <c r="AU33" i="3"/>
  <c r="X34" i="3"/>
  <c r="B35" i="3"/>
  <c r="Y35" i="3"/>
  <c r="B36" i="3"/>
  <c r="Z36" i="3"/>
  <c r="C37" i="3"/>
  <c r="AE37" i="3"/>
  <c r="T39" i="3"/>
  <c r="AM40" i="3"/>
  <c r="H42" i="3"/>
  <c r="AA43" i="3"/>
  <c r="M47" i="3"/>
  <c r="AI49" i="3"/>
  <c r="G51" i="3"/>
  <c r="N52" i="3"/>
  <c r="J53" i="3"/>
  <c r="E54" i="3"/>
  <c r="AS57" i="3"/>
  <c r="E60" i="3"/>
  <c r="N63" i="3"/>
  <c r="AR68" i="3"/>
  <c r="J71" i="3"/>
  <c r="AR71" i="3"/>
  <c r="AE72" i="3"/>
  <c r="H74" i="3"/>
  <c r="AQ74" i="3"/>
  <c r="AC75" i="3"/>
  <c r="AR80" i="3"/>
  <c r="AT81" i="3"/>
  <c r="B83" i="3"/>
  <c r="H87" i="3"/>
  <c r="AK89" i="3"/>
  <c r="M91" i="3"/>
  <c r="O94" i="3"/>
  <c r="AJ101" i="3"/>
  <c r="G7" i="3"/>
  <c r="T7" i="3"/>
  <c r="AD7" i="3"/>
  <c r="AQ7" i="3"/>
  <c r="H8" i="3"/>
  <c r="T8" i="3"/>
  <c r="Z8" i="3"/>
  <c r="AL8" i="3"/>
  <c r="AR8" i="3"/>
  <c r="H9" i="3"/>
  <c r="N9" i="3"/>
  <c r="Z9" i="3"/>
  <c r="AM9" i="3"/>
  <c r="D10" i="3"/>
  <c r="N10" i="3"/>
  <c r="AA10" i="3"/>
  <c r="AN10" i="3"/>
  <c r="D11" i="3"/>
  <c r="O11" i="3"/>
  <c r="AI11" i="3"/>
  <c r="AT11" i="3"/>
  <c r="J12" i="3"/>
  <c r="W12" i="3"/>
  <c r="AO12" i="3"/>
  <c r="AT12" i="3"/>
  <c r="K13" i="3"/>
  <c r="X13" i="3"/>
  <c r="AJ13" i="3"/>
  <c r="F14" i="3"/>
  <c r="S14" i="3"/>
  <c r="AD14" i="3"/>
  <c r="AP14" i="3"/>
  <c r="G15" i="3"/>
  <c r="T15" i="3"/>
  <c r="Y15" i="3"/>
  <c r="AR15" i="3"/>
  <c r="AO16" i="3"/>
  <c r="R17" i="3"/>
  <c r="AH17" i="3"/>
  <c r="AI18" i="3"/>
  <c r="E19" i="3"/>
  <c r="N20" i="3"/>
  <c r="AD20" i="3"/>
  <c r="AO21" i="3"/>
  <c r="D23" i="3"/>
  <c r="AE23" i="3"/>
  <c r="AP23" i="3"/>
  <c r="AH27" i="3"/>
  <c r="AQ27" i="3"/>
  <c r="AR28" i="3"/>
  <c r="AI29" i="3"/>
  <c r="AR29" i="3"/>
  <c r="AS30" i="3"/>
  <c r="AJ31" i="3"/>
  <c r="AT31" i="3"/>
  <c r="AK32" i="3"/>
  <c r="AJ38" i="3"/>
  <c r="AK39" i="3"/>
  <c r="E40" i="3"/>
  <c r="X41" i="3"/>
  <c r="AQ42" i="3"/>
  <c r="AD47" i="3"/>
  <c r="AM15" i="3"/>
  <c r="T16" i="3"/>
  <c r="AA16" i="3"/>
  <c r="C18" i="3"/>
  <c r="K18" i="3"/>
  <c r="L19" i="3"/>
  <c r="V19" i="3"/>
  <c r="AD19" i="3"/>
  <c r="AL19" i="3"/>
  <c r="AT19" i="3"/>
  <c r="AU20" i="3"/>
  <c r="I21" i="3"/>
  <c r="S21" i="3"/>
  <c r="T22" i="3"/>
  <c r="AB22" i="3"/>
  <c r="AJ22" i="3"/>
  <c r="AR22" i="3"/>
  <c r="F23" i="3"/>
  <c r="M23" i="3"/>
  <c r="X23" i="3"/>
  <c r="N27" i="3"/>
  <c r="Y27" i="3"/>
  <c r="N28" i="3"/>
  <c r="Z28" i="3"/>
  <c r="O29" i="3"/>
  <c r="Z29" i="3"/>
  <c r="R30" i="3"/>
  <c r="AA30" i="3"/>
  <c r="R31" i="3"/>
  <c r="AB31" i="3"/>
  <c r="S32" i="3"/>
  <c r="AB32" i="3"/>
  <c r="B33" i="3"/>
  <c r="L33" i="3"/>
  <c r="Y33" i="3"/>
  <c r="AL33" i="3"/>
  <c r="B34" i="3"/>
  <c r="M34" i="3"/>
  <c r="Z34" i="3"/>
  <c r="AL34" i="3"/>
  <c r="C35" i="3"/>
  <c r="N35" i="3"/>
  <c r="Z35" i="3"/>
  <c r="AM35" i="3"/>
  <c r="D36" i="3"/>
  <c r="N36" i="3"/>
  <c r="AA36" i="3"/>
  <c r="AN36" i="3"/>
  <c r="D37" i="3"/>
  <c r="AH37" i="3"/>
  <c r="E39" i="3"/>
  <c r="U39" i="3"/>
  <c r="AN40" i="3"/>
  <c r="K42" i="3"/>
  <c r="AA42" i="3"/>
  <c r="AT43" i="3"/>
  <c r="AU47" i="3"/>
  <c r="S48" i="3"/>
  <c r="AI48" i="3"/>
  <c r="AJ49" i="3"/>
  <c r="F50" i="3"/>
  <c r="AU51" i="3"/>
  <c r="AL52" i="3"/>
  <c r="K53" i="3"/>
  <c r="AH53" i="3"/>
  <c r="I54" i="3"/>
  <c r="D55" i="3"/>
  <c r="AS56" i="3"/>
  <c r="W57" i="3"/>
  <c r="Y58" i="3"/>
  <c r="E59" i="3"/>
  <c r="AM60" i="3"/>
  <c r="AI62" i="3"/>
  <c r="O63" i="3"/>
  <c r="AA67" i="3"/>
  <c r="O68" i="3"/>
  <c r="D69" i="3"/>
  <c r="AM69" i="3"/>
  <c r="E72" i="3"/>
  <c r="L74" i="3"/>
  <c r="AT74" i="3"/>
  <c r="D78" i="3"/>
  <c r="E82" i="3"/>
  <c r="N87" i="3"/>
  <c r="AH88" i="3"/>
  <c r="B90" i="3"/>
  <c r="T91" i="3"/>
  <c r="V94" i="3"/>
  <c r="AQ97" i="3"/>
  <c r="K37" i="3"/>
  <c r="K38" i="3"/>
  <c r="AA38" i="3"/>
  <c r="AS38" i="3"/>
  <c r="H40" i="3"/>
  <c r="I41" i="3"/>
  <c r="AA41" i="3"/>
  <c r="AQ41" i="3"/>
  <c r="N43" i="3"/>
  <c r="O47" i="3"/>
  <c r="AE47" i="3"/>
  <c r="AO47" i="3"/>
  <c r="L49" i="3"/>
  <c r="W50" i="3"/>
  <c r="AM50" i="3"/>
  <c r="I51" i="3"/>
  <c r="T52" i="3"/>
  <c r="D53" i="3"/>
  <c r="AK53" i="3"/>
  <c r="AD54" i="3"/>
  <c r="E55" i="3"/>
  <c r="Y55" i="3"/>
  <c r="K56" i="3"/>
  <c r="AH56" i="3"/>
  <c r="N58" i="3"/>
  <c r="O59" i="3"/>
  <c r="I60" i="3"/>
  <c r="Y61" i="3"/>
  <c r="T62" i="3"/>
  <c r="AS67" i="3"/>
  <c r="AE68" i="3"/>
  <c r="K70" i="3"/>
  <c r="AS70" i="3"/>
  <c r="K73" i="3"/>
  <c r="M74" i="3"/>
  <c r="T75" i="3"/>
  <c r="G76" i="3"/>
  <c r="AA80" i="3"/>
  <c r="AI81" i="3"/>
  <c r="I83" i="3"/>
  <c r="AN88" i="3"/>
  <c r="I90" i="3"/>
  <c r="AB91" i="3"/>
  <c r="E93" i="3"/>
  <c r="Y100" i="3"/>
  <c r="E7" i="3"/>
  <c r="M7" i="3"/>
  <c r="W7" i="3"/>
  <c r="AE7" i="3"/>
  <c r="AS7" i="3"/>
  <c r="G8" i="3"/>
  <c r="O8" i="3"/>
  <c r="Y8" i="3"/>
  <c r="AI8" i="3"/>
  <c r="AQ8" i="3"/>
  <c r="AU8" i="3"/>
  <c r="I9" i="3"/>
  <c r="S9" i="3"/>
  <c r="AE9" i="3"/>
  <c r="AO9" i="3"/>
  <c r="C10" i="3"/>
  <c r="K10" i="3"/>
  <c r="U10" i="3"/>
  <c r="AC10" i="3"/>
  <c r="AM10" i="3"/>
  <c r="AU10" i="3"/>
  <c r="I11" i="3"/>
  <c r="S11" i="3"/>
  <c r="AA11" i="3"/>
  <c r="AK11" i="3"/>
  <c r="AS11" i="3"/>
  <c r="G12" i="3"/>
  <c r="O12" i="3"/>
  <c r="U12" i="3"/>
  <c r="AC12" i="3"/>
  <c r="AQ12" i="3"/>
  <c r="E13" i="3"/>
  <c r="M13" i="3"/>
  <c r="W13" i="3"/>
  <c r="AE13" i="3"/>
  <c r="AS13" i="3"/>
  <c r="C14" i="3"/>
  <c r="K14" i="3"/>
  <c r="Y14" i="3"/>
  <c r="AI14" i="3"/>
  <c r="AQ14" i="3"/>
  <c r="E15" i="3"/>
  <c r="M15" i="3"/>
  <c r="W15" i="3"/>
  <c r="AE15" i="3"/>
  <c r="AO15" i="3"/>
  <c r="AS15" i="3"/>
  <c r="G16" i="3"/>
  <c r="O16" i="3"/>
  <c r="Y16" i="3"/>
  <c r="AC16" i="3"/>
  <c r="AM16" i="3"/>
  <c r="AQ16" i="3"/>
  <c r="E17" i="3"/>
  <c r="AD17" i="3"/>
  <c r="AO17" i="3"/>
  <c r="D18" i="3"/>
  <c r="T18" i="3"/>
  <c r="AN18" i="3"/>
  <c r="S19" i="3"/>
  <c r="AB19" i="3"/>
  <c r="AR19" i="3"/>
  <c r="G20" i="3"/>
  <c r="AH20" i="3"/>
  <c r="AQ20" i="3"/>
  <c r="AE21" i="3"/>
  <c r="AP21" i="3"/>
  <c r="J22" i="3"/>
  <c r="AD22" i="3"/>
  <c r="N23" i="3"/>
  <c r="V23" i="3"/>
  <c r="AH23" i="3"/>
  <c r="AS23" i="3"/>
  <c r="J27" i="3"/>
  <c r="V27" i="3"/>
  <c r="AI27" i="3"/>
  <c r="AT27" i="3"/>
  <c r="J28" i="3"/>
  <c r="R28" i="3"/>
  <c r="AB28" i="3"/>
  <c r="AO28" i="3"/>
  <c r="F29" i="3"/>
  <c r="R29" i="3"/>
  <c r="X29" i="3"/>
  <c r="AJ29" i="3"/>
  <c r="AU29" i="3"/>
  <c r="L30" i="3"/>
  <c r="S30" i="3"/>
  <c r="X30" i="3"/>
  <c r="AD30" i="3"/>
  <c r="AK30" i="3"/>
  <c r="AP30" i="3"/>
  <c r="B31" i="3"/>
  <c r="G31" i="3"/>
  <c r="L31" i="3"/>
  <c r="Y31" i="3"/>
  <c r="AD31" i="3"/>
  <c r="AL31" i="3"/>
  <c r="AQ31" i="3"/>
  <c r="B32" i="3"/>
  <c r="H32" i="3"/>
  <c r="M32" i="3"/>
  <c r="T32" i="3"/>
  <c r="Z32" i="3"/>
  <c r="AE32" i="3"/>
  <c r="AL32" i="3"/>
  <c r="AR32" i="3"/>
  <c r="C33" i="3"/>
  <c r="H33" i="3"/>
  <c r="N33" i="3"/>
  <c r="U33" i="3"/>
  <c r="Z33" i="3"/>
  <c r="AH33" i="3"/>
  <c r="AM33" i="3"/>
  <c r="AR33" i="3"/>
  <c r="D34" i="3"/>
  <c r="I34" i="3"/>
  <c r="N34" i="3"/>
  <c r="V34" i="3"/>
  <c r="AA34" i="3"/>
  <c r="AH34" i="3"/>
  <c r="AN34" i="3"/>
  <c r="AS34" i="3"/>
  <c r="D35" i="3"/>
  <c r="J35" i="3"/>
  <c r="O35" i="3"/>
  <c r="V35" i="3"/>
  <c r="AB35" i="3"/>
  <c r="AI35" i="3"/>
  <c r="AN35" i="3"/>
  <c r="AT35" i="3"/>
  <c r="E36" i="3"/>
  <c r="J36" i="3"/>
  <c r="R36" i="3"/>
  <c r="W36" i="3"/>
  <c r="AB36" i="3"/>
  <c r="AJ36" i="3"/>
  <c r="AO36" i="3"/>
  <c r="AT36" i="3"/>
  <c r="F37" i="3"/>
  <c r="AA37" i="3"/>
  <c r="AK37" i="3"/>
  <c r="AQ37" i="3"/>
  <c r="E38" i="3"/>
  <c r="F39" i="3"/>
  <c r="N39" i="3"/>
  <c r="X39" i="3"/>
  <c r="Y40" i="3"/>
  <c r="AI40" i="3"/>
  <c r="AO40" i="3"/>
  <c r="C41" i="3"/>
  <c r="K41" i="3"/>
  <c r="L42" i="3"/>
  <c r="V42" i="3"/>
  <c r="W43" i="3"/>
  <c r="AE43" i="3"/>
  <c r="AO43" i="3"/>
  <c r="AU43" i="3"/>
  <c r="I47" i="3"/>
  <c r="J48" i="3"/>
  <c r="T48" i="3"/>
  <c r="AB48" i="3"/>
  <c r="AC49" i="3"/>
  <c r="AM49" i="3"/>
  <c r="AS49" i="3"/>
  <c r="G50" i="3"/>
  <c r="O50" i="3"/>
  <c r="U51" i="3"/>
  <c r="AD51" i="3"/>
  <c r="L52" i="3"/>
  <c r="AD52" i="3"/>
  <c r="AN52" i="3"/>
  <c r="E53" i="3"/>
  <c r="O53" i="3"/>
  <c r="Y53" i="3"/>
  <c r="AT53" i="3"/>
  <c r="J54" i="3"/>
  <c r="AQ54" i="3"/>
  <c r="R55" i="3"/>
  <c r="AM55" i="3"/>
  <c r="AU56" i="3"/>
  <c r="AM57" i="3"/>
  <c r="E58" i="3"/>
  <c r="O58" i="3"/>
  <c r="AB58" i="3"/>
  <c r="U59" i="3"/>
  <c r="AE59" i="3"/>
  <c r="AS59" i="3"/>
  <c r="AR60" i="3"/>
  <c r="I61" i="3"/>
  <c r="AM61" i="3"/>
  <c r="H62" i="3"/>
  <c r="Y62" i="3"/>
  <c r="AL62" i="3"/>
  <c r="G63" i="3"/>
  <c r="AH67" i="3"/>
  <c r="AM68" i="3"/>
  <c r="E69" i="3"/>
  <c r="Y69" i="3"/>
  <c r="AN69" i="3"/>
  <c r="S71" i="3"/>
  <c r="AH71" i="3"/>
  <c r="F72" i="3"/>
  <c r="AO72" i="3"/>
  <c r="AT73" i="3"/>
  <c r="T74" i="3"/>
  <c r="AI74" i="3"/>
  <c r="G75" i="3"/>
  <c r="V75" i="3"/>
  <c r="AR76" i="3"/>
  <c r="O77" i="3"/>
  <c r="K78" i="3"/>
  <c r="I79" i="3"/>
  <c r="AB79" i="3"/>
  <c r="I80" i="3"/>
  <c r="AJ80" i="3"/>
  <c r="I81" i="3"/>
  <c r="AK82" i="3"/>
  <c r="U83" i="3"/>
  <c r="AP83" i="3"/>
  <c r="Z87" i="3"/>
  <c r="D88" i="3"/>
  <c r="AP88" i="3"/>
  <c r="AB89" i="3"/>
  <c r="I93" i="3"/>
  <c r="AS93" i="3"/>
  <c r="AM94" i="3"/>
  <c r="AB98" i="3"/>
  <c r="Z100" i="3"/>
  <c r="S37" i="3"/>
  <c r="U38" i="3"/>
  <c r="AK38" i="3"/>
  <c r="AT39" i="3"/>
  <c r="S41" i="3"/>
  <c r="AI41" i="3"/>
  <c r="AR42" i="3"/>
  <c r="F43" i="3"/>
  <c r="Y47" i="3"/>
  <c r="C48" i="3"/>
  <c r="D49" i="3"/>
  <c r="M50" i="3"/>
  <c r="AE50" i="3"/>
  <c r="B51" i="3"/>
  <c r="I52" i="3"/>
  <c r="AC52" i="3"/>
  <c r="AP54" i="3"/>
  <c r="O55" i="3"/>
  <c r="B56" i="3"/>
  <c r="W56" i="3"/>
  <c r="L57" i="3"/>
  <c r="AR59" i="3"/>
  <c r="Z60" i="3"/>
  <c r="H61" i="3"/>
  <c r="E63" i="3"/>
  <c r="O67" i="3"/>
  <c r="S68" i="3"/>
  <c r="X69" i="3"/>
  <c r="Z70" i="3"/>
  <c r="AN72" i="3"/>
  <c r="Z73" i="3"/>
  <c r="AL75" i="3"/>
  <c r="X76" i="3"/>
  <c r="F81" i="3"/>
  <c r="AJ82" i="3"/>
  <c r="S89" i="3"/>
  <c r="O92" i="3"/>
  <c r="AN93" i="3"/>
  <c r="T96" i="3"/>
  <c r="Y98" i="3"/>
  <c r="I7" i="3"/>
  <c r="S7" i="3"/>
  <c r="AA7" i="3"/>
  <c r="AK7" i="3"/>
  <c r="AO7" i="3"/>
  <c r="C8" i="3"/>
  <c r="K8" i="3"/>
  <c r="U8" i="3"/>
  <c r="AC8" i="3"/>
  <c r="AM8" i="3"/>
  <c r="E9" i="3"/>
  <c r="M9" i="3"/>
  <c r="W9" i="3"/>
  <c r="AA9" i="3"/>
  <c r="AK9" i="3"/>
  <c r="AS9" i="3"/>
  <c r="G10" i="3"/>
  <c r="O10" i="3"/>
  <c r="Y10" i="3"/>
  <c r="AI10" i="3"/>
  <c r="AQ10" i="3"/>
  <c r="E11" i="3"/>
  <c r="M11" i="3"/>
  <c r="W11" i="3"/>
  <c r="AE11" i="3"/>
  <c r="AO11" i="3"/>
  <c r="C12" i="3"/>
  <c r="K12" i="3"/>
  <c r="Y12" i="3"/>
  <c r="AI12" i="3"/>
  <c r="AM12" i="3"/>
  <c r="AU12" i="3"/>
  <c r="I13" i="3"/>
  <c r="S13" i="3"/>
  <c r="AA13" i="3"/>
  <c r="AK13" i="3"/>
  <c r="AO13" i="3"/>
  <c r="G14" i="3"/>
  <c r="O14" i="3"/>
  <c r="U14" i="3"/>
  <c r="AC14" i="3"/>
  <c r="AM14" i="3"/>
  <c r="AU14" i="3"/>
  <c r="I15" i="3"/>
  <c r="S15" i="3"/>
  <c r="AA15" i="3"/>
  <c r="AK15" i="3"/>
  <c r="C16" i="3"/>
  <c r="K16" i="3"/>
  <c r="U16" i="3"/>
  <c r="AI16" i="3"/>
  <c r="AU16" i="3"/>
  <c r="N17" i="3"/>
  <c r="AC18" i="3"/>
  <c r="H19" i="3"/>
  <c r="R20" i="3"/>
  <c r="F21" i="3"/>
  <c r="V21" i="3"/>
  <c r="U22" i="3"/>
  <c r="AT22" i="3"/>
  <c r="I23" i="3"/>
  <c r="AA23" i="3"/>
  <c r="AN23" i="3"/>
  <c r="D27" i="3"/>
  <c r="O27" i="3"/>
  <c r="AB27" i="3"/>
  <c r="AN27" i="3"/>
  <c r="E28" i="3"/>
  <c r="W28" i="3"/>
  <c r="AJ28" i="3"/>
  <c r="AT28" i="3"/>
  <c r="K29" i="3"/>
  <c r="AC29" i="3"/>
  <c r="AP29" i="3"/>
  <c r="F30" i="3"/>
  <c r="T31" i="3"/>
  <c r="J17" i="3"/>
  <c r="Z17" i="3"/>
  <c r="AK17" i="3"/>
  <c r="AT17" i="3"/>
  <c r="N18" i="3"/>
  <c r="Y18" i="3"/>
  <c r="AJ18" i="3"/>
  <c r="D19" i="3"/>
  <c r="M19" i="3"/>
  <c r="X19" i="3"/>
  <c r="AN19" i="3"/>
  <c r="C20" i="3"/>
  <c r="L20" i="3"/>
  <c r="AB20" i="3"/>
  <c r="AM20" i="3"/>
  <c r="B21" i="3"/>
  <c r="R21" i="3"/>
  <c r="AA21" i="3"/>
  <c r="AL21" i="3"/>
  <c r="F22" i="3"/>
  <c r="O22" i="3"/>
  <c r="Z22" i="3"/>
  <c r="AP22" i="3"/>
  <c r="E23" i="3"/>
  <c r="U37" i="3"/>
  <c r="V38" i="3"/>
  <c r="AD38" i="3"/>
  <c r="AE39" i="3"/>
  <c r="AO39" i="3"/>
  <c r="C40" i="3"/>
  <c r="I40" i="3"/>
  <c r="S40" i="3"/>
  <c r="T41" i="3"/>
  <c r="AB41" i="3"/>
  <c r="AL41" i="3"/>
  <c r="AM42" i="3"/>
  <c r="AU42" i="3"/>
  <c r="G43" i="3"/>
  <c r="O43" i="3"/>
  <c r="Y43" i="3"/>
  <c r="Z47" i="3"/>
  <c r="AJ47" i="3"/>
  <c r="AK48" i="3"/>
  <c r="AS48" i="3"/>
  <c r="G49" i="3"/>
  <c r="M49" i="3"/>
  <c r="W49" i="3"/>
  <c r="X50" i="3"/>
  <c r="AH50" i="3"/>
  <c r="AP50" i="3"/>
  <c r="AP51" i="3"/>
  <c r="C52" i="3"/>
  <c r="U52" i="3"/>
  <c r="AQ52" i="3"/>
  <c r="AL53" i="3"/>
  <c r="B54" i="3"/>
  <c r="K54" i="3"/>
  <c r="I55" i="3"/>
  <c r="S55" i="3"/>
  <c r="AC55" i="3"/>
  <c r="D56" i="3"/>
  <c r="N56" i="3"/>
  <c r="X56" i="3"/>
  <c r="AM56" i="3"/>
  <c r="B57" i="3"/>
  <c r="AB57" i="3"/>
  <c r="AD58" i="3"/>
  <c r="AR58" i="3"/>
  <c r="H59" i="3"/>
  <c r="N60" i="3"/>
  <c r="AA61" i="3"/>
  <c r="Z62" i="3"/>
  <c r="AM62" i="3"/>
  <c r="Y63" i="3"/>
  <c r="AL63" i="3"/>
  <c r="G67" i="3"/>
  <c r="T67" i="3"/>
  <c r="AK67" i="3"/>
  <c r="E68" i="3"/>
  <c r="AS69" i="3"/>
  <c r="L70" i="3"/>
  <c r="AH70" i="3"/>
  <c r="AU70" i="3"/>
  <c r="U71" i="3"/>
  <c r="Z72" i="3"/>
  <c r="M73" i="3"/>
  <c r="AI73" i="3"/>
  <c r="AU73" i="3"/>
  <c r="AA75" i="3"/>
  <c r="AP75" i="3"/>
  <c r="M76" i="3"/>
  <c r="AB76" i="3"/>
  <c r="T77" i="3"/>
  <c r="AI78" i="3"/>
  <c r="J79" i="3"/>
  <c r="AK79" i="3"/>
  <c r="O82" i="3"/>
  <c r="AQ83" i="3"/>
  <c r="AB87" i="3"/>
  <c r="R88" i="3"/>
  <c r="AQ88" i="3"/>
  <c r="J90" i="3"/>
  <c r="AU90" i="3"/>
  <c r="AN91" i="3"/>
  <c r="X92" i="3"/>
  <c r="F95" i="3"/>
  <c r="AK96" i="3"/>
  <c r="AL15" i="3"/>
  <c r="AP15" i="3"/>
  <c r="AT15" i="3"/>
  <c r="D16" i="3"/>
  <c r="H16" i="3"/>
  <c r="L16" i="3"/>
  <c r="R16" i="3"/>
  <c r="V16" i="3"/>
  <c r="Z16" i="3"/>
  <c r="AD16" i="3"/>
  <c r="AJ16" i="3"/>
  <c r="AN16" i="3"/>
  <c r="AR16" i="3"/>
  <c r="B17" i="3"/>
  <c r="F17" i="3"/>
  <c r="V17" i="3"/>
  <c r="AE17" i="3"/>
  <c r="AP17" i="3"/>
  <c r="J18" i="3"/>
  <c r="U18" i="3"/>
  <c r="AD18" i="3"/>
  <c r="AT18" i="3"/>
  <c r="I19" i="3"/>
  <c r="T19" i="3"/>
  <c r="AJ19" i="3"/>
  <c r="AS19" i="3"/>
  <c r="H20" i="3"/>
  <c r="X20" i="3"/>
  <c r="AI20" i="3"/>
  <c r="AR20" i="3"/>
  <c r="L21" i="3"/>
  <c r="W21" i="3"/>
  <c r="AH21" i="3"/>
  <c r="B22" i="3"/>
  <c r="K22" i="3"/>
  <c r="V22" i="3"/>
  <c r="AL22" i="3"/>
  <c r="AU22" i="3"/>
  <c r="J23" i="3"/>
  <c r="R23" i="3"/>
  <c r="W23" i="3"/>
  <c r="AB23" i="3"/>
  <c r="AJ23" i="3"/>
  <c r="AO23" i="3"/>
  <c r="AT23" i="3"/>
  <c r="F27" i="3"/>
  <c r="K27" i="3"/>
  <c r="R27" i="3"/>
  <c r="X27" i="3"/>
  <c r="AC27" i="3"/>
  <c r="AJ27" i="3"/>
  <c r="AP27" i="3"/>
  <c r="AU27" i="3"/>
  <c r="F28" i="3"/>
  <c r="L28" i="3"/>
  <c r="S28" i="3"/>
  <c r="X28" i="3"/>
  <c r="AD28" i="3"/>
  <c r="AK28" i="3"/>
  <c r="AP28" i="3"/>
  <c r="B29" i="3"/>
  <c r="G29" i="3"/>
  <c r="L29" i="3"/>
  <c r="T29" i="3"/>
  <c r="Y29" i="3"/>
  <c r="AD29" i="3"/>
  <c r="AL29" i="3"/>
  <c r="AQ29" i="3"/>
  <c r="B30" i="3"/>
  <c r="H30" i="3"/>
  <c r="M30" i="3"/>
  <c r="T30" i="3"/>
  <c r="Z30" i="3"/>
  <c r="AE30" i="3"/>
  <c r="AL30" i="3"/>
  <c r="AR30" i="3"/>
  <c r="C31" i="3"/>
  <c r="H31" i="3"/>
  <c r="N31" i="3"/>
  <c r="U31" i="3"/>
  <c r="Z31" i="3"/>
  <c r="AH31" i="3"/>
  <c r="AM31" i="3"/>
  <c r="AR31" i="3"/>
  <c r="D32" i="3"/>
  <c r="I32" i="3"/>
  <c r="N32" i="3"/>
  <c r="V32" i="3"/>
  <c r="AA32" i="3"/>
  <c r="AH32" i="3"/>
  <c r="AN32" i="3"/>
  <c r="AS32" i="3"/>
  <c r="D33" i="3"/>
  <c r="J33" i="3"/>
  <c r="O33" i="3"/>
  <c r="V33" i="3"/>
  <c r="AB33" i="3"/>
  <c r="AI33" i="3"/>
  <c r="AN33" i="3"/>
  <c r="AT33" i="3"/>
  <c r="E34" i="3"/>
  <c r="J34" i="3"/>
  <c r="R34" i="3"/>
  <c r="W34" i="3"/>
  <c r="AB34" i="3"/>
  <c r="AJ34" i="3"/>
  <c r="AO34" i="3"/>
  <c r="AT34" i="3"/>
  <c r="F35" i="3"/>
  <c r="K35" i="3"/>
  <c r="R35" i="3"/>
  <c r="X35" i="3"/>
  <c r="AC35" i="3"/>
  <c r="AJ35" i="3"/>
  <c r="AP35" i="3"/>
  <c r="AU35" i="3"/>
  <c r="F36" i="3"/>
  <c r="L36" i="3"/>
  <c r="S36" i="3"/>
  <c r="X36" i="3"/>
  <c r="AD36" i="3"/>
  <c r="AK36" i="3"/>
  <c r="AP36" i="3"/>
  <c r="B37" i="3"/>
  <c r="G37" i="3"/>
  <c r="M37" i="3"/>
  <c r="AB37" i="3"/>
  <c r="AL37" i="3"/>
  <c r="AT37" i="3"/>
  <c r="AU38" i="3"/>
  <c r="I39" i="3"/>
  <c r="O39" i="3"/>
  <c r="Y39" i="3"/>
  <c r="AI39" i="3"/>
  <c r="AJ40" i="3"/>
  <c r="AR40" i="3"/>
  <c r="AS41" i="3"/>
  <c r="G42" i="3"/>
  <c r="O42" i="3"/>
  <c r="W42" i="3"/>
  <c r="AE42" i="3"/>
  <c r="AH43" i="3"/>
  <c r="AP43" i="3"/>
  <c r="D47" i="3"/>
  <c r="E48" i="3"/>
  <c r="M48" i="3"/>
  <c r="U48" i="3"/>
  <c r="AC48" i="3"/>
  <c r="AM48" i="3"/>
  <c r="AN49" i="3"/>
  <c r="B50" i="3"/>
  <c r="D51" i="3"/>
  <c r="M51" i="3"/>
  <c r="AE51" i="3"/>
  <c r="D52" i="3"/>
  <c r="M52" i="3"/>
  <c r="X52" i="3"/>
  <c r="AE52" i="3"/>
  <c r="F53" i="3"/>
  <c r="R53" i="3"/>
  <c r="AC53" i="3"/>
  <c r="AM53" i="3"/>
  <c r="D54" i="3"/>
  <c r="X54" i="3"/>
  <c r="AS54" i="3"/>
  <c r="AP55" i="3"/>
  <c r="Y56" i="3"/>
  <c r="O57" i="3"/>
  <c r="AN57" i="3"/>
  <c r="G58" i="3"/>
  <c r="AE58" i="3"/>
  <c r="AS58" i="3"/>
  <c r="I59" i="3"/>
  <c r="V59" i="3"/>
  <c r="AK59" i="3"/>
  <c r="AT59" i="3"/>
  <c r="O60" i="3"/>
  <c r="AB60" i="3"/>
  <c r="AS60" i="3"/>
  <c r="N61" i="3"/>
  <c r="AR61" i="3"/>
  <c r="I62" i="3"/>
  <c r="H63" i="3"/>
  <c r="Y67" i="3"/>
  <c r="H68" i="3"/>
  <c r="AP68" i="3"/>
  <c r="L69" i="3"/>
  <c r="AC69" i="3"/>
  <c r="F71" i="3"/>
  <c r="AO71" i="3"/>
  <c r="G72" i="3"/>
  <c r="AA72" i="3"/>
  <c r="U74" i="3"/>
  <c r="AO74" i="3"/>
  <c r="H75" i="3"/>
  <c r="AQ75" i="3"/>
  <c r="AI76" i="3"/>
  <c r="B77" i="3"/>
  <c r="X77" i="3"/>
  <c r="AO77" i="3"/>
  <c r="AM79" i="3"/>
  <c r="AM80" i="3"/>
  <c r="AO82" i="3"/>
  <c r="G87" i="3"/>
  <c r="AH89" i="3"/>
  <c r="U90" i="3"/>
  <c r="AO91" i="3"/>
  <c r="AA92" i="3"/>
  <c r="S93" i="3"/>
  <c r="L94" i="3"/>
  <c r="AL96" i="3"/>
  <c r="AC98" i="3"/>
  <c r="AH100" i="3"/>
  <c r="E103" i="3"/>
  <c r="L95" i="3"/>
  <c r="AU96" i="3"/>
  <c r="AN98" i="3"/>
  <c r="AM99" i="3"/>
  <c r="AU100" i="3"/>
  <c r="AS101" i="3"/>
  <c r="G103" i="3"/>
  <c r="X37" i="3"/>
  <c r="AI37" i="3"/>
  <c r="C38" i="3"/>
  <c r="L38" i="3"/>
  <c r="W38" i="3"/>
  <c r="AM38" i="3"/>
  <c r="B39" i="3"/>
  <c r="K39" i="3"/>
  <c r="AA39" i="3"/>
  <c r="AL39" i="3"/>
  <c r="AU39" i="3"/>
  <c r="O40" i="3"/>
  <c r="Z40" i="3"/>
  <c r="AK40" i="3"/>
  <c r="E41" i="3"/>
  <c r="N41" i="3"/>
  <c r="Y41" i="3"/>
  <c r="AO41" i="3"/>
  <c r="D42" i="3"/>
  <c r="M42" i="3"/>
  <c r="AC42" i="3"/>
  <c r="AN42" i="3"/>
  <c r="C43" i="3"/>
  <c r="S43" i="3"/>
  <c r="AB43" i="3"/>
  <c r="AM43" i="3"/>
  <c r="G47" i="3"/>
  <c r="R47" i="3"/>
  <c r="AA47" i="3"/>
  <c r="AQ47" i="3"/>
  <c r="F48" i="3"/>
  <c r="O48" i="3"/>
  <c r="AE48" i="3"/>
  <c r="AP48" i="3"/>
  <c r="E49" i="3"/>
  <c r="U49" i="3"/>
  <c r="AD49" i="3"/>
  <c r="AO49" i="3"/>
  <c r="I50" i="3"/>
  <c r="T50" i="3"/>
  <c r="AC50" i="3"/>
  <c r="J51" i="3"/>
  <c r="O51" i="3"/>
  <c r="V51" i="3"/>
  <c r="AA51" i="3"/>
  <c r="AI51" i="3"/>
  <c r="AN51" i="3"/>
  <c r="AS51" i="3"/>
  <c r="V52" i="3"/>
  <c r="AI52" i="3"/>
  <c r="AO52" i="3"/>
  <c r="AU52" i="3"/>
  <c r="L53" i="3"/>
  <c r="AA53" i="3"/>
  <c r="AO53" i="3"/>
  <c r="F54" i="3"/>
  <c r="T54" i="3"/>
  <c r="AI54" i="3"/>
  <c r="AT54" i="3"/>
  <c r="F55" i="3"/>
  <c r="L55" i="3"/>
  <c r="T55" i="3"/>
  <c r="Z55" i="3"/>
  <c r="AN55" i="3"/>
  <c r="AT55" i="3"/>
  <c r="F56" i="3"/>
  <c r="L56" i="3"/>
  <c r="AI56" i="3"/>
  <c r="AO56" i="3"/>
  <c r="C57" i="3"/>
  <c r="J57" i="3"/>
  <c r="R57" i="3"/>
  <c r="Z57" i="3"/>
  <c r="C58" i="3"/>
  <c r="R58" i="3"/>
  <c r="Z58" i="3"/>
  <c r="AH58" i="3"/>
  <c r="AO58" i="3"/>
  <c r="AH59" i="3"/>
  <c r="AO59" i="3"/>
  <c r="J60" i="3"/>
  <c r="AN60" i="3"/>
  <c r="C61" i="3"/>
  <c r="J61" i="3"/>
  <c r="U61" i="3"/>
  <c r="AD61" i="3"/>
  <c r="C62" i="3"/>
  <c r="J62" i="3"/>
  <c r="J63" i="3"/>
  <c r="U63" i="3"/>
  <c r="AD63" i="3"/>
  <c r="AM63" i="3"/>
  <c r="B67" i="3"/>
  <c r="U67" i="3"/>
  <c r="AD67" i="3"/>
  <c r="AM67" i="3"/>
  <c r="C68" i="3"/>
  <c r="X68" i="3"/>
  <c r="AJ68" i="3"/>
  <c r="AS68" i="3"/>
  <c r="I69" i="3"/>
  <c r="AD69" i="3"/>
  <c r="F70" i="3"/>
  <c r="R70" i="3"/>
  <c r="AA70" i="3"/>
  <c r="AM70" i="3"/>
  <c r="L71" i="3"/>
  <c r="AI71" i="3"/>
  <c r="AT71" i="3"/>
  <c r="U72" i="3"/>
  <c r="AP72" i="3"/>
  <c r="F73" i="3"/>
  <c r="AB73" i="3"/>
  <c r="C74" i="3"/>
  <c r="AJ74" i="3"/>
  <c r="I75" i="3"/>
  <c r="AI75" i="3"/>
  <c r="R76" i="3"/>
  <c r="AP76" i="3"/>
  <c r="AB77" i="3"/>
  <c r="S78" i="3"/>
  <c r="AU78" i="3"/>
  <c r="AT79" i="3"/>
  <c r="O80" i="3"/>
  <c r="AS80" i="3"/>
  <c r="N81" i="3"/>
  <c r="AA81" i="3"/>
  <c r="I82" i="3"/>
  <c r="Z82" i="3"/>
  <c r="AQ82" i="3"/>
  <c r="AT83" i="3"/>
  <c r="O87" i="3"/>
  <c r="AJ87" i="3"/>
  <c r="AR88" i="3"/>
  <c r="K90" i="3"/>
  <c r="AH90" i="3"/>
  <c r="E91" i="3"/>
  <c r="AC91" i="3"/>
  <c r="F93" i="3"/>
  <c r="X93" i="3"/>
  <c r="D94" i="3"/>
  <c r="AU98" i="3"/>
  <c r="C100" i="3"/>
  <c r="I37" i="3"/>
  <c r="T37" i="3"/>
  <c r="AC37" i="3"/>
  <c r="AS37" i="3"/>
  <c r="H38" i="3"/>
  <c r="S38" i="3"/>
  <c r="AI38" i="3"/>
  <c r="AR38" i="3"/>
  <c r="G39" i="3"/>
  <c r="W39" i="3"/>
  <c r="AH39" i="3"/>
  <c r="AQ39" i="3"/>
  <c r="K40" i="3"/>
  <c r="V40" i="3"/>
  <c r="AE40" i="3"/>
  <c r="AU40" i="3"/>
  <c r="J41" i="3"/>
  <c r="U41" i="3"/>
  <c r="AK41" i="3"/>
  <c r="AT41" i="3"/>
  <c r="I42" i="3"/>
  <c r="Y42" i="3"/>
  <c r="AJ42" i="3"/>
  <c r="AS42" i="3"/>
  <c r="M43" i="3"/>
  <c r="X43" i="3"/>
  <c r="AI43" i="3"/>
  <c r="C47" i="3"/>
  <c r="L47" i="3"/>
  <c r="W47" i="3"/>
  <c r="AM47" i="3"/>
  <c r="B48" i="3"/>
  <c r="K48" i="3"/>
  <c r="AA48" i="3"/>
  <c r="AL48" i="3"/>
  <c r="AU48" i="3"/>
  <c r="O49" i="3"/>
  <c r="Z49" i="3"/>
  <c r="AK49" i="3"/>
  <c r="E50" i="3"/>
  <c r="N50" i="3"/>
  <c r="Y50" i="3"/>
  <c r="AO50" i="3"/>
  <c r="AT50" i="3"/>
  <c r="E51" i="3"/>
  <c r="AT51" i="3"/>
  <c r="E52" i="3"/>
  <c r="J52" i="3"/>
  <c r="O52" i="3"/>
  <c r="W52" i="3"/>
  <c r="AB52" i="3"/>
  <c r="G53" i="3"/>
  <c r="AU53" i="3"/>
  <c r="G54" i="3"/>
  <c r="M54" i="3"/>
  <c r="AA54" i="3"/>
  <c r="AO54" i="3"/>
  <c r="AU54" i="3"/>
  <c r="G55" i="3"/>
  <c r="M55" i="3"/>
  <c r="U55" i="3"/>
  <c r="AI55" i="3"/>
  <c r="AO55" i="3"/>
  <c r="G56" i="3"/>
  <c r="U56" i="3"/>
  <c r="AA56" i="3"/>
  <c r="AQ56" i="3"/>
  <c r="AA57" i="3"/>
  <c r="AI57" i="3"/>
  <c r="J58" i="3"/>
  <c r="S58" i="3"/>
  <c r="AI58" i="3"/>
  <c r="AP58" i="3"/>
  <c r="J59" i="3"/>
  <c r="Z59" i="3"/>
  <c r="AI59" i="3"/>
  <c r="AP59" i="3"/>
  <c r="D60" i="3"/>
  <c r="M60" i="3"/>
  <c r="V60" i="3"/>
  <c r="AE60" i="3"/>
  <c r="M61" i="3"/>
  <c r="V61" i="3"/>
  <c r="AN61" i="3"/>
  <c r="V62" i="3"/>
  <c r="AE62" i="3"/>
  <c r="AN62" i="3"/>
  <c r="C63" i="3"/>
  <c r="L63" i="3"/>
  <c r="AE63" i="3"/>
  <c r="C67" i="3"/>
  <c r="L67" i="3"/>
  <c r="AN67" i="3"/>
  <c r="N68" i="3"/>
  <c r="AK68" i="3"/>
  <c r="W69" i="3"/>
  <c r="AR69" i="3"/>
  <c r="S70" i="3"/>
  <c r="AC70" i="3"/>
  <c r="E71" i="3"/>
  <c r="Z71" i="3"/>
  <c r="AL71" i="3"/>
  <c r="AU71" i="3"/>
  <c r="K72" i="3"/>
  <c r="AH72" i="3"/>
  <c r="H73" i="3"/>
  <c r="T73" i="3"/>
  <c r="AC73" i="3"/>
  <c r="AO73" i="3"/>
  <c r="N74" i="3"/>
  <c r="AK74" i="3"/>
  <c r="B75" i="3"/>
  <c r="W75" i="3"/>
  <c r="AR75" i="3"/>
  <c r="H76" i="3"/>
  <c r="AD76" i="3"/>
  <c r="E77" i="3"/>
  <c r="S77" i="3"/>
  <c r="AP77" i="3"/>
  <c r="I78" i="3"/>
  <c r="AJ78" i="3"/>
  <c r="AI79" i="3"/>
  <c r="AS81" i="3"/>
  <c r="AA82" i="3"/>
  <c r="M83" i="3"/>
  <c r="C87" i="3"/>
  <c r="T87" i="3"/>
  <c r="AK87" i="3"/>
  <c r="AB88" i="3"/>
  <c r="U89" i="3"/>
  <c r="AQ89" i="3"/>
  <c r="AJ90" i="3"/>
  <c r="K91" i="3"/>
  <c r="I92" i="3"/>
  <c r="AB92" i="3"/>
  <c r="AH93" i="3"/>
  <c r="E94" i="3"/>
  <c r="AI94" i="3"/>
  <c r="U95" i="3"/>
  <c r="R96" i="3"/>
  <c r="S97" i="3"/>
  <c r="J99" i="3"/>
  <c r="M101" i="3"/>
  <c r="S102" i="3"/>
  <c r="G17" i="3"/>
  <c r="K17" i="3"/>
  <c r="O17" i="3"/>
  <c r="U17" i="3"/>
  <c r="Y17" i="3"/>
  <c r="AC17" i="3"/>
  <c r="AI17" i="3"/>
  <c r="AM17" i="3"/>
  <c r="AQ17" i="3"/>
  <c r="AU17" i="3"/>
  <c r="E18" i="3"/>
  <c r="I18" i="3"/>
  <c r="M18" i="3"/>
  <c r="S18" i="3"/>
  <c r="W18" i="3"/>
  <c r="AA18" i="3"/>
  <c r="AE18" i="3"/>
  <c r="AK18" i="3"/>
  <c r="AO18" i="3"/>
  <c r="AS18" i="3"/>
  <c r="C19" i="3"/>
  <c r="G19" i="3"/>
  <c r="K19" i="3"/>
  <c r="O19" i="3"/>
  <c r="U19" i="3"/>
  <c r="Y19" i="3"/>
  <c r="AC19" i="3"/>
  <c r="AI19" i="3"/>
  <c r="AM19" i="3"/>
  <c r="AQ19" i="3"/>
  <c r="AU19" i="3"/>
  <c r="E20" i="3"/>
  <c r="I20" i="3"/>
  <c r="M20" i="3"/>
  <c r="S20" i="3"/>
  <c r="W20" i="3"/>
  <c r="AA20" i="3"/>
  <c r="AE20" i="3"/>
  <c r="AK20" i="3"/>
  <c r="AO20" i="3"/>
  <c r="AS20" i="3"/>
  <c r="C21" i="3"/>
  <c r="G21" i="3"/>
  <c r="K21" i="3"/>
  <c r="O21" i="3"/>
  <c r="U21" i="3"/>
  <c r="Y21" i="3"/>
  <c r="AC21" i="3"/>
  <c r="AI21" i="3"/>
  <c r="AM21" i="3"/>
  <c r="AQ21" i="3"/>
  <c r="AU21" i="3"/>
  <c r="E22" i="3"/>
  <c r="I22" i="3"/>
  <c r="M22" i="3"/>
  <c r="S22" i="3"/>
  <c r="W22" i="3"/>
  <c r="AA22" i="3"/>
  <c r="AE22" i="3"/>
  <c r="AK22" i="3"/>
  <c r="AO22" i="3"/>
  <c r="AS22" i="3"/>
  <c r="C23" i="3"/>
  <c r="G23" i="3"/>
  <c r="K23" i="3"/>
  <c r="O23" i="3"/>
  <c r="U23" i="3"/>
  <c r="Y23" i="3"/>
  <c r="AC23" i="3"/>
  <c r="AI23" i="3"/>
  <c r="AM23" i="3"/>
  <c r="AQ23" i="3"/>
  <c r="AU23" i="3"/>
  <c r="E27" i="3"/>
  <c r="I27" i="3"/>
  <c r="M27" i="3"/>
  <c r="S27" i="3"/>
  <c r="W27" i="3"/>
  <c r="AA27" i="3"/>
  <c r="AE27" i="3"/>
  <c r="AK27" i="3"/>
  <c r="AO27" i="3"/>
  <c r="AS27" i="3"/>
  <c r="C28" i="3"/>
  <c r="G28" i="3"/>
  <c r="K28" i="3"/>
  <c r="O28" i="3"/>
  <c r="U28" i="3"/>
  <c r="Y28" i="3"/>
  <c r="AC28" i="3"/>
  <c r="AI28" i="3"/>
  <c r="AM28" i="3"/>
  <c r="AQ28" i="3"/>
  <c r="AU28" i="3"/>
  <c r="E29" i="3"/>
  <c r="I29" i="3"/>
  <c r="M29" i="3"/>
  <c r="S29" i="3"/>
  <c r="W29" i="3"/>
  <c r="AA29" i="3"/>
  <c r="AE29" i="3"/>
  <c r="AK29" i="3"/>
  <c r="AO29" i="3"/>
  <c r="AS29" i="3"/>
  <c r="C30" i="3"/>
  <c r="G30" i="3"/>
  <c r="K30" i="3"/>
  <c r="O30" i="3"/>
  <c r="U30" i="3"/>
  <c r="Y30" i="3"/>
  <c r="AC30" i="3"/>
  <c r="AI30" i="3"/>
  <c r="AM30" i="3"/>
  <c r="AQ30" i="3"/>
  <c r="AU30" i="3"/>
  <c r="E31" i="3"/>
  <c r="I31" i="3"/>
  <c r="M31" i="3"/>
  <c r="S31" i="3"/>
  <c r="W31" i="3"/>
  <c r="AA31" i="3"/>
  <c r="AE31" i="3"/>
  <c r="AK31" i="3"/>
  <c r="AO31" i="3"/>
  <c r="AS31" i="3"/>
  <c r="C32" i="3"/>
  <c r="G32" i="3"/>
  <c r="K32" i="3"/>
  <c r="O32" i="3"/>
  <c r="U32" i="3"/>
  <c r="Y32" i="3"/>
  <c r="AC32" i="3"/>
  <c r="AI32" i="3"/>
  <c r="AM32" i="3"/>
  <c r="AQ32" i="3"/>
  <c r="AU32" i="3"/>
  <c r="E33" i="3"/>
  <c r="I33" i="3"/>
  <c r="M33" i="3"/>
  <c r="S33" i="3"/>
  <c r="W33" i="3"/>
  <c r="AA33" i="3"/>
  <c r="AE33" i="3"/>
  <c r="AK33" i="3"/>
  <c r="AO33" i="3"/>
  <c r="AS33" i="3"/>
  <c r="C34" i="3"/>
  <c r="G34" i="3"/>
  <c r="K34" i="3"/>
  <c r="O34" i="3"/>
  <c r="U34" i="3"/>
  <c r="Y34" i="3"/>
  <c r="AC34" i="3"/>
  <c r="AI34" i="3"/>
  <c r="AM34" i="3"/>
  <c r="AQ34" i="3"/>
  <c r="AU34" i="3"/>
  <c r="E35" i="3"/>
  <c r="I35" i="3"/>
  <c r="M35" i="3"/>
  <c r="S35" i="3"/>
  <c r="W35" i="3"/>
  <c r="AA35" i="3"/>
  <c r="AE35" i="3"/>
  <c r="AK35" i="3"/>
  <c r="AO35" i="3"/>
  <c r="AS35" i="3"/>
  <c r="C36" i="3"/>
  <c r="G36" i="3"/>
  <c r="K36" i="3"/>
  <c r="O36" i="3"/>
  <c r="U36" i="3"/>
  <c r="Y36" i="3"/>
  <c r="AC36" i="3"/>
  <c r="AI36" i="3"/>
  <c r="AM36" i="3"/>
  <c r="AQ36" i="3"/>
  <c r="AU36" i="3"/>
  <c r="E37" i="3"/>
  <c r="N37" i="3"/>
  <c r="Y37" i="3"/>
  <c r="AO37" i="3"/>
  <c r="D38" i="3"/>
  <c r="M38" i="3"/>
  <c r="AC38" i="3"/>
  <c r="AN38" i="3"/>
  <c r="C39" i="3"/>
  <c r="S39" i="3"/>
  <c r="AB39" i="3"/>
  <c r="AM39" i="3"/>
  <c r="G40" i="3"/>
  <c r="R40" i="3"/>
  <c r="AA40" i="3"/>
  <c r="AQ40" i="3"/>
  <c r="F41" i="3"/>
  <c r="O41" i="3"/>
  <c r="AE41" i="3"/>
  <c r="AP41" i="3"/>
  <c r="E42" i="3"/>
  <c r="U42" i="3"/>
  <c r="AD42" i="3"/>
  <c r="AO42" i="3"/>
  <c r="I43" i="3"/>
  <c r="T43" i="3"/>
  <c r="AC43" i="3"/>
  <c r="AS43" i="3"/>
  <c r="H47" i="3"/>
  <c r="S47" i="3"/>
  <c r="AI47" i="3"/>
  <c r="AR47" i="3"/>
  <c r="G48" i="3"/>
  <c r="W48" i="3"/>
  <c r="AH48" i="3"/>
  <c r="AQ48" i="3"/>
  <c r="K49" i="3"/>
  <c r="V49" i="3"/>
  <c r="AE49" i="3"/>
  <c r="AU49" i="3"/>
  <c r="J50" i="3"/>
  <c r="U50" i="3"/>
  <c r="AK50" i="3"/>
  <c r="F51" i="3"/>
  <c r="K51" i="3"/>
  <c r="R51" i="3"/>
  <c r="X51" i="3"/>
  <c r="AC51" i="3"/>
  <c r="AJ51" i="3"/>
  <c r="AO51" i="3"/>
  <c r="AP52" i="3"/>
  <c r="B53" i="3"/>
  <c r="V53" i="3"/>
  <c r="AB53" i="3"/>
  <c r="AJ53" i="3"/>
  <c r="AP53" i="3"/>
  <c r="H54" i="3"/>
  <c r="N54" i="3"/>
  <c r="V54" i="3"/>
  <c r="AB54" i="3"/>
  <c r="AJ54" i="3"/>
  <c r="N55" i="3"/>
  <c r="AB55" i="3"/>
  <c r="V56" i="3"/>
  <c r="AJ56" i="3"/>
  <c r="AR56" i="3"/>
  <c r="D57" i="3"/>
  <c r="K57" i="3"/>
  <c r="U57" i="3"/>
  <c r="K58" i="3"/>
  <c r="U58" i="3"/>
  <c r="AA58" i="3"/>
  <c r="AJ58" i="3"/>
  <c r="D59" i="3"/>
  <c r="AA59" i="3"/>
  <c r="AQ59" i="3"/>
  <c r="W60" i="3"/>
  <c r="AH60" i="3"/>
  <c r="D61" i="3"/>
  <c r="W61" i="3"/>
  <c r="AH61" i="3"/>
  <c r="AQ61" i="3"/>
  <c r="D62" i="3"/>
  <c r="M62" i="3"/>
  <c r="AQ62" i="3"/>
  <c r="M63" i="3"/>
  <c r="V63" i="3"/>
  <c r="D67" i="3"/>
  <c r="M67" i="3"/>
  <c r="V67" i="3"/>
  <c r="AE67" i="3"/>
  <c r="AP67" i="3"/>
  <c r="D68" i="3"/>
  <c r="Y68" i="3"/>
  <c r="C69" i="3"/>
  <c r="AH69" i="3"/>
  <c r="I70" i="3"/>
  <c r="AE70" i="3"/>
  <c r="AN70" i="3"/>
  <c r="R71" i="3"/>
  <c r="AM71" i="3"/>
  <c r="Y72" i="3"/>
  <c r="AT72" i="3"/>
  <c r="U73" i="3"/>
  <c r="AE73" i="3"/>
  <c r="G74" i="3"/>
  <c r="AB74" i="3"/>
  <c r="AN74" i="3"/>
  <c r="C75" i="3"/>
  <c r="M75" i="3"/>
  <c r="AJ75" i="3"/>
  <c r="J76" i="3"/>
  <c r="V76" i="3"/>
  <c r="AE76" i="3"/>
  <c r="AQ76" i="3"/>
  <c r="AQ77" i="3"/>
  <c r="F79" i="3"/>
  <c r="S79" i="3"/>
  <c r="E80" i="3"/>
  <c r="R80" i="3"/>
  <c r="AI80" i="3"/>
  <c r="O81" i="3"/>
  <c r="AH81" i="3"/>
  <c r="AB82" i="3"/>
  <c r="AU82" i="3"/>
  <c r="T83" i="3"/>
  <c r="F87" i="3"/>
  <c r="AO87" i="3"/>
  <c r="L88" i="3"/>
  <c r="X89" i="3"/>
  <c r="T90" i="3"/>
  <c r="AK90" i="3"/>
  <c r="L91" i="3"/>
  <c r="AD91" i="3"/>
  <c r="J92" i="3"/>
  <c r="G93" i="3"/>
  <c r="AI93" i="3"/>
  <c r="AE95" i="3"/>
  <c r="S96" i="3"/>
  <c r="J98" i="3"/>
  <c r="W100" i="3"/>
  <c r="T101" i="3"/>
  <c r="AB102" i="3"/>
  <c r="W103" i="3"/>
  <c r="AP56" i="3"/>
  <c r="S57" i="3"/>
  <c r="X57" i="3"/>
  <c r="AC57" i="3"/>
  <c r="AK57" i="3"/>
  <c r="AP57" i="3"/>
  <c r="AU57" i="3"/>
  <c r="F58" i="3"/>
  <c r="AU58" i="3"/>
  <c r="F59" i="3"/>
  <c r="K59" i="3"/>
  <c r="R59" i="3"/>
  <c r="X59" i="3"/>
  <c r="AC59" i="3"/>
  <c r="AJ59" i="3"/>
  <c r="K60" i="3"/>
  <c r="AC60" i="3"/>
  <c r="AJ60" i="3"/>
  <c r="AO60" i="3"/>
  <c r="AT60" i="3"/>
  <c r="K61" i="3"/>
  <c r="R61" i="3"/>
  <c r="AO61" i="3"/>
  <c r="AT61" i="3"/>
  <c r="K62" i="3"/>
  <c r="R62" i="3"/>
  <c r="W62" i="3"/>
  <c r="AB62" i="3"/>
  <c r="AT62" i="3"/>
  <c r="W63" i="3"/>
  <c r="AB63" i="3"/>
  <c r="AI63" i="3"/>
  <c r="AO63" i="3"/>
  <c r="AT63" i="3"/>
  <c r="E67" i="3"/>
  <c r="J67" i="3"/>
  <c r="L68" i="3"/>
  <c r="T68" i="3"/>
  <c r="AN68" i="3"/>
  <c r="AT68" i="3"/>
  <c r="G69" i="3"/>
  <c r="T69" i="3"/>
  <c r="AA69" i="3"/>
  <c r="AI69" i="3"/>
  <c r="G70" i="3"/>
  <c r="M70" i="3"/>
  <c r="AI70" i="3"/>
  <c r="AP70" i="3"/>
  <c r="N71" i="3"/>
  <c r="V71" i="3"/>
  <c r="AP71" i="3"/>
  <c r="B72" i="3"/>
  <c r="I72" i="3"/>
  <c r="V72" i="3"/>
  <c r="AC72" i="3"/>
  <c r="AK72" i="3"/>
  <c r="I73" i="3"/>
  <c r="O73" i="3"/>
  <c r="AK73" i="3"/>
  <c r="AR73" i="3"/>
  <c r="R74" i="3"/>
  <c r="X74" i="3"/>
  <c r="AR74" i="3"/>
  <c r="D75" i="3"/>
  <c r="K75" i="3"/>
  <c r="X75" i="3"/>
  <c r="AE75" i="3"/>
  <c r="AM75" i="3"/>
  <c r="K76" i="3"/>
  <c r="S76" i="3"/>
  <c r="AM76" i="3"/>
  <c r="AT76" i="3"/>
  <c r="AK77" i="3"/>
  <c r="AS77" i="3"/>
  <c r="E78" i="3"/>
  <c r="L78" i="3"/>
  <c r="V78" i="3"/>
  <c r="AC78" i="3"/>
  <c r="AN78" i="3"/>
  <c r="AU79" i="3"/>
  <c r="AU80" i="3"/>
  <c r="J81" i="3"/>
  <c r="U81" i="3"/>
  <c r="U82" i="3"/>
  <c r="AC82" i="3"/>
  <c r="Z83" i="3"/>
  <c r="AU83" i="3"/>
  <c r="I87" i="3"/>
  <c r="U87" i="3"/>
  <c r="AH87" i="3"/>
  <c r="I88" i="3"/>
  <c r="V88" i="3"/>
  <c r="B89" i="3"/>
  <c r="K89" i="3"/>
  <c r="C90" i="3"/>
  <c r="AO90" i="3"/>
  <c r="AK91" i="3"/>
  <c r="AU91" i="3"/>
  <c r="R92" i="3"/>
  <c r="AC92" i="3"/>
  <c r="AS92" i="3"/>
  <c r="L93" i="3"/>
  <c r="AA93" i="3"/>
  <c r="AP93" i="3"/>
  <c r="F94" i="3"/>
  <c r="F97" i="3"/>
  <c r="K98" i="3"/>
  <c r="AQ98" i="3"/>
  <c r="E100" i="3"/>
  <c r="AM100" i="3"/>
  <c r="U101" i="3"/>
  <c r="H102" i="3"/>
  <c r="AN102" i="3"/>
  <c r="AA103" i="3"/>
  <c r="AU59" i="3"/>
  <c r="F60" i="3"/>
  <c r="L60" i="3"/>
  <c r="S60" i="3"/>
  <c r="X60" i="3"/>
  <c r="AU60" i="3"/>
  <c r="S61" i="3"/>
  <c r="X61" i="3"/>
  <c r="AC61" i="3"/>
  <c r="AJ61" i="3"/>
  <c r="AU61" i="3"/>
  <c r="F62" i="3"/>
  <c r="AC62" i="3"/>
  <c r="AJ62" i="3"/>
  <c r="AU62" i="3"/>
  <c r="F63" i="3"/>
  <c r="K63" i="3"/>
  <c r="R63" i="3"/>
  <c r="AJ63" i="3"/>
  <c r="K67" i="3"/>
  <c r="R67" i="3"/>
  <c r="W67" i="3"/>
  <c r="AC67" i="3"/>
  <c r="AJ67" i="3"/>
  <c r="AO67" i="3"/>
  <c r="AT67" i="3"/>
  <c r="F68" i="3"/>
  <c r="M68" i="3"/>
  <c r="Z68" i="3"/>
  <c r="AI68" i="3"/>
  <c r="AO68" i="3"/>
  <c r="M69" i="3"/>
  <c r="U69" i="3"/>
  <c r="AO69" i="3"/>
  <c r="B70" i="3"/>
  <c r="V70" i="3"/>
  <c r="AB70" i="3"/>
  <c r="B71" i="3"/>
  <c r="H71" i="3"/>
  <c r="O71" i="3"/>
  <c r="AB71" i="3"/>
  <c r="AK71" i="3"/>
  <c r="AQ71" i="3"/>
  <c r="O72" i="3"/>
  <c r="W72" i="3"/>
  <c r="AQ72" i="3"/>
  <c r="D73" i="3"/>
  <c r="X73" i="3"/>
  <c r="AD73" i="3"/>
  <c r="D74" i="3"/>
  <c r="J74" i="3"/>
  <c r="S74" i="3"/>
  <c r="AD74" i="3"/>
  <c r="AM74" i="3"/>
  <c r="AS74" i="3"/>
  <c r="S75" i="3"/>
  <c r="Y75" i="3"/>
  <c r="AS75" i="3"/>
  <c r="F76" i="3"/>
  <c r="Z76" i="3"/>
  <c r="AH76" i="3"/>
  <c r="F77" i="3"/>
  <c r="M77" i="3"/>
  <c r="W77" i="3"/>
  <c r="AC77" i="3"/>
  <c r="K79" i="3"/>
  <c r="AC79" i="3"/>
  <c r="K80" i="3"/>
  <c r="V80" i="3"/>
  <c r="AC81" i="3"/>
  <c r="AP82" i="3"/>
  <c r="F83" i="3"/>
  <c r="N83" i="3"/>
  <c r="AK83" i="3"/>
  <c r="L87" i="3"/>
  <c r="W87" i="3"/>
  <c r="AI87" i="3"/>
  <c r="AR87" i="3"/>
  <c r="K88" i="3"/>
  <c r="X88" i="3"/>
  <c r="AJ88" i="3"/>
  <c r="Z89" i="3"/>
  <c r="R90" i="3"/>
  <c r="AA90" i="3"/>
  <c r="V91" i="3"/>
  <c r="D92" i="3"/>
  <c r="S92" i="3"/>
  <c r="N93" i="3"/>
  <c r="K94" i="3"/>
  <c r="W94" i="3"/>
  <c r="AU94" i="3"/>
  <c r="V95" i="3"/>
  <c r="AU95" i="3"/>
  <c r="G97" i="3"/>
  <c r="AK97" i="3"/>
  <c r="AS98" i="3"/>
  <c r="K100" i="3"/>
  <c r="AT100" i="3"/>
  <c r="B103" i="3"/>
  <c r="H37" i="3"/>
  <c r="L37" i="3"/>
  <c r="R37" i="3"/>
  <c r="V37" i="3"/>
  <c r="Z37" i="3"/>
  <c r="AD37" i="3"/>
  <c r="AJ37" i="3"/>
  <c r="AN37" i="3"/>
  <c r="AR37" i="3"/>
  <c r="B38" i="3"/>
  <c r="F38" i="3"/>
  <c r="J38" i="3"/>
  <c r="N38" i="3"/>
  <c r="T38" i="3"/>
  <c r="X38" i="3"/>
  <c r="AB38" i="3"/>
  <c r="AH38" i="3"/>
  <c r="AL38" i="3"/>
  <c r="AP38" i="3"/>
  <c r="AT38" i="3"/>
  <c r="D39" i="3"/>
  <c r="H39" i="3"/>
  <c r="L39" i="3"/>
  <c r="R39" i="3"/>
  <c r="V39" i="3"/>
  <c r="Z39" i="3"/>
  <c r="AD39" i="3"/>
  <c r="AJ39" i="3"/>
  <c r="AN39" i="3"/>
  <c r="AR39" i="3"/>
  <c r="B40" i="3"/>
  <c r="F40" i="3"/>
  <c r="J40" i="3"/>
  <c r="N40" i="3"/>
  <c r="T40" i="3"/>
  <c r="X40" i="3"/>
  <c r="AB40" i="3"/>
  <c r="AH40" i="3"/>
  <c r="AL40" i="3"/>
  <c r="AP40" i="3"/>
  <c r="AT40" i="3"/>
  <c r="D41" i="3"/>
  <c r="H41" i="3"/>
  <c r="L41" i="3"/>
  <c r="R41" i="3"/>
  <c r="V41" i="3"/>
  <c r="Z41" i="3"/>
  <c r="AD41" i="3"/>
  <c r="AJ41" i="3"/>
  <c r="AN41" i="3"/>
  <c r="AR41" i="3"/>
  <c r="B42" i="3"/>
  <c r="F42" i="3"/>
  <c r="J42" i="3"/>
  <c r="N42" i="3"/>
  <c r="T42" i="3"/>
  <c r="X42" i="3"/>
  <c r="AB42" i="3"/>
  <c r="AH42" i="3"/>
  <c r="AL42" i="3"/>
  <c r="AP42" i="3"/>
  <c r="AT42" i="3"/>
  <c r="D43" i="3"/>
  <c r="H43" i="3"/>
  <c r="L43" i="3"/>
  <c r="R43" i="3"/>
  <c r="V43" i="3"/>
  <c r="Z43" i="3"/>
  <c r="AD43" i="3"/>
  <c r="AJ43" i="3"/>
  <c r="AN43" i="3"/>
  <c r="AR43" i="3"/>
  <c r="B47" i="3"/>
  <c r="F47" i="3"/>
  <c r="J47" i="3"/>
  <c r="N47" i="3"/>
  <c r="T47" i="3"/>
  <c r="X47" i="3"/>
  <c r="AB47" i="3"/>
  <c r="AH47" i="3"/>
  <c r="AL47" i="3"/>
  <c r="AP47" i="3"/>
  <c r="AT47" i="3"/>
  <c r="D48" i="3"/>
  <c r="H48" i="3"/>
  <c r="L48" i="3"/>
  <c r="R48" i="3"/>
  <c r="V48" i="3"/>
  <c r="Z48" i="3"/>
  <c r="AD48" i="3"/>
  <c r="AJ48" i="3"/>
  <c r="AN48" i="3"/>
  <c r="AR48" i="3"/>
  <c r="B49" i="3"/>
  <c r="F49" i="3"/>
  <c r="J49" i="3"/>
  <c r="N49" i="3"/>
  <c r="T49" i="3"/>
  <c r="X49" i="3"/>
  <c r="AB49" i="3"/>
  <c r="AH49" i="3"/>
  <c r="AL49" i="3"/>
  <c r="AP49" i="3"/>
  <c r="AT49" i="3"/>
  <c r="D50" i="3"/>
  <c r="H50" i="3"/>
  <c r="L50" i="3"/>
  <c r="R50" i="3"/>
  <c r="V50" i="3"/>
  <c r="Z50" i="3"/>
  <c r="AD50" i="3"/>
  <c r="AJ50" i="3"/>
  <c r="AN50" i="3"/>
  <c r="C51" i="3"/>
  <c r="L51" i="3"/>
  <c r="W51" i="3"/>
  <c r="AB51" i="3"/>
  <c r="AM51" i="3"/>
  <c r="B52" i="3"/>
  <c r="K52" i="3"/>
  <c r="R52" i="3"/>
  <c r="AA52" i="3"/>
  <c r="AM52" i="3"/>
  <c r="AR52" i="3"/>
  <c r="C53" i="3"/>
  <c r="I53" i="3"/>
  <c r="N53" i="3"/>
  <c r="U53" i="3"/>
  <c r="Z53" i="3"/>
  <c r="U54" i="3"/>
  <c r="Z54" i="3"/>
  <c r="AE54" i="3"/>
  <c r="AL54" i="3"/>
  <c r="AR54" i="3"/>
  <c r="C55" i="3"/>
  <c r="H55" i="3"/>
  <c r="AE55" i="3"/>
  <c r="C56" i="3"/>
  <c r="H56" i="3"/>
  <c r="M56" i="3"/>
  <c r="T56" i="3"/>
  <c r="AE56" i="3"/>
  <c r="AL56" i="3"/>
  <c r="M57" i="3"/>
  <c r="T57" i="3"/>
  <c r="AE57" i="3"/>
  <c r="AL57" i="3"/>
  <c r="AQ57" i="3"/>
  <c r="B58" i="3"/>
  <c r="T58" i="3"/>
  <c r="AQ58" i="3"/>
  <c r="B59" i="3"/>
  <c r="G59" i="3"/>
  <c r="M59" i="3"/>
  <c r="T59" i="3"/>
  <c r="Y59" i="3"/>
  <c r="AD59" i="3"/>
  <c r="Y60" i="3"/>
  <c r="AD60" i="3"/>
  <c r="AK60" i="3"/>
  <c r="AP60" i="3"/>
  <c r="B61" i="3"/>
  <c r="G61" i="3"/>
  <c r="L61" i="3"/>
  <c r="AK61" i="3"/>
  <c r="G62" i="3"/>
  <c r="L62" i="3"/>
  <c r="S62" i="3"/>
  <c r="X62" i="3"/>
  <c r="AK62" i="3"/>
  <c r="AP62" i="3"/>
  <c r="S63" i="3"/>
  <c r="X63" i="3"/>
  <c r="AK63" i="3"/>
  <c r="AP63" i="3"/>
  <c r="AU63" i="3"/>
  <c r="F67" i="3"/>
  <c r="X67" i="3"/>
  <c r="AU67" i="3"/>
  <c r="U68" i="3"/>
  <c r="AB68" i="3"/>
  <c r="B69" i="3"/>
  <c r="H69" i="3"/>
  <c r="AB69" i="3"/>
  <c r="AJ69" i="3"/>
  <c r="AQ69" i="3"/>
  <c r="H70" i="3"/>
  <c r="O70" i="3"/>
  <c r="W70" i="3"/>
  <c r="AQ70" i="3"/>
  <c r="C71" i="3"/>
  <c r="W71" i="3"/>
  <c r="AD71" i="3"/>
  <c r="D72" i="3"/>
  <c r="J72" i="3"/>
  <c r="AD72" i="3"/>
  <c r="AL72" i="3"/>
  <c r="AS72" i="3"/>
  <c r="J73" i="3"/>
  <c r="S73" i="3"/>
  <c r="Y73" i="3"/>
  <c r="AS73" i="3"/>
  <c r="E74" i="3"/>
  <c r="Y74" i="3"/>
  <c r="AH74" i="3"/>
  <c r="F75" i="3"/>
  <c r="L75" i="3"/>
  <c r="AH75" i="3"/>
  <c r="AN75" i="3"/>
  <c r="AU75" i="3"/>
  <c r="L76" i="3"/>
  <c r="U76" i="3"/>
  <c r="AA76" i="3"/>
  <c r="AU76" i="3"/>
  <c r="G77" i="3"/>
  <c r="AT77" i="3"/>
  <c r="G78" i="3"/>
  <c r="W78" i="3"/>
  <c r="AO78" i="3"/>
  <c r="W79" i="3"/>
  <c r="AH79" i="3"/>
  <c r="AO80" i="3"/>
  <c r="K81" i="3"/>
  <c r="AO81" i="3"/>
  <c r="D82" i="3"/>
  <c r="K82" i="3"/>
  <c r="V82" i="3"/>
  <c r="AH82" i="3"/>
  <c r="G83" i="3"/>
  <c r="AB83" i="3"/>
  <c r="M87" i="3"/>
  <c r="B88" i="3"/>
  <c r="Y88" i="3"/>
  <c r="C89" i="3"/>
  <c r="AA89" i="3"/>
  <c r="E90" i="3"/>
  <c r="AE90" i="3"/>
  <c r="AQ90" i="3"/>
  <c r="G92" i="3"/>
  <c r="AJ92" i="3"/>
  <c r="AT92" i="3"/>
  <c r="O93" i="3"/>
  <c r="AR93" i="3"/>
  <c r="C95" i="3"/>
  <c r="AB95" i="3"/>
  <c r="B96" i="3"/>
  <c r="AJ96" i="3"/>
  <c r="J97" i="3"/>
  <c r="AT98" i="3"/>
  <c r="AI101" i="3"/>
  <c r="N102" i="3"/>
  <c r="AB103" i="3"/>
  <c r="Y78" i="3"/>
  <c r="AD78" i="3"/>
  <c r="AQ78" i="3"/>
  <c r="B79" i="3"/>
  <c r="G79" i="3"/>
  <c r="G80" i="3"/>
  <c r="L80" i="3"/>
  <c r="S80" i="3"/>
  <c r="Y80" i="3"/>
  <c r="AD80" i="3"/>
  <c r="AK80" i="3"/>
  <c r="AK81" i="3"/>
  <c r="AP81" i="3"/>
  <c r="AU81" i="3"/>
  <c r="L82" i="3"/>
  <c r="S82" i="3"/>
  <c r="AD82" i="3"/>
  <c r="AL82" i="3"/>
  <c r="D83" i="3"/>
  <c r="J83" i="3"/>
  <c r="R83" i="3"/>
  <c r="X83" i="3"/>
  <c r="AD83" i="3"/>
  <c r="AR83" i="3"/>
  <c r="J87" i="3"/>
  <c r="R87" i="3"/>
  <c r="X87" i="3"/>
  <c r="AS87" i="3"/>
  <c r="F88" i="3"/>
  <c r="M88" i="3"/>
  <c r="AC88" i="3"/>
  <c r="AL88" i="3"/>
  <c r="F89" i="3"/>
  <c r="L89" i="3"/>
  <c r="V89" i="3"/>
  <c r="AL89" i="3"/>
  <c r="AR89" i="3"/>
  <c r="L90" i="3"/>
  <c r="AS90" i="3"/>
  <c r="F91" i="3"/>
  <c r="X91" i="3"/>
  <c r="AP91" i="3"/>
  <c r="L92" i="3"/>
  <c r="AN92" i="3"/>
  <c r="AB93" i="3"/>
  <c r="G94" i="3"/>
  <c r="AQ94" i="3"/>
  <c r="G95" i="3"/>
  <c r="W95" i="3"/>
  <c r="G96" i="3"/>
  <c r="Y96" i="3"/>
  <c r="AQ96" i="3"/>
  <c r="AT97" i="3"/>
  <c r="R98" i="3"/>
  <c r="AN99" i="3"/>
  <c r="L100" i="3"/>
  <c r="Y101" i="3"/>
  <c r="M103" i="3"/>
  <c r="AI103" i="3"/>
  <c r="B68" i="3"/>
  <c r="K68" i="3"/>
  <c r="V68" i="3"/>
  <c r="AA68" i="3"/>
  <c r="AL68" i="3"/>
  <c r="AU68" i="3"/>
  <c r="J69" i="3"/>
  <c r="O69" i="3"/>
  <c r="Z69" i="3"/>
  <c r="AK69" i="3"/>
  <c r="AT69" i="3"/>
  <c r="E70" i="3"/>
  <c r="N70" i="3"/>
  <c r="Y70" i="3"/>
  <c r="AJ70" i="3"/>
  <c r="AO70" i="3"/>
  <c r="D71" i="3"/>
  <c r="M71" i="3"/>
  <c r="X71" i="3"/>
  <c r="AC71" i="3"/>
  <c r="AN71" i="3"/>
  <c r="C72" i="3"/>
  <c r="L72" i="3"/>
  <c r="S72" i="3"/>
  <c r="AB72" i="3"/>
  <c r="AM72" i="3"/>
  <c r="B73" i="3"/>
  <c r="G73" i="3"/>
  <c r="R73" i="3"/>
  <c r="AA73" i="3"/>
  <c r="AL73" i="3"/>
  <c r="AQ73" i="3"/>
  <c r="F74" i="3"/>
  <c r="O74" i="3"/>
  <c r="Z74" i="3"/>
  <c r="AE74" i="3"/>
  <c r="AP74" i="3"/>
  <c r="E75" i="3"/>
  <c r="N75" i="3"/>
  <c r="U75" i="3"/>
  <c r="AD75" i="3"/>
  <c r="AO75" i="3"/>
  <c r="D76" i="3"/>
  <c r="I76" i="3"/>
  <c r="T76" i="3"/>
  <c r="AC76" i="3"/>
  <c r="AN76" i="3"/>
  <c r="AS76" i="3"/>
  <c r="AE77" i="3"/>
  <c r="C78" i="3"/>
  <c r="H78" i="3"/>
  <c r="M78" i="3"/>
  <c r="AE78" i="3"/>
  <c r="M79" i="3"/>
  <c r="T79" i="3"/>
  <c r="AE79" i="3"/>
  <c r="AL79" i="3"/>
  <c r="AQ79" i="3"/>
  <c r="AQ80" i="3"/>
  <c r="B81" i="3"/>
  <c r="G81" i="3"/>
  <c r="M81" i="3"/>
  <c r="T81" i="3"/>
  <c r="Y81" i="3"/>
  <c r="Y82" i="3"/>
  <c r="AE82" i="3"/>
  <c r="AS82" i="3"/>
  <c r="E83" i="3"/>
  <c r="K83" i="3"/>
  <c r="S83" i="3"/>
  <c r="Y83" i="3"/>
  <c r="AL83" i="3"/>
  <c r="E87" i="3"/>
  <c r="S87" i="3"/>
  <c r="AD87" i="3"/>
  <c r="AM87" i="3"/>
  <c r="W88" i="3"/>
  <c r="AM88" i="3"/>
  <c r="AS88" i="3"/>
  <c r="W89" i="3"/>
  <c r="AD89" i="3"/>
  <c r="AT89" i="3"/>
  <c r="F90" i="3"/>
  <c r="AD90" i="3"/>
  <c r="AL90" i="3"/>
  <c r="O91" i="3"/>
  <c r="E92" i="3"/>
  <c r="W92" i="3"/>
  <c r="AD92" i="3"/>
  <c r="K93" i="3"/>
  <c r="AM93" i="3"/>
  <c r="AB94" i="3"/>
  <c r="K95" i="3"/>
  <c r="AM95" i="3"/>
  <c r="H96" i="3"/>
  <c r="AT96" i="3"/>
  <c r="O97" i="3"/>
  <c r="AC97" i="3"/>
  <c r="AJ98" i="3"/>
  <c r="Z99" i="3"/>
  <c r="AQ99" i="3"/>
  <c r="AL100" i="3"/>
  <c r="J101" i="3"/>
  <c r="E102" i="3"/>
  <c r="U102" i="3"/>
  <c r="AO102" i="3"/>
  <c r="AJ103" i="3"/>
  <c r="AJ52" i="3"/>
  <c r="AS52" i="3"/>
  <c r="H53" i="3"/>
  <c r="M53" i="3"/>
  <c r="X53" i="3"/>
  <c r="AI53" i="3"/>
  <c r="AR53" i="3"/>
  <c r="C54" i="3"/>
  <c r="L54" i="3"/>
  <c r="W54" i="3"/>
  <c r="AH54" i="3"/>
  <c r="AM54" i="3"/>
  <c r="B55" i="3"/>
  <c r="K55" i="3"/>
  <c r="V55" i="3"/>
  <c r="AA55" i="3"/>
  <c r="AL55" i="3"/>
  <c r="AU55" i="3"/>
  <c r="J56" i="3"/>
  <c r="O56" i="3"/>
  <c r="Z56" i="3"/>
  <c r="AK56" i="3"/>
  <c r="AT56" i="3"/>
  <c r="E57" i="3"/>
  <c r="N57" i="3"/>
  <c r="Y57" i="3"/>
  <c r="AJ57" i="3"/>
  <c r="AO57" i="3"/>
  <c r="D58" i="3"/>
  <c r="M58" i="3"/>
  <c r="X58" i="3"/>
  <c r="AC58" i="3"/>
  <c r="AN58" i="3"/>
  <c r="C59" i="3"/>
  <c r="L59" i="3"/>
  <c r="S59" i="3"/>
  <c r="AB59" i="3"/>
  <c r="AM59" i="3"/>
  <c r="B60" i="3"/>
  <c r="G60" i="3"/>
  <c r="R60" i="3"/>
  <c r="AA60" i="3"/>
  <c r="AL60" i="3"/>
  <c r="AQ60" i="3"/>
  <c r="F61" i="3"/>
  <c r="O61" i="3"/>
  <c r="Z61" i="3"/>
  <c r="AE61" i="3"/>
  <c r="AP61" i="3"/>
  <c r="E62" i="3"/>
  <c r="N62" i="3"/>
  <c r="U62" i="3"/>
  <c r="AD62" i="3"/>
  <c r="AO62" i="3"/>
  <c r="D63" i="3"/>
  <c r="I63" i="3"/>
  <c r="T63" i="3"/>
  <c r="AC63" i="3"/>
  <c r="AN63" i="3"/>
  <c r="AS63" i="3"/>
  <c r="H67" i="3"/>
  <c r="S67" i="3"/>
  <c r="AB67" i="3"/>
  <c r="AI67" i="3"/>
  <c r="AR67" i="3"/>
  <c r="G68" i="3"/>
  <c r="R68" i="3"/>
  <c r="W68" i="3"/>
  <c r="AH68" i="3"/>
  <c r="AQ68" i="3"/>
  <c r="F69" i="3"/>
  <c r="K69" i="3"/>
  <c r="V69" i="3"/>
  <c r="AE69" i="3"/>
  <c r="AP69" i="3"/>
  <c r="AU69" i="3"/>
  <c r="J70" i="3"/>
  <c r="U70" i="3"/>
  <c r="AD70" i="3"/>
  <c r="AK70" i="3"/>
  <c r="AT70" i="3"/>
  <c r="I71" i="3"/>
  <c r="T71" i="3"/>
  <c r="Y71" i="3"/>
  <c r="AJ71" i="3"/>
  <c r="AS71" i="3"/>
  <c r="H72" i="3"/>
  <c r="M72" i="3"/>
  <c r="X72" i="3"/>
  <c r="AI72" i="3"/>
  <c r="AR72" i="3"/>
  <c r="C73" i="3"/>
  <c r="L73" i="3"/>
  <c r="W73" i="3"/>
  <c r="AH73" i="3"/>
  <c r="AM73" i="3"/>
  <c r="B74" i="3"/>
  <c r="K74" i="3"/>
  <c r="V74" i="3"/>
  <c r="AA74" i="3"/>
  <c r="AL74" i="3"/>
  <c r="AU74" i="3"/>
  <c r="J75" i="3"/>
  <c r="O75" i="3"/>
  <c r="Z75" i="3"/>
  <c r="AK75" i="3"/>
  <c r="AT75" i="3"/>
  <c r="E76" i="3"/>
  <c r="N76" i="3"/>
  <c r="Y76" i="3"/>
  <c r="AJ76" i="3"/>
  <c r="AO76" i="3"/>
  <c r="D77" i="3"/>
  <c r="I77" i="3"/>
  <c r="N77" i="3"/>
  <c r="U77" i="3"/>
  <c r="AH77" i="3"/>
  <c r="AM77" i="3"/>
  <c r="U78" i="3"/>
  <c r="AM78" i="3"/>
  <c r="AR78" i="3"/>
  <c r="C79" i="3"/>
  <c r="U79" i="3"/>
  <c r="C80" i="3"/>
  <c r="H80" i="3"/>
  <c r="U80" i="3"/>
  <c r="Z80" i="3"/>
  <c r="AE80" i="3"/>
  <c r="AE81" i="3"/>
  <c r="AL81" i="3"/>
  <c r="AQ81" i="3"/>
  <c r="C82" i="3"/>
  <c r="H82" i="3"/>
  <c r="M82" i="3"/>
  <c r="AM82" i="3"/>
  <c r="AT82" i="3"/>
  <c r="AE83" i="3"/>
  <c r="Y87" i="3"/>
  <c r="AE87" i="3"/>
  <c r="H88" i="3"/>
  <c r="AE88" i="3"/>
  <c r="AU88" i="3"/>
  <c r="O89" i="3"/>
  <c r="AE89" i="3"/>
  <c r="AM89" i="3"/>
  <c r="G90" i="3"/>
  <c r="O90" i="3"/>
  <c r="W90" i="3"/>
  <c r="AM90" i="3"/>
  <c r="AT90" i="3"/>
  <c r="AA91" i="3"/>
  <c r="AJ91" i="3"/>
  <c r="AS91" i="3"/>
  <c r="N92" i="3"/>
  <c r="AH92" i="3"/>
  <c r="D93" i="3"/>
  <c r="V93" i="3"/>
  <c r="AC93" i="3"/>
  <c r="AU93" i="3"/>
  <c r="J94" i="3"/>
  <c r="S94" i="3"/>
  <c r="AC94" i="3"/>
  <c r="AR94" i="3"/>
  <c r="K96" i="3"/>
  <c r="AC96" i="3"/>
  <c r="AJ97" i="3"/>
  <c r="B98" i="3"/>
  <c r="S98" i="3"/>
  <c r="AL98" i="3"/>
  <c r="G99" i="3"/>
  <c r="R100" i="3"/>
  <c r="F102" i="3"/>
  <c r="Z102" i="3"/>
  <c r="AP102" i="3"/>
  <c r="N103" i="3"/>
  <c r="AN103" i="3"/>
  <c r="K77" i="3"/>
  <c r="AA77" i="3"/>
  <c r="AL77" i="3"/>
  <c r="AU77" i="3"/>
  <c r="O78" i="3"/>
  <c r="Z78" i="3"/>
  <c r="AK78" i="3"/>
  <c r="E79" i="3"/>
  <c r="N79" i="3"/>
  <c r="Y79" i="3"/>
  <c r="AO79" i="3"/>
  <c r="D80" i="3"/>
  <c r="M80" i="3"/>
  <c r="AC80" i="3"/>
  <c r="AN80" i="3"/>
  <c r="C81" i="3"/>
  <c r="S81" i="3"/>
  <c r="AB81" i="3"/>
  <c r="AM81" i="3"/>
  <c r="G82" i="3"/>
  <c r="R82" i="3"/>
  <c r="AN82" i="3"/>
  <c r="O83" i="3"/>
  <c r="V83" i="3"/>
  <c r="AA83" i="3"/>
  <c r="AI83" i="3"/>
  <c r="AN83" i="3"/>
  <c r="AS83" i="3"/>
  <c r="D87" i="3"/>
  <c r="AN87" i="3"/>
  <c r="AT87" i="3"/>
  <c r="G88" i="3"/>
  <c r="T88" i="3"/>
  <c r="AA88" i="3"/>
  <c r="AI88" i="3"/>
  <c r="G89" i="3"/>
  <c r="M89" i="3"/>
  <c r="AI89" i="3"/>
  <c r="AP89" i="3"/>
  <c r="N90" i="3"/>
  <c r="V90" i="3"/>
  <c r="AP90" i="3"/>
  <c r="B91" i="3"/>
  <c r="J91" i="3"/>
  <c r="S91" i="3"/>
  <c r="Y91" i="3"/>
  <c r="AI91" i="3"/>
  <c r="B92" i="3"/>
  <c r="Y92" i="3"/>
  <c r="AI92" i="3"/>
  <c r="AO92" i="3"/>
  <c r="B93" i="3"/>
  <c r="R93" i="3"/>
  <c r="AO93" i="3"/>
  <c r="R94" i="3"/>
  <c r="AA94" i="3"/>
  <c r="AL94" i="3"/>
  <c r="O95" i="3"/>
  <c r="AD95" i="3"/>
  <c r="H97" i="3"/>
  <c r="G98" i="3"/>
  <c r="T98" i="3"/>
  <c r="F99" i="3"/>
  <c r="S99" i="3"/>
  <c r="F100" i="3"/>
  <c r="AS100" i="3"/>
  <c r="K101" i="3"/>
  <c r="AE101" i="3"/>
  <c r="AT101" i="3"/>
  <c r="T102" i="3"/>
  <c r="Y103" i="3"/>
  <c r="X94" i="3"/>
  <c r="AE94" i="3"/>
  <c r="AH95" i="3"/>
  <c r="AP95" i="3"/>
  <c r="AD96" i="3"/>
  <c r="AO96" i="3"/>
  <c r="L97" i="3"/>
  <c r="W97" i="3"/>
  <c r="AD97" i="3"/>
  <c r="AO97" i="3"/>
  <c r="B99" i="3"/>
  <c r="K99" i="3"/>
  <c r="W99" i="3"/>
  <c r="AR99" i="3"/>
  <c r="AD100" i="3"/>
  <c r="E101" i="3"/>
  <c r="Z101" i="3"/>
  <c r="AL101" i="3"/>
  <c r="L102" i="3"/>
  <c r="AI102" i="3"/>
  <c r="AS102" i="3"/>
  <c r="H103" i="3"/>
  <c r="T103" i="3"/>
  <c r="AO103" i="3"/>
  <c r="AP87" i="3"/>
  <c r="E88" i="3"/>
  <c r="N88" i="3"/>
  <c r="U88" i="3"/>
  <c r="AD88" i="3"/>
  <c r="AO88" i="3"/>
  <c r="D89" i="3"/>
  <c r="I89" i="3"/>
  <c r="T89" i="3"/>
  <c r="AC89" i="3"/>
  <c r="AN89" i="3"/>
  <c r="AS89" i="3"/>
  <c r="H90" i="3"/>
  <c r="S90" i="3"/>
  <c r="AB90" i="3"/>
  <c r="AI90" i="3"/>
  <c r="AR90" i="3"/>
  <c r="C91" i="3"/>
  <c r="H91" i="3"/>
  <c r="AE91" i="3"/>
  <c r="AL91" i="3"/>
  <c r="C92" i="3"/>
  <c r="H92" i="3"/>
  <c r="M92" i="3"/>
  <c r="T92" i="3"/>
  <c r="AL92" i="3"/>
  <c r="M93" i="3"/>
  <c r="T93" i="3"/>
  <c r="Y93" i="3"/>
  <c r="AE93" i="3"/>
  <c r="AL93" i="3"/>
  <c r="AQ93" i="3"/>
  <c r="B94" i="3"/>
  <c r="Z94" i="3"/>
  <c r="AN94" i="3"/>
  <c r="B95" i="3"/>
  <c r="J95" i="3"/>
  <c r="R95" i="3"/>
  <c r="Z95" i="3"/>
  <c r="E96" i="3"/>
  <c r="X96" i="3"/>
  <c r="AP96" i="3"/>
  <c r="E97" i="3"/>
  <c r="L98" i="3"/>
  <c r="W98" i="3"/>
  <c r="AD98" i="3"/>
  <c r="AO98" i="3"/>
  <c r="L99" i="3"/>
  <c r="AH99" i="3"/>
  <c r="J100" i="3"/>
  <c r="AO100" i="3"/>
  <c r="R101" i="3"/>
  <c r="AN101" i="3"/>
  <c r="AU101" i="3"/>
  <c r="Y102" i="3"/>
  <c r="AT102" i="3"/>
  <c r="AH103" i="3"/>
  <c r="H77" i="3"/>
  <c r="L77" i="3"/>
  <c r="R77" i="3"/>
  <c r="V77" i="3"/>
  <c r="Z77" i="3"/>
  <c r="AD77" i="3"/>
  <c r="AJ77" i="3"/>
  <c r="AN77" i="3"/>
  <c r="AR77" i="3"/>
  <c r="B78" i="3"/>
  <c r="F78" i="3"/>
  <c r="J78" i="3"/>
  <c r="N78" i="3"/>
  <c r="T78" i="3"/>
  <c r="X78" i="3"/>
  <c r="AB78" i="3"/>
  <c r="AH78" i="3"/>
  <c r="AL78" i="3"/>
  <c r="AP78" i="3"/>
  <c r="AT78" i="3"/>
  <c r="D79" i="3"/>
  <c r="H79" i="3"/>
  <c r="L79" i="3"/>
  <c r="R79" i="3"/>
  <c r="V79" i="3"/>
  <c r="Z79" i="3"/>
  <c r="AD79" i="3"/>
  <c r="AJ79" i="3"/>
  <c r="AN79" i="3"/>
  <c r="AR79" i="3"/>
  <c r="B80" i="3"/>
  <c r="F80" i="3"/>
  <c r="J80" i="3"/>
  <c r="N80" i="3"/>
  <c r="T80" i="3"/>
  <c r="X80" i="3"/>
  <c r="AB80" i="3"/>
  <c r="AH80" i="3"/>
  <c r="AL80" i="3"/>
  <c r="AP80" i="3"/>
  <c r="AT80" i="3"/>
  <c r="D81" i="3"/>
  <c r="H81" i="3"/>
  <c r="L81" i="3"/>
  <c r="R81" i="3"/>
  <c r="V81" i="3"/>
  <c r="Z81" i="3"/>
  <c r="AD81" i="3"/>
  <c r="AJ81" i="3"/>
  <c r="AN81" i="3"/>
  <c r="AR81" i="3"/>
  <c r="B82" i="3"/>
  <c r="F82" i="3"/>
  <c r="J82" i="3"/>
  <c r="N82" i="3"/>
  <c r="T82" i="3"/>
  <c r="X82" i="3"/>
  <c r="AI82" i="3"/>
  <c r="AR82" i="3"/>
  <c r="C83" i="3"/>
  <c r="L83" i="3"/>
  <c r="W83" i="3"/>
  <c r="AH83" i="3"/>
  <c r="AM83" i="3"/>
  <c r="B87" i="3"/>
  <c r="K87" i="3"/>
  <c r="V87" i="3"/>
  <c r="AA87" i="3"/>
  <c r="AL87" i="3"/>
  <c r="AU87" i="3"/>
  <c r="J88" i="3"/>
  <c r="O88" i="3"/>
  <c r="Z88" i="3"/>
  <c r="AK88" i="3"/>
  <c r="AT88" i="3"/>
  <c r="E89" i="3"/>
  <c r="N89" i="3"/>
  <c r="Y89" i="3"/>
  <c r="AJ89" i="3"/>
  <c r="AO89" i="3"/>
  <c r="D90" i="3"/>
  <c r="M90" i="3"/>
  <c r="X90" i="3"/>
  <c r="AC90" i="3"/>
  <c r="AN90" i="3"/>
  <c r="I91" i="3"/>
  <c r="N91" i="3"/>
  <c r="U91" i="3"/>
  <c r="Z91" i="3"/>
  <c r="AM91" i="3"/>
  <c r="AR91" i="3"/>
  <c r="U92" i="3"/>
  <c r="Z92" i="3"/>
  <c r="AM92" i="3"/>
  <c r="AR92" i="3"/>
  <c r="C93" i="3"/>
  <c r="H93" i="3"/>
  <c r="Z93" i="3"/>
  <c r="C94" i="3"/>
  <c r="H94" i="3"/>
  <c r="M94" i="3"/>
  <c r="U94" i="3"/>
  <c r="AH94" i="3"/>
  <c r="AP94" i="3"/>
  <c r="S95" i="3"/>
  <c r="AA95" i="3"/>
  <c r="AK95" i="3"/>
  <c r="AQ95" i="3"/>
  <c r="F96" i="3"/>
  <c r="M96" i="3"/>
  <c r="M97" i="3"/>
  <c r="X97" i="3"/>
  <c r="AI97" i="3"/>
  <c r="AP97" i="3"/>
  <c r="E98" i="3"/>
  <c r="X98" i="3"/>
  <c r="AI98" i="3"/>
  <c r="X99" i="3"/>
  <c r="AT99" i="3"/>
  <c r="U100" i="3"/>
  <c r="AE100" i="3"/>
  <c r="F101" i="3"/>
  <c r="AA101" i="3"/>
  <c r="M102" i="3"/>
  <c r="AJ102" i="3"/>
  <c r="L103" i="3"/>
  <c r="AQ103" i="3"/>
  <c r="G91" i="3"/>
  <c r="R91" i="3"/>
  <c r="W91" i="3"/>
  <c r="AH91" i="3"/>
  <c r="AQ91" i="3"/>
  <c r="F92" i="3"/>
  <c r="K92" i="3"/>
  <c r="V92" i="3"/>
  <c r="AE92" i="3"/>
  <c r="AP92" i="3"/>
  <c r="AU92" i="3"/>
  <c r="J93" i="3"/>
  <c r="U93" i="3"/>
  <c r="AD93" i="3"/>
  <c r="AK93" i="3"/>
  <c r="AT93" i="3"/>
  <c r="I94" i="3"/>
  <c r="T94" i="3"/>
  <c r="Y94" i="3"/>
  <c r="AJ94" i="3"/>
  <c r="AS94" i="3"/>
  <c r="H95" i="3"/>
  <c r="M95" i="3"/>
  <c r="X95" i="3"/>
  <c r="AI95" i="3"/>
  <c r="AR95" i="3"/>
  <c r="N96" i="3"/>
  <c r="U96" i="3"/>
  <c r="Z96" i="3"/>
  <c r="AE96" i="3"/>
  <c r="AR96" i="3"/>
  <c r="C97" i="3"/>
  <c r="Z97" i="3"/>
  <c r="AE97" i="3"/>
  <c r="AR97" i="3"/>
  <c r="C98" i="3"/>
  <c r="H98" i="3"/>
  <c r="M98" i="3"/>
  <c r="AE98" i="3"/>
  <c r="H99" i="3"/>
  <c r="M99" i="3"/>
  <c r="U99" i="3"/>
  <c r="AA99" i="3"/>
  <c r="AU99" i="3"/>
  <c r="G100" i="3"/>
  <c r="N100" i="3"/>
  <c r="AA100" i="3"/>
  <c r="AJ100" i="3"/>
  <c r="AP100" i="3"/>
  <c r="N101" i="3"/>
  <c r="V101" i="3"/>
  <c r="AP101" i="3"/>
  <c r="C102" i="3"/>
  <c r="W102" i="3"/>
  <c r="AC102" i="3"/>
  <c r="C103" i="3"/>
  <c r="I103" i="3"/>
  <c r="R103" i="3"/>
  <c r="AC103" i="3"/>
  <c r="AL103" i="3"/>
  <c r="AR103" i="3"/>
  <c r="AD94" i="3"/>
  <c r="AO94" i="3"/>
  <c r="D95" i="3"/>
  <c r="I95" i="3"/>
  <c r="T95" i="3"/>
  <c r="AC95" i="3"/>
  <c r="AN95" i="3"/>
  <c r="AS95" i="3"/>
  <c r="D96" i="3"/>
  <c r="I96" i="3"/>
  <c r="AH96" i="3"/>
  <c r="D97" i="3"/>
  <c r="I97" i="3"/>
  <c r="N97" i="3"/>
  <c r="U97" i="3"/>
  <c r="AH97" i="3"/>
  <c r="AM97" i="3"/>
  <c r="N98" i="3"/>
  <c r="U98" i="3"/>
  <c r="AH98" i="3"/>
  <c r="AM98" i="3"/>
  <c r="AR98" i="3"/>
  <c r="C99" i="3"/>
  <c r="V99" i="3"/>
  <c r="AI99" i="3"/>
  <c r="AP99" i="3"/>
  <c r="B100" i="3"/>
  <c r="V100" i="3"/>
  <c r="AB100" i="3"/>
  <c r="B101" i="3"/>
  <c r="I101" i="3"/>
  <c r="AC101" i="3"/>
  <c r="AK101" i="3"/>
  <c r="I102" i="3"/>
  <c r="O102" i="3"/>
  <c r="X102" i="3"/>
  <c r="AK102" i="3"/>
  <c r="AR102" i="3"/>
  <c r="D103" i="3"/>
  <c r="X103" i="3"/>
  <c r="AD103" i="3"/>
  <c r="AK94" i="3"/>
  <c r="AT94" i="3"/>
  <c r="E95" i="3"/>
  <c r="N95" i="3"/>
  <c r="Y95" i="3"/>
  <c r="AJ95" i="3"/>
  <c r="AO95" i="3"/>
  <c r="J96" i="3"/>
  <c r="O96" i="3"/>
  <c r="V96" i="3"/>
  <c r="AA96" i="3"/>
  <c r="AI96" i="3"/>
  <c r="AN96" i="3"/>
  <c r="AS96" i="3"/>
  <c r="V97" i="3"/>
  <c r="AN97" i="3"/>
  <c r="AS97" i="3"/>
  <c r="D98" i="3"/>
  <c r="I98" i="3"/>
  <c r="V98" i="3"/>
  <c r="AA98" i="3"/>
  <c r="D99" i="3"/>
  <c r="I99" i="3"/>
  <c r="AB99" i="3"/>
  <c r="AK99" i="3"/>
  <c r="I100" i="3"/>
  <c r="O100" i="3"/>
  <c r="AK100" i="3"/>
  <c r="AQ100" i="3"/>
  <c r="D101" i="3"/>
  <c r="O101" i="3"/>
  <c r="X101" i="3"/>
  <c r="AD101" i="3"/>
  <c r="D102" i="3"/>
  <c r="J102" i="3"/>
  <c r="AD102" i="3"/>
  <c r="AM102" i="3"/>
  <c r="K103" i="3"/>
  <c r="S103" i="3"/>
  <c r="AM103" i="3"/>
  <c r="AS103" i="3"/>
  <c r="T99" i="3"/>
  <c r="AC99" i="3"/>
  <c r="AJ99" i="3"/>
  <c r="AS99" i="3"/>
  <c r="H100" i="3"/>
  <c r="S100" i="3"/>
  <c r="X100" i="3"/>
  <c r="AI100" i="3"/>
  <c r="AR100" i="3"/>
  <c r="G101" i="3"/>
  <c r="L101" i="3"/>
  <c r="W101" i="3"/>
  <c r="AH101" i="3"/>
  <c r="AQ101" i="3"/>
  <c r="B102" i="3"/>
  <c r="K102" i="3"/>
  <c r="V102" i="3"/>
  <c r="AE102" i="3"/>
  <c r="AL102" i="3"/>
  <c r="AU102" i="3"/>
  <c r="J103" i="3"/>
  <c r="U103" i="3"/>
  <c r="Z103" i="3"/>
  <c r="AK103" i="3"/>
  <c r="AT103" i="3"/>
  <c r="C96" i="3"/>
  <c r="L96" i="3"/>
  <c r="W96" i="3"/>
  <c r="AB96" i="3"/>
  <c r="AM96" i="3"/>
  <c r="B97" i="3"/>
  <c r="K97" i="3"/>
  <c r="R97" i="3"/>
  <c r="AA97" i="3"/>
  <c r="AL97" i="3"/>
  <c r="AU97" i="3"/>
  <c r="F98" i="3"/>
  <c r="O98" i="3"/>
  <c r="Z98" i="3"/>
  <c r="AK98" i="3"/>
  <c r="AP98" i="3"/>
  <c r="E99" i="3"/>
  <c r="N99" i="3"/>
  <c r="Y99" i="3"/>
  <c r="AD99" i="3"/>
  <c r="AO99" i="3"/>
  <c r="D100" i="3"/>
  <c r="M100" i="3"/>
  <c r="T100" i="3"/>
  <c r="AC100" i="3"/>
  <c r="AN100" i="3"/>
  <c r="C101" i="3"/>
  <c r="H101" i="3"/>
  <c r="S101" i="3"/>
  <c r="AB101" i="3"/>
  <c r="AM101" i="3"/>
  <c r="AR101" i="3"/>
  <c r="G102" i="3"/>
  <c r="R102" i="3"/>
  <c r="AA102" i="3"/>
  <c r="AH102" i="3"/>
  <c r="AQ102" i="3"/>
  <c r="F103" i="3"/>
  <c r="O103" i="3"/>
  <c r="V103" i="3"/>
  <c r="AE103" i="3"/>
  <c r="AP103" i="3"/>
  <c r="AU103" i="3"/>
  <c r="M57" i="1"/>
  <c r="G40" i="1"/>
  <c r="I34" i="1"/>
  <c r="O57" i="1"/>
  <c r="H40" i="1"/>
  <c r="N30" i="1"/>
  <c r="O50" i="1"/>
  <c r="L38" i="1"/>
  <c r="B40" i="1"/>
  <c r="G53" i="1"/>
  <c r="H32" i="1"/>
  <c r="H47" i="1"/>
  <c r="G56" i="1"/>
  <c r="J31" i="1"/>
  <c r="C47" i="1"/>
  <c r="K48" i="1"/>
  <c r="O33" i="1"/>
  <c r="O39" i="1"/>
  <c r="M52" i="1"/>
  <c r="K43" i="1"/>
  <c r="G35" i="1"/>
  <c r="K30" i="1"/>
  <c r="M54" i="1"/>
  <c r="E50" i="1"/>
  <c r="F58" i="1"/>
  <c r="F34" i="1"/>
  <c r="N27" i="1"/>
  <c r="N42" i="1"/>
  <c r="O63" i="1"/>
  <c r="D36" i="1"/>
  <c r="B28" i="1"/>
  <c r="C62" i="1"/>
  <c r="M36" i="1"/>
  <c r="I43" i="1"/>
  <c r="L50" i="1"/>
  <c r="K39" i="1"/>
  <c r="M37" i="1"/>
  <c r="H58" i="1"/>
  <c r="G34" i="1"/>
  <c r="K51" i="1"/>
  <c r="D61" i="1"/>
  <c r="L32" i="1"/>
  <c r="M30" i="1"/>
  <c r="D37" i="1"/>
  <c r="K59" i="1"/>
  <c r="I63" i="1"/>
  <c r="N54" i="1"/>
  <c r="F67" i="1"/>
  <c r="D76" i="1"/>
  <c r="J83" i="1"/>
  <c r="L78" i="1"/>
  <c r="D82" i="1"/>
  <c r="F83" i="1"/>
  <c r="K71" i="1"/>
  <c r="I68" i="1"/>
  <c r="F71" i="1"/>
  <c r="H68" i="1"/>
  <c r="E81" i="1"/>
  <c r="G78" i="1"/>
  <c r="I75" i="1"/>
  <c r="C72" i="1"/>
  <c r="E69" i="1"/>
  <c r="B82" i="1"/>
  <c r="J78" i="1"/>
  <c r="L75" i="1"/>
  <c r="H69" i="1"/>
  <c r="G87" i="1"/>
  <c r="C102" i="1"/>
  <c r="G101" i="1"/>
  <c r="N102" i="1"/>
  <c r="J102" i="1"/>
  <c r="I90" i="1"/>
  <c r="D96" i="1"/>
  <c r="J89" i="1"/>
  <c r="M95" i="1"/>
  <c r="O88" i="1"/>
  <c r="AC7" i="1"/>
  <c r="Z19" i="1"/>
  <c r="AE15" i="1"/>
  <c r="U20" i="1"/>
  <c r="W20" i="1"/>
  <c r="AC17" i="1"/>
  <c r="AB19" i="1"/>
  <c r="Z10" i="1"/>
  <c r="AD37" i="1"/>
  <c r="AB32" i="1"/>
  <c r="AE39" i="1"/>
  <c r="AE42" i="1"/>
  <c r="S42" i="1"/>
  <c r="Z34" i="1"/>
  <c r="B52" i="1"/>
  <c r="D49" i="1"/>
  <c r="C79" i="1"/>
  <c r="K73" i="1"/>
  <c r="B27" i="1"/>
  <c r="F27" i="1"/>
  <c r="H36" i="1"/>
  <c r="N31" i="1"/>
  <c r="G29" i="1"/>
  <c r="K31" i="1"/>
  <c r="G41" i="1"/>
  <c r="B31" i="1"/>
  <c r="E32" i="1"/>
  <c r="B37" i="1"/>
  <c r="H34" i="1"/>
  <c r="G33" i="1"/>
  <c r="N29" i="1"/>
  <c r="G39" i="1"/>
  <c r="M34" i="1"/>
  <c r="E30" i="1"/>
  <c r="M39" i="1"/>
  <c r="J42" i="1"/>
  <c r="L39" i="1"/>
  <c r="O42" i="1"/>
  <c r="E37" i="1"/>
  <c r="C34" i="1"/>
  <c r="G30" i="1"/>
  <c r="N36" i="1"/>
  <c r="B34" i="1"/>
  <c r="J30" i="1"/>
  <c r="B47" i="1"/>
  <c r="O47" i="1"/>
  <c r="M62" i="1"/>
  <c r="F63" i="1"/>
  <c r="G57" i="1"/>
  <c r="B49" i="1"/>
  <c r="C61" i="1"/>
  <c r="C63" i="1"/>
  <c r="J63" i="1"/>
  <c r="N57" i="1"/>
  <c r="C53" i="1"/>
  <c r="O49" i="1"/>
  <c r="O62" i="1"/>
  <c r="E57" i="1"/>
  <c r="G50" i="1"/>
  <c r="I61" i="1"/>
  <c r="M55" i="1"/>
  <c r="L63" i="1"/>
  <c r="N60" i="1"/>
  <c r="B58" i="1"/>
  <c r="J54" i="1"/>
  <c r="L51" i="1"/>
  <c r="N48" i="1"/>
  <c r="M67" i="1"/>
  <c r="O77" i="1"/>
  <c r="H74" i="1"/>
  <c r="H82" i="1"/>
  <c r="G83" i="1"/>
  <c r="D78" i="1"/>
  <c r="H76" i="1"/>
  <c r="J81" i="1"/>
  <c r="G71" i="1"/>
  <c r="N73" i="1"/>
  <c r="B71" i="1"/>
  <c r="D68" i="1"/>
  <c r="O80" i="1"/>
  <c r="C78" i="1"/>
  <c r="E75" i="1"/>
  <c r="M71" i="1"/>
  <c r="O68" i="1"/>
  <c r="L81" i="1"/>
  <c r="F78" i="1"/>
  <c r="H75" i="1"/>
  <c r="D69" i="1"/>
  <c r="M103" i="1"/>
  <c r="M101" i="1"/>
  <c r="F100" i="1"/>
  <c r="F98" i="1"/>
  <c r="K100" i="1"/>
  <c r="C89" i="1"/>
  <c r="H94" i="1"/>
  <c r="F89" i="1"/>
  <c r="I95" i="1"/>
  <c r="G88" i="1"/>
  <c r="Z7" i="1"/>
  <c r="T16" i="1"/>
  <c r="AC14" i="1"/>
  <c r="R17" i="1"/>
  <c r="U19" i="1"/>
  <c r="AA16" i="1"/>
  <c r="T19" i="1"/>
  <c r="R10" i="1"/>
  <c r="AC32" i="1"/>
  <c r="X30" i="1"/>
  <c r="W35" i="1"/>
  <c r="AC41" i="1"/>
  <c r="AC39" i="1"/>
  <c r="R34" i="1"/>
  <c r="H80" i="1"/>
  <c r="K80" i="1"/>
  <c r="I71" i="1"/>
  <c r="B74" i="1"/>
  <c r="N68" i="1"/>
  <c r="H103" i="1"/>
  <c r="O103" i="1"/>
  <c r="I98" i="1"/>
  <c r="I96" i="1"/>
  <c r="I102" i="1"/>
  <c r="E88" i="1"/>
  <c r="D94" i="1"/>
  <c r="G100" i="1"/>
  <c r="E95" i="1"/>
  <c r="H93" i="1"/>
  <c r="W7" i="1"/>
  <c r="AB12" i="1"/>
  <c r="W11" i="1"/>
  <c r="AC18" i="1"/>
  <c r="AC15" i="1"/>
  <c r="U13" i="1"/>
  <c r="X17" i="1"/>
  <c r="V8" i="1"/>
  <c r="W31" i="1"/>
  <c r="T30" i="1"/>
  <c r="X40" i="1"/>
  <c r="U37" i="1"/>
  <c r="AB43" i="1"/>
  <c r="AB31" i="1"/>
  <c r="N35" i="1"/>
  <c r="F29" i="1"/>
  <c r="O43" i="1"/>
  <c r="E39" i="1"/>
  <c r="E33" i="1"/>
  <c r="F30" i="1"/>
  <c r="F49" i="1"/>
  <c r="F57" i="1"/>
  <c r="M49" i="1"/>
  <c r="D57" i="1"/>
  <c r="G81" i="1"/>
  <c r="M77" i="1"/>
  <c r="J27" i="1"/>
  <c r="K27" i="1"/>
  <c r="F35" i="1"/>
  <c r="L30" i="1"/>
  <c r="J37" i="1"/>
  <c r="I30" i="1"/>
  <c r="M32" i="1"/>
  <c r="I28" i="1"/>
  <c r="D40" i="1"/>
  <c r="E40" i="1"/>
  <c r="M42" i="1"/>
  <c r="F41" i="1"/>
  <c r="G43" i="1"/>
  <c r="E38" i="1"/>
  <c r="K33" i="1"/>
  <c r="E28" i="1"/>
  <c r="K38" i="1"/>
  <c r="B42" i="1"/>
  <c r="J38" i="1"/>
  <c r="M41" i="1"/>
  <c r="G36" i="1"/>
  <c r="O32" i="1"/>
  <c r="M29" i="1"/>
  <c r="F36" i="1"/>
  <c r="N32" i="1"/>
  <c r="B30" i="1"/>
  <c r="N47" i="1"/>
  <c r="E62" i="1"/>
  <c r="B61" i="1"/>
  <c r="L54" i="1"/>
  <c r="G59" i="1"/>
  <c r="K61" i="1"/>
  <c r="O55" i="1"/>
  <c r="I58" i="1"/>
  <c r="H62" i="1"/>
  <c r="L56" i="1"/>
  <c r="B53" i="1"/>
  <c r="G49" i="1"/>
  <c r="M61" i="1"/>
  <c r="O54" i="1"/>
  <c r="I49" i="1"/>
  <c r="K60" i="1"/>
  <c r="I53" i="1"/>
  <c r="D63" i="1"/>
  <c r="F60" i="1"/>
  <c r="N56" i="1"/>
  <c r="B54" i="1"/>
  <c r="D51" i="1"/>
  <c r="N67" i="1"/>
  <c r="L67" i="1"/>
  <c r="C75" i="1"/>
  <c r="K79" i="1"/>
  <c r="D80" i="1"/>
  <c r="M78" i="1"/>
  <c r="D74" i="1"/>
  <c r="I80" i="1"/>
  <c r="F79" i="1"/>
  <c r="E70" i="1"/>
  <c r="F73" i="1"/>
  <c r="H70" i="1"/>
  <c r="I83" i="1"/>
  <c r="G80" i="1"/>
  <c r="I77" i="1"/>
  <c r="C74" i="1"/>
  <c r="E71" i="1"/>
  <c r="G68" i="1"/>
  <c r="J80" i="1"/>
  <c r="L77" i="1"/>
  <c r="L73" i="1"/>
  <c r="H87" i="1"/>
  <c r="M102" i="1"/>
  <c r="B101" i="1"/>
  <c r="N98" i="1"/>
  <c r="B96" i="1"/>
  <c r="N101" i="1"/>
  <c r="B99" i="1"/>
  <c r="N93" i="1"/>
  <c r="C100" i="1"/>
  <c r="I93" i="1"/>
  <c r="N92" i="1"/>
  <c r="T20" i="1"/>
  <c r="Z11" i="1"/>
  <c r="U10" i="1"/>
  <c r="AD15" i="1"/>
  <c r="AA14" i="1"/>
  <c r="S12" i="1"/>
  <c r="AD16" i="1"/>
  <c r="R27" i="1"/>
  <c r="S29" i="1"/>
  <c r="T40" i="1"/>
  <c r="S43" i="1"/>
  <c r="Y35" i="1"/>
  <c r="T43" i="1"/>
  <c r="T31" i="1"/>
  <c r="E27" i="1"/>
  <c r="J41" i="1"/>
  <c r="J43" i="1"/>
  <c r="M38" i="1"/>
  <c r="N38" i="1"/>
  <c r="C30" i="1"/>
  <c r="C57" i="1"/>
  <c r="C59" i="1"/>
  <c r="K49" i="1"/>
  <c r="O60" i="1"/>
  <c r="B48" i="1"/>
  <c r="K68" i="1"/>
  <c r="M27" i="1"/>
  <c r="G27" i="1"/>
  <c r="L34" i="1"/>
  <c r="D30" i="1"/>
  <c r="O41" i="1"/>
  <c r="O29" i="1"/>
  <c r="B43" i="1"/>
  <c r="F43" i="1"/>
  <c r="N37" i="1"/>
  <c r="E36" i="1"/>
  <c r="B41" i="1"/>
  <c r="B39" i="1"/>
  <c r="E42" i="1"/>
  <c r="K37" i="1"/>
  <c r="C33" i="1"/>
  <c r="M43" i="1"/>
  <c r="C38" i="1"/>
  <c r="D41" i="1"/>
  <c r="F38" i="1"/>
  <c r="E41" i="1"/>
  <c r="I35" i="1"/>
  <c r="K32" i="1"/>
  <c r="I29" i="1"/>
  <c r="H35" i="1"/>
  <c r="J32" i="1"/>
  <c r="L29" i="1"/>
  <c r="M47" i="1"/>
  <c r="O59" i="1"/>
  <c r="F55" i="1"/>
  <c r="I60" i="1"/>
  <c r="E54" i="1"/>
  <c r="E58" i="1"/>
  <c r="F59" i="1"/>
  <c r="M56" i="1"/>
  <c r="N61" i="1"/>
  <c r="B55" i="1"/>
  <c r="E52" i="1"/>
  <c r="C49" i="1"/>
  <c r="M59" i="1"/>
  <c r="G54" i="1"/>
  <c r="E49" i="1"/>
  <c r="O58" i="1"/>
  <c r="O52" i="1"/>
  <c r="N62" i="1"/>
  <c r="H59" i="1"/>
  <c r="J56" i="1"/>
  <c r="L53" i="1"/>
  <c r="F50" i="1"/>
  <c r="E67" i="1"/>
  <c r="D67" i="1"/>
  <c r="L80" i="1"/>
  <c r="I78" i="1"/>
  <c r="B79" i="1"/>
  <c r="E78" i="1"/>
  <c r="O83" i="1"/>
  <c r="G79" i="1"/>
  <c r="G73" i="1"/>
  <c r="O69" i="1"/>
  <c r="B73" i="1"/>
  <c r="J69" i="1"/>
  <c r="E83" i="1"/>
  <c r="C80" i="1"/>
  <c r="K76" i="1"/>
  <c r="M73" i="1"/>
  <c r="O70" i="1"/>
  <c r="D83" i="1"/>
  <c r="F80" i="1"/>
  <c r="H77" i="1"/>
  <c r="H73" i="1"/>
  <c r="N87" i="1"/>
  <c r="E98" i="1"/>
  <c r="G89" i="1"/>
  <c r="J96" i="1"/>
  <c r="L95" i="1"/>
  <c r="E101" i="1"/>
  <c r="L98" i="1"/>
  <c r="D92" i="1"/>
  <c r="M99" i="1"/>
  <c r="E93" i="1"/>
  <c r="D91" i="1"/>
  <c r="AA15" i="1"/>
  <c r="X20" i="1"/>
  <c r="AC22" i="1"/>
  <c r="X12" i="1"/>
  <c r="U11" i="1"/>
  <c r="AE8" i="1"/>
  <c r="T15" i="1"/>
  <c r="AC27" i="1"/>
  <c r="U34" i="1"/>
  <c r="U42" i="1"/>
  <c r="T32" i="1"/>
  <c r="AA32" i="1"/>
  <c r="AD40" i="1"/>
  <c r="AD28" i="1"/>
  <c r="I27" i="1"/>
  <c r="O37" i="1"/>
  <c r="N41" i="1"/>
  <c r="F42" i="1"/>
  <c r="J36" i="1"/>
  <c r="D58" i="1"/>
  <c r="B63" i="1"/>
  <c r="I55" i="1"/>
  <c r="J60" i="1"/>
  <c r="M76" i="1"/>
  <c r="G74" i="1"/>
  <c r="E43" i="1"/>
  <c r="E29" i="1"/>
  <c r="F32" i="1"/>
  <c r="I56" i="1"/>
  <c r="N49" i="1"/>
  <c r="D50" i="1"/>
  <c r="J61" i="1"/>
  <c r="G55" i="1"/>
  <c r="J57" i="1"/>
  <c r="E56" i="1"/>
  <c r="F61" i="1"/>
  <c r="H54" i="1"/>
  <c r="H48" i="1"/>
  <c r="M48" i="1"/>
  <c r="E59" i="1"/>
  <c r="M53" i="1"/>
  <c r="O48" i="1"/>
  <c r="C58" i="1"/>
  <c r="G52" i="1"/>
  <c r="J62" i="1"/>
  <c r="D59" i="1"/>
  <c r="F56" i="1"/>
  <c r="H53" i="1"/>
  <c r="B50" i="1"/>
  <c r="H67" i="1"/>
  <c r="C67" i="1"/>
  <c r="J79" i="1"/>
  <c r="G77" i="1"/>
  <c r="N77" i="1"/>
  <c r="L82" i="1"/>
  <c r="K81" i="1"/>
  <c r="K77" i="1"/>
  <c r="I72" i="1"/>
  <c r="K69" i="1"/>
  <c r="L72" i="1"/>
  <c r="F69" i="1"/>
  <c r="O82" i="1"/>
  <c r="M79" i="1"/>
  <c r="G76" i="1"/>
  <c r="I73" i="1"/>
  <c r="K70" i="1"/>
  <c r="N82" i="1"/>
  <c r="B80" i="1"/>
  <c r="D77" i="1"/>
  <c r="L71" i="1"/>
  <c r="J87" i="1"/>
  <c r="L97" i="1"/>
  <c r="E90" i="1"/>
  <c r="O102" i="1"/>
  <c r="E94" i="1"/>
  <c r="C95" i="1"/>
  <c r="H98" i="1"/>
  <c r="N91" i="1"/>
  <c r="C98" i="1"/>
  <c r="O92" i="1"/>
  <c r="J90" i="1"/>
  <c r="Y14" i="1"/>
  <c r="S23" i="1"/>
  <c r="V17" i="1"/>
  <c r="V11" i="1"/>
  <c r="AC9" i="1"/>
  <c r="AB23" i="1"/>
  <c r="Z14" i="1"/>
  <c r="AB27" i="1"/>
  <c r="X42" i="1"/>
  <c r="AD35" i="1"/>
  <c r="AE43" i="1"/>
  <c r="S32" i="1"/>
  <c r="V40" i="1"/>
  <c r="R47" i="1"/>
  <c r="F31" i="1"/>
  <c r="C43" i="1"/>
  <c r="E34" i="1"/>
  <c r="G42" i="1"/>
  <c r="D33" i="1"/>
  <c r="K57" i="1"/>
  <c r="G62" i="1"/>
  <c r="H63" i="1"/>
  <c r="F54" i="1"/>
  <c r="I67" i="1"/>
  <c r="C81" i="1"/>
  <c r="M82" i="1"/>
  <c r="J73" i="1"/>
  <c r="M83" i="1"/>
  <c r="N80" i="1"/>
  <c r="L27" i="1"/>
  <c r="C27" i="1"/>
  <c r="J29" i="1"/>
  <c r="L28" i="1"/>
  <c r="F39" i="1"/>
  <c r="H42" i="1"/>
  <c r="K41" i="1"/>
  <c r="I32" i="1"/>
  <c r="N40" i="1"/>
  <c r="K40" i="1"/>
  <c r="E35" i="1"/>
  <c r="D35" i="1"/>
  <c r="H29" i="1"/>
  <c r="H27" i="1"/>
  <c r="O27" i="1"/>
  <c r="J33" i="1"/>
  <c r="B29" i="1"/>
  <c r="K35" i="1"/>
  <c r="L42" i="1"/>
  <c r="F37" i="1"/>
  <c r="M40" i="1"/>
  <c r="H30" i="1"/>
  <c r="L40" i="1"/>
  <c r="I42" i="1"/>
  <c r="B35" i="1"/>
  <c r="C41" i="1"/>
  <c r="I36" i="1"/>
  <c r="O31" i="1"/>
  <c r="K42" i="1"/>
  <c r="H43" i="1"/>
  <c r="J40" i="1"/>
  <c r="L37" i="1"/>
  <c r="O38" i="1"/>
  <c r="O34" i="1"/>
  <c r="C32" i="1"/>
  <c r="G28" i="1"/>
  <c r="N34" i="1"/>
  <c r="B32" i="1"/>
  <c r="J28" i="1"/>
  <c r="E47" i="1"/>
  <c r="K53" i="1"/>
  <c r="B51" i="1"/>
  <c r="K63" i="1"/>
  <c r="L58" i="1"/>
  <c r="N59" i="1"/>
  <c r="H56" i="1"/>
  <c r="C55" i="1"/>
  <c r="J59" i="1"/>
  <c r="N53" i="1"/>
  <c r="G51" i="1"/>
  <c r="D48" i="1"/>
  <c r="K58" i="1"/>
  <c r="E53" i="1"/>
  <c r="E63" i="1"/>
  <c r="I57" i="1"/>
  <c r="M51" i="1"/>
  <c r="L61" i="1"/>
  <c r="N58" i="1"/>
  <c r="B56" i="1"/>
  <c r="J52" i="1"/>
  <c r="L49" i="1"/>
  <c r="O67" i="1"/>
  <c r="M80" i="1"/>
  <c r="H78" i="1"/>
  <c r="E76" i="1"/>
  <c r="B75" i="1"/>
  <c r="B81" i="1"/>
  <c r="O79" i="1"/>
  <c r="M72" i="1"/>
  <c r="E72" i="1"/>
  <c r="G69" i="1"/>
  <c r="N71" i="1"/>
  <c r="B69" i="1"/>
  <c r="K82" i="1"/>
  <c r="O78" i="1"/>
  <c r="C76" i="1"/>
  <c r="E73" i="1"/>
  <c r="M69" i="1"/>
  <c r="J82" i="1"/>
  <c r="L79" i="1"/>
  <c r="F76" i="1"/>
  <c r="H71" i="1"/>
  <c r="O87" i="1"/>
  <c r="O95" i="1"/>
  <c r="I88" i="1"/>
  <c r="N103" i="1"/>
  <c r="C93" i="1"/>
  <c r="I94" i="1"/>
  <c r="L96" i="1"/>
  <c r="J91" i="1"/>
  <c r="M97" i="1"/>
  <c r="E91" i="1"/>
  <c r="N88" i="1"/>
  <c r="S11" i="1"/>
  <c r="Y20" i="1"/>
  <c r="AA23" i="1"/>
  <c r="U8" i="1"/>
  <c r="S22" i="1"/>
  <c r="R22" i="1"/>
  <c r="AD12" i="1"/>
  <c r="V29" i="1"/>
  <c r="AD41" i="1"/>
  <c r="X28" i="1"/>
  <c r="AC34" i="1"/>
  <c r="AC29" i="1"/>
  <c r="R38" i="1"/>
  <c r="X47" i="1"/>
  <c r="C31" i="1"/>
  <c r="D32" i="1"/>
  <c r="H28" i="1"/>
  <c r="O36" i="1"/>
  <c r="D47" i="1"/>
  <c r="G63" i="1"/>
  <c r="L48" i="1"/>
  <c r="C54" i="1"/>
  <c r="H51" i="1"/>
  <c r="F81" i="1"/>
  <c r="L74" i="1"/>
  <c r="I70" i="1"/>
  <c r="L70" i="1"/>
  <c r="B78" i="1"/>
  <c r="D34" i="1"/>
  <c r="I38" i="1"/>
  <c r="J39" i="1"/>
  <c r="J35" i="1"/>
  <c r="D38" i="1"/>
  <c r="L36" i="1"/>
  <c r="C37" i="1"/>
  <c r="I37" i="1"/>
  <c r="B38" i="1"/>
  <c r="G32" i="1"/>
  <c r="I47" i="1"/>
  <c r="D27" i="1"/>
  <c r="D42" i="1"/>
  <c r="B33" i="1"/>
  <c r="M28" i="1"/>
  <c r="C35" i="1"/>
  <c r="N39" i="1"/>
  <c r="N33" i="1"/>
  <c r="G37" i="1"/>
  <c r="N43" i="1"/>
  <c r="H38" i="1"/>
  <c r="C39" i="1"/>
  <c r="F33" i="1"/>
  <c r="I40" i="1"/>
  <c r="O35" i="1"/>
  <c r="G31" i="1"/>
  <c r="C42" i="1"/>
  <c r="D43" i="1"/>
  <c r="F40" i="1"/>
  <c r="H37" i="1"/>
  <c r="G38" i="1"/>
  <c r="K34" i="1"/>
  <c r="I31" i="1"/>
  <c r="C28" i="1"/>
  <c r="J34" i="1"/>
  <c r="L31" i="1"/>
  <c r="F28" i="1"/>
  <c r="L47" i="1"/>
  <c r="N63" i="1"/>
  <c r="M58" i="1"/>
  <c r="G61" i="1"/>
  <c r="N55" i="1"/>
  <c r="D54" i="1"/>
  <c r="J53" i="1"/>
  <c r="I54" i="1"/>
  <c r="B59" i="1"/>
  <c r="H52" i="1"/>
  <c r="C51" i="1"/>
  <c r="C48" i="1"/>
  <c r="G58" i="1"/>
  <c r="K52" i="1"/>
  <c r="K62" i="1"/>
  <c r="O56" i="1"/>
  <c r="E51" i="1"/>
  <c r="H61" i="1"/>
  <c r="J58" i="1"/>
  <c r="L55" i="1"/>
  <c r="F52" i="1"/>
  <c r="H49" i="1"/>
  <c r="K67" i="1"/>
  <c r="E80" i="1"/>
  <c r="F77" i="1"/>
  <c r="K75" i="1"/>
  <c r="C73" i="1"/>
  <c r="N79" i="1"/>
  <c r="C77" i="1"/>
  <c r="N83" i="1"/>
  <c r="O71" i="1"/>
  <c r="C69" i="1"/>
  <c r="J71" i="1"/>
  <c r="L68" i="1"/>
  <c r="G82" i="1"/>
  <c r="K78" i="1"/>
  <c r="M75" i="1"/>
  <c r="O72" i="1"/>
  <c r="I69" i="1"/>
  <c r="F82" i="1"/>
  <c r="H79" i="1"/>
  <c r="B76" i="1"/>
  <c r="D71" i="1"/>
  <c r="K87" i="1"/>
  <c r="M88" i="1"/>
  <c r="M100" i="1"/>
  <c r="E103" i="1"/>
  <c r="J103" i="1"/>
  <c r="O93" i="1"/>
  <c r="H96" i="1"/>
  <c r="N89" i="1"/>
  <c r="I97" i="1"/>
  <c r="K90" i="1"/>
  <c r="F88" i="1"/>
  <c r="AE9" i="1"/>
  <c r="AE19" i="1"/>
  <c r="S19" i="1"/>
  <c r="S8" i="1"/>
  <c r="U21" i="1"/>
  <c r="X21" i="1"/>
  <c r="V12" i="1"/>
  <c r="U40" i="1"/>
  <c r="Z39" i="1"/>
  <c r="AD33" i="1"/>
  <c r="Y32" i="1"/>
  <c r="U29" i="1"/>
  <c r="AD36" i="1"/>
  <c r="AE47" i="1"/>
  <c r="W58" i="1"/>
  <c r="AA48" i="1"/>
  <c r="Y62" i="1"/>
  <c r="S55" i="1"/>
  <c r="S59" i="1"/>
  <c r="AA49" i="1"/>
  <c r="AE54" i="1"/>
  <c r="U51" i="1"/>
  <c r="S57" i="1"/>
  <c r="U55" i="1"/>
  <c r="U48" i="1"/>
  <c r="AB60" i="1"/>
  <c r="AD57" i="1"/>
  <c r="Z53" i="1"/>
  <c r="T63" i="1"/>
  <c r="Z56" i="1"/>
  <c r="X51" i="1"/>
  <c r="U67" i="1"/>
  <c r="V77" i="1"/>
  <c r="T70" i="1"/>
  <c r="Z75" i="1"/>
  <c r="Z77" i="1"/>
  <c r="W71" i="1"/>
  <c r="AE76" i="1"/>
  <c r="AD82" i="1"/>
  <c r="AB73" i="1"/>
  <c r="X87" i="1"/>
  <c r="U100" i="1"/>
  <c r="AA100" i="1"/>
  <c r="S97" i="1"/>
  <c r="AD99" i="1"/>
  <c r="AB90" i="1"/>
  <c r="AB97" i="1"/>
  <c r="Z88" i="1"/>
  <c r="AP18" i="1"/>
  <c r="AN13" i="1"/>
  <c r="AH21" i="1"/>
  <c r="AM17" i="1"/>
  <c r="O90" i="1"/>
  <c r="K88" i="1"/>
  <c r="D93" i="1"/>
  <c r="N90" i="1"/>
  <c r="J88" i="1"/>
  <c r="X7" i="1"/>
  <c r="S7" i="1"/>
  <c r="S15" i="1"/>
  <c r="Y10" i="1"/>
  <c r="AB22" i="1"/>
  <c r="T12" i="1"/>
  <c r="Z23" i="1"/>
  <c r="U22" i="1"/>
  <c r="W15" i="1"/>
  <c r="AC10" i="1"/>
  <c r="AD21" i="1"/>
  <c r="W21" i="1"/>
  <c r="X18" i="1"/>
  <c r="X16" i="1"/>
  <c r="AD11" i="1"/>
  <c r="T8" i="1"/>
  <c r="AC19" i="1"/>
  <c r="U15" i="1"/>
  <c r="AA10" i="1"/>
  <c r="Y21" i="1"/>
  <c r="U17" i="1"/>
  <c r="AA12" i="1"/>
  <c r="AA8" i="1"/>
  <c r="AB21" i="1"/>
  <c r="X19" i="1"/>
  <c r="T17" i="1"/>
  <c r="AD14" i="1"/>
  <c r="Z12" i="1"/>
  <c r="V10" i="1"/>
  <c r="R8" i="1"/>
  <c r="Y27" i="1"/>
  <c r="X32" i="1"/>
  <c r="Z35" i="1"/>
  <c r="Z29" i="1"/>
  <c r="AA29" i="1"/>
  <c r="W41" i="1"/>
  <c r="U32" i="1"/>
  <c r="AB28" i="1"/>
  <c r="T38" i="1"/>
  <c r="Y42" i="1"/>
  <c r="AA37" i="1"/>
  <c r="Z43" i="1"/>
  <c r="W29" i="1"/>
  <c r="R33" i="1"/>
  <c r="W42" i="1"/>
  <c r="AC35" i="1"/>
  <c r="W32" i="1"/>
  <c r="Y29" i="1"/>
  <c r="W40" i="1"/>
  <c r="X43" i="1"/>
  <c r="Z40" i="1"/>
  <c r="T37" i="1"/>
  <c r="V34" i="1"/>
  <c r="X31" i="1"/>
  <c r="R28" i="1"/>
  <c r="T47" i="1"/>
  <c r="Y56" i="1"/>
  <c r="Y60" i="1"/>
  <c r="Y63" i="1"/>
  <c r="U53" i="1"/>
  <c r="W56" i="1"/>
  <c r="S49" i="1"/>
  <c r="AA63" i="1"/>
  <c r="Y49" i="1"/>
  <c r="AA56" i="1"/>
  <c r="W53" i="1"/>
  <c r="V63" i="1"/>
  <c r="X60" i="1"/>
  <c r="Z57" i="1"/>
  <c r="AD51" i="1"/>
  <c r="AD62" i="1"/>
  <c r="V56" i="1"/>
  <c r="AB49" i="1"/>
  <c r="AB67" i="1"/>
  <c r="AB72" i="1"/>
  <c r="W75" i="1"/>
  <c r="V73" i="1"/>
  <c r="AC76" i="1"/>
  <c r="AD69" i="1"/>
  <c r="AA76" i="1"/>
  <c r="Z82" i="1"/>
  <c r="X73" i="1"/>
  <c r="T87" i="1"/>
  <c r="Y98" i="1"/>
  <c r="W98" i="1"/>
  <c r="Y96" i="1"/>
  <c r="Z99" i="1"/>
  <c r="X90" i="1"/>
  <c r="X97" i="1"/>
  <c r="V88" i="1"/>
  <c r="AJ18" i="1"/>
  <c r="AR23" i="1"/>
  <c r="AQ20" i="1"/>
  <c r="AP15" i="1"/>
  <c r="U54" i="1"/>
  <c r="S60" i="1"/>
  <c r="S61" i="1"/>
  <c r="S52" i="1"/>
  <c r="Y54" i="1"/>
  <c r="Y48" i="1"/>
  <c r="W60" i="1"/>
  <c r="AE48" i="1"/>
  <c r="AC54" i="1"/>
  <c r="AC52" i="1"/>
  <c r="R63" i="1"/>
  <c r="T60" i="1"/>
  <c r="V57" i="1"/>
  <c r="Z51" i="1"/>
  <c r="T61" i="1"/>
  <c r="R56" i="1"/>
  <c r="X49" i="1"/>
  <c r="X76" i="1"/>
  <c r="AA69" i="1"/>
  <c r="S73" i="1"/>
  <c r="Z81" i="1"/>
  <c r="V75" i="1"/>
  <c r="AA82" i="1"/>
  <c r="W74" i="1"/>
  <c r="Z80" i="1"/>
  <c r="X71" i="1"/>
  <c r="S90" i="1"/>
  <c r="AA96" i="1"/>
  <c r="AC103" i="1"/>
  <c r="Y92" i="1"/>
  <c r="Z97" i="1"/>
  <c r="X88" i="1"/>
  <c r="X95" i="1"/>
  <c r="AL7" i="1"/>
  <c r="AI13" i="1"/>
  <c r="AP16" i="1"/>
  <c r="AJ15" i="1"/>
  <c r="AN8" i="1"/>
  <c r="D73" i="1"/>
  <c r="N70" i="1"/>
  <c r="J68" i="1"/>
  <c r="F87" i="1"/>
  <c r="C87" i="1"/>
  <c r="D102" i="1"/>
  <c r="H95" i="1"/>
  <c r="L101" i="1"/>
  <c r="H102" i="1"/>
  <c r="M96" i="1"/>
  <c r="K93" i="1"/>
  <c r="O101" i="1"/>
  <c r="E102" i="1"/>
  <c r="O89" i="1"/>
  <c r="G91" i="1"/>
  <c r="E100" i="1"/>
  <c r="N100" i="1"/>
  <c r="G93" i="1"/>
  <c r="H100" i="1"/>
  <c r="D98" i="1"/>
  <c r="N95" i="1"/>
  <c r="J93" i="1"/>
  <c r="F91" i="1"/>
  <c r="B89" i="1"/>
  <c r="I99" i="1"/>
  <c r="E97" i="1"/>
  <c r="O94" i="1"/>
  <c r="K92" i="1"/>
  <c r="G90" i="1"/>
  <c r="N94" i="1"/>
  <c r="J92" i="1"/>
  <c r="F90" i="1"/>
  <c r="B88" i="1"/>
  <c r="V7" i="1"/>
  <c r="W17" i="1"/>
  <c r="AE13" i="1"/>
  <c r="W9" i="1"/>
  <c r="Z15" i="1"/>
  <c r="R11" i="1"/>
  <c r="V21" i="1"/>
  <c r="AA17" i="1"/>
  <c r="U14" i="1"/>
  <c r="AA9" i="1"/>
  <c r="R23" i="1"/>
  <c r="T18" i="1"/>
  <c r="AD23" i="1"/>
  <c r="V15" i="1"/>
  <c r="AB10" i="1"/>
  <c r="Y23" i="1"/>
  <c r="AA18" i="1"/>
  <c r="S14" i="1"/>
  <c r="U9" i="1"/>
  <c r="AA20" i="1"/>
  <c r="S16" i="1"/>
  <c r="Y11" i="1"/>
  <c r="X23" i="1"/>
  <c r="T21" i="1"/>
  <c r="AD18" i="1"/>
  <c r="Z16" i="1"/>
  <c r="V14" i="1"/>
  <c r="R12" i="1"/>
  <c r="AB9" i="1"/>
  <c r="U27" i="1"/>
  <c r="X27" i="1"/>
  <c r="AE37" i="1"/>
  <c r="AC42" i="1"/>
  <c r="Y28" i="1"/>
  <c r="AA39" i="1"/>
  <c r="S39" i="1"/>
  <c r="AE29" i="1"/>
  <c r="W37" i="1"/>
  <c r="Z33" i="1"/>
  <c r="W43" i="1"/>
  <c r="AB36" i="1"/>
  <c r="R39" i="1"/>
  <c r="T42" i="1"/>
  <c r="AB30" i="1"/>
  <c r="S40" i="1"/>
  <c r="AE34" i="1"/>
  <c r="AC31" i="1"/>
  <c r="W28" i="1"/>
  <c r="U39" i="1"/>
  <c r="AD42" i="1"/>
  <c r="X39" i="1"/>
  <c r="Z36" i="1"/>
  <c r="AB33" i="1"/>
  <c r="V30" i="1"/>
  <c r="AD47" i="1"/>
  <c r="AA47" i="1"/>
  <c r="W57" i="1"/>
  <c r="U58" i="1"/>
  <c r="AC58" i="1"/>
  <c r="U49" i="1"/>
  <c r="S54" i="1"/>
  <c r="U57" i="1"/>
  <c r="AC55" i="1"/>
  <c r="W48" i="1"/>
  <c r="AE63" i="1"/>
  <c r="S51" i="1"/>
  <c r="AB62" i="1"/>
  <c r="AD59" i="1"/>
  <c r="X56" i="1"/>
  <c r="V51" i="1"/>
  <c r="AD60" i="1"/>
  <c r="V54" i="1"/>
  <c r="T49" i="1"/>
  <c r="AA75" i="1"/>
  <c r="AD81" i="1"/>
  <c r="AC70" i="1"/>
  <c r="V79" i="1"/>
  <c r="X68" i="1"/>
  <c r="S82" i="1"/>
  <c r="S74" i="1"/>
  <c r="V80" i="1"/>
  <c r="T71" i="1"/>
  <c r="AE101" i="1"/>
  <c r="Y95" i="1"/>
  <c r="W102" i="1"/>
  <c r="AE91" i="1"/>
  <c r="V97" i="1"/>
  <c r="T88" i="1"/>
  <c r="T95" i="1"/>
  <c r="AS7" i="1"/>
  <c r="AR8" i="1"/>
  <c r="AJ16" i="1"/>
  <c r="AR14" i="1"/>
  <c r="AH20" i="1"/>
  <c r="D75" i="1"/>
  <c r="N72" i="1"/>
  <c r="J70" i="1"/>
  <c r="F68" i="1"/>
  <c r="I87" i="1"/>
  <c r="C103" i="1"/>
  <c r="I101" i="1"/>
  <c r="L103" i="1"/>
  <c r="K97" i="1"/>
  <c r="C99" i="1"/>
  <c r="C101" i="1"/>
  <c r="I92" i="1"/>
  <c r="F101" i="1"/>
  <c r="J101" i="1"/>
  <c r="J98" i="1"/>
  <c r="K102" i="1"/>
  <c r="H97" i="1"/>
  <c r="K99" i="1"/>
  <c r="M92" i="1"/>
  <c r="D100" i="1"/>
  <c r="N97" i="1"/>
  <c r="J95" i="1"/>
  <c r="F93" i="1"/>
  <c r="B91" i="1"/>
  <c r="L88" i="1"/>
  <c r="E99" i="1"/>
  <c r="O96" i="1"/>
  <c r="K94" i="1"/>
  <c r="G92" i="1"/>
  <c r="C90" i="1"/>
  <c r="J94" i="1"/>
  <c r="F92" i="1"/>
  <c r="B90" i="1"/>
  <c r="R7" i="1"/>
  <c r="Y7" i="1"/>
  <c r="R21" i="1"/>
  <c r="W13" i="1"/>
  <c r="AC8" i="1"/>
  <c r="R15" i="1"/>
  <c r="X10" i="1"/>
  <c r="AC20" i="1"/>
  <c r="T22" i="1"/>
  <c r="AA13" i="1"/>
  <c r="S9" i="1"/>
  <c r="AB20" i="1"/>
  <c r="AE23" i="1"/>
  <c r="W23" i="1"/>
  <c r="AB14" i="1"/>
  <c r="T10" i="1"/>
  <c r="AE22" i="1"/>
  <c r="S18" i="1"/>
  <c r="Y13" i="1"/>
  <c r="W8" i="1"/>
  <c r="S20" i="1"/>
  <c r="Y15" i="1"/>
  <c r="AE10" i="1"/>
  <c r="T23" i="1"/>
  <c r="AD20" i="1"/>
  <c r="Z18" i="1"/>
  <c r="V16" i="1"/>
  <c r="R14" i="1"/>
  <c r="AB11" i="1"/>
  <c r="X9" i="1"/>
  <c r="T27" i="1"/>
  <c r="AE27" i="1"/>
  <c r="W33" i="1"/>
  <c r="Y40" i="1"/>
  <c r="X38" i="1"/>
  <c r="S35" i="1"/>
  <c r="V37" i="1"/>
  <c r="AB40" i="1"/>
  <c r="V33" i="1"/>
  <c r="S33" i="1"/>
  <c r="S41" i="1"/>
  <c r="R43" i="1"/>
  <c r="Y38" i="1"/>
  <c r="AA41" i="1"/>
  <c r="U30" i="1"/>
  <c r="Y39" i="1"/>
  <c r="AA34" i="1"/>
  <c r="Y31" i="1"/>
  <c r="S28" i="1"/>
  <c r="AA38" i="1"/>
  <c r="Z42" i="1"/>
  <c r="T39" i="1"/>
  <c r="V36" i="1"/>
  <c r="X33" i="1"/>
  <c r="R30" i="1"/>
  <c r="U47" i="1"/>
  <c r="W47" i="1"/>
  <c r="AA54" i="1"/>
  <c r="AC57" i="1"/>
  <c r="S56" i="1"/>
  <c r="W63" i="1"/>
  <c r="S53" i="1"/>
  <c r="AC60" i="1"/>
  <c r="AE53" i="1"/>
  <c r="U63" i="1"/>
  <c r="AC62" i="1"/>
  <c r="Y50" i="1"/>
  <c r="X62" i="1"/>
  <c r="Z59" i="1"/>
  <c r="T56" i="1"/>
  <c r="Z49" i="1"/>
  <c r="Z60" i="1"/>
  <c r="R54" i="1"/>
  <c r="R67" i="1"/>
  <c r="T74" i="1"/>
  <c r="T80" i="1"/>
  <c r="W77" i="1"/>
  <c r="T78" i="1"/>
  <c r="AE83" i="1"/>
  <c r="AC77" i="1"/>
  <c r="S72" i="1"/>
  <c r="V78" i="1"/>
  <c r="T69" i="1"/>
  <c r="AC100" i="1"/>
  <c r="W90" i="1"/>
  <c r="S96" i="1"/>
  <c r="U88" i="1"/>
  <c r="V95" i="1"/>
  <c r="V102" i="1"/>
  <c r="T93" i="1"/>
  <c r="AI7" i="1"/>
  <c r="AQ22" i="1"/>
  <c r="AS10" i="1"/>
  <c r="AI11" i="1"/>
  <c r="AN14" i="1"/>
  <c r="N74" i="1"/>
  <c r="J72" i="1"/>
  <c r="F70" i="1"/>
  <c r="B68" i="1"/>
  <c r="E87" i="1"/>
  <c r="H101" i="1"/>
  <c r="D101" i="1"/>
  <c r="F96" i="1"/>
  <c r="B102" i="1"/>
  <c r="O99" i="1"/>
  <c r="G95" i="1"/>
  <c r="M90" i="1"/>
  <c r="L99" i="1"/>
  <c r="O100" i="1"/>
  <c r="G103" i="1"/>
  <c r="K101" i="1"/>
  <c r="K95" i="1"/>
  <c r="D99" i="1"/>
  <c r="E92" i="1"/>
  <c r="N99" i="1"/>
  <c r="J97" i="1"/>
  <c r="F95" i="1"/>
  <c r="B93" i="1"/>
  <c r="L90" i="1"/>
  <c r="H88" i="1"/>
  <c r="O98" i="1"/>
  <c r="K96" i="1"/>
  <c r="G94" i="1"/>
  <c r="C92" i="1"/>
  <c r="M89" i="1"/>
  <c r="F94" i="1"/>
  <c r="B92" i="1"/>
  <c r="L89" i="1"/>
  <c r="U7" i="1"/>
  <c r="AB7" i="1"/>
  <c r="AB18" i="1"/>
  <c r="AC12" i="1"/>
  <c r="X22" i="1"/>
  <c r="X14" i="1"/>
  <c r="AD9" i="1"/>
  <c r="R19" i="1"/>
  <c r="AD19" i="1"/>
  <c r="S13" i="1"/>
  <c r="Y8" i="1"/>
  <c r="AE17" i="1"/>
  <c r="AA21" i="1"/>
  <c r="Z21" i="1"/>
  <c r="T14" i="1"/>
  <c r="Z9" i="1"/>
  <c r="W22" i="1"/>
  <c r="Y17" i="1"/>
  <c r="AE12" i="1"/>
  <c r="AC23" i="1"/>
  <c r="Y19" i="1"/>
  <c r="AE14" i="1"/>
  <c r="W10" i="1"/>
  <c r="AD22" i="1"/>
  <c r="Z20" i="1"/>
  <c r="V18" i="1"/>
  <c r="R16" i="1"/>
  <c r="AB13" i="1"/>
  <c r="X11" i="1"/>
  <c r="T9" i="1"/>
  <c r="AD27" i="1"/>
  <c r="AA27" i="1"/>
  <c r="Z41" i="1"/>
  <c r="U38" i="1"/>
  <c r="AA35" i="1"/>
  <c r="R31" i="1"/>
  <c r="AC36" i="1"/>
  <c r="S31" i="1"/>
  <c r="Y30" i="1"/>
  <c r="V31" i="1"/>
  <c r="AB34" i="1"/>
  <c r="V43" i="1"/>
  <c r="U36" i="1"/>
  <c r="AD39" i="1"/>
  <c r="T28" i="1"/>
  <c r="AE38" i="1"/>
  <c r="W34" i="1"/>
  <c r="AA30" i="1"/>
  <c r="AC43" i="1"/>
  <c r="S38" i="1"/>
  <c r="AB41" i="1"/>
  <c r="AD38" i="1"/>
  <c r="R36" i="1"/>
  <c r="Z32" i="1"/>
  <c r="AB29" i="1"/>
  <c r="V47" i="1"/>
  <c r="W55" i="1"/>
  <c r="AA52" i="1"/>
  <c r="AE55" i="1"/>
  <c r="Y61" i="1"/>
  <c r="U62" i="1"/>
  <c r="Y52" i="1"/>
  <c r="W54" i="1"/>
  <c r="Y53" i="1"/>
  <c r="S62" i="1"/>
  <c r="AE57" i="1"/>
  <c r="AE49" i="1"/>
  <c r="T62" i="1"/>
  <c r="AB58" i="1"/>
  <c r="AD55" i="1"/>
  <c r="V49" i="1"/>
  <c r="AD58" i="1"/>
  <c r="AB53" i="1"/>
  <c r="AE67" i="1"/>
  <c r="R69" i="1"/>
  <c r="R79" i="1"/>
  <c r="AD75" i="1"/>
  <c r="AA79" i="1"/>
  <c r="W83" i="1"/>
  <c r="U77" i="1"/>
  <c r="AC71" i="1"/>
  <c r="R78" i="1"/>
  <c r="AD68" i="1"/>
  <c r="AA99" i="1"/>
  <c r="AC89" i="1"/>
  <c r="W94" i="1"/>
  <c r="Y88" i="1"/>
  <c r="R95" i="1"/>
  <c r="R102" i="1"/>
  <c r="AD92" i="1"/>
  <c r="AJ23" i="1"/>
  <c r="AT19" i="1"/>
  <c r="AK10" i="1"/>
  <c r="AH19" i="1"/>
  <c r="AJ12" i="1"/>
  <c r="K29" i="1"/>
  <c r="I41" i="1"/>
  <c r="K36" i="1"/>
  <c r="L41" i="1"/>
  <c r="H39" i="1"/>
  <c r="D28" i="1"/>
  <c r="C40" i="1"/>
  <c r="C36" i="1"/>
  <c r="M33" i="1"/>
  <c r="E31" i="1"/>
  <c r="O28" i="1"/>
  <c r="B36" i="1"/>
  <c r="L33" i="1"/>
  <c r="H31" i="1"/>
  <c r="D29" i="1"/>
  <c r="J47" i="1"/>
  <c r="K47" i="1"/>
  <c r="H60" i="1"/>
  <c r="L52" i="1"/>
  <c r="N51" i="1"/>
  <c r="K55" i="1"/>
  <c r="I62" i="1"/>
  <c r="D52" i="1"/>
  <c r="F51" i="1"/>
  <c r="O61" i="1"/>
  <c r="O53" i="1"/>
  <c r="L60" i="1"/>
  <c r="D56" i="1"/>
  <c r="J51" i="1"/>
  <c r="M50" i="1"/>
  <c r="I48" i="1"/>
  <c r="E61" i="1"/>
  <c r="K56" i="1"/>
  <c r="C52" i="1"/>
  <c r="G48" i="1"/>
  <c r="C60" i="1"/>
  <c r="E55" i="1"/>
  <c r="K50" i="1"/>
  <c r="F62" i="1"/>
  <c r="B60" i="1"/>
  <c r="L57" i="1"/>
  <c r="H55" i="1"/>
  <c r="D53" i="1"/>
  <c r="N50" i="1"/>
  <c r="J48" i="1"/>
  <c r="G67" i="1"/>
  <c r="C83" i="1"/>
  <c r="B83" i="1"/>
  <c r="K83" i="1"/>
  <c r="I74" i="1"/>
  <c r="L76" i="1"/>
  <c r="M74" i="1"/>
  <c r="B77" i="1"/>
  <c r="O75" i="1"/>
  <c r="I76" i="1"/>
  <c r="J77" i="1"/>
  <c r="C71" i="1"/>
  <c r="M68" i="1"/>
  <c r="H72" i="1"/>
  <c r="D70" i="1"/>
  <c r="C68" i="1"/>
  <c r="C82" i="1"/>
  <c r="I79" i="1"/>
  <c r="E77" i="1"/>
  <c r="O74" i="1"/>
  <c r="K72" i="1"/>
  <c r="G70" i="1"/>
  <c r="L83" i="1"/>
  <c r="H81" i="1"/>
  <c r="D79" i="1"/>
  <c r="N76" i="1"/>
  <c r="J74" i="1"/>
  <c r="F72" i="1"/>
  <c r="B70" i="1"/>
  <c r="B87" i="1"/>
  <c r="L87" i="1"/>
  <c r="L102" i="1"/>
  <c r="I100" i="1"/>
  <c r="K89" i="1"/>
  <c r="E96" i="1"/>
  <c r="L100" i="1"/>
  <c r="K103" i="1"/>
  <c r="F103" i="1"/>
  <c r="O97" i="1"/>
  <c r="J100" i="1"/>
  <c r="G102" i="1"/>
  <c r="G99" i="1"/>
  <c r="I103" i="1"/>
  <c r="G97" i="1"/>
  <c r="K91" i="1"/>
  <c r="J99" i="1"/>
  <c r="F97" i="1"/>
  <c r="B95" i="1"/>
  <c r="L92" i="1"/>
  <c r="H90" i="1"/>
  <c r="D88" i="1"/>
  <c r="K98" i="1"/>
  <c r="G96" i="1"/>
  <c r="C94" i="1"/>
  <c r="M91" i="1"/>
  <c r="I89" i="1"/>
  <c r="B94" i="1"/>
  <c r="L91" i="1"/>
  <c r="H89" i="1"/>
  <c r="T7" i="1"/>
  <c r="AE7" i="1"/>
  <c r="U18" i="1"/>
  <c r="U12" i="1"/>
  <c r="AB16" i="1"/>
  <c r="AD13" i="1"/>
  <c r="V9" i="1"/>
  <c r="Y18" i="1"/>
  <c r="W19" i="1"/>
  <c r="Y12" i="1"/>
  <c r="AE21" i="1"/>
  <c r="AA19" i="1"/>
  <c r="Y16" i="1"/>
  <c r="S21" i="1"/>
  <c r="Z13" i="1"/>
  <c r="R9" i="1"/>
  <c r="AC21" i="1"/>
  <c r="AE16" i="1"/>
  <c r="W12" i="1"/>
  <c r="U23" i="1"/>
  <c r="AE18" i="1"/>
  <c r="W14" i="1"/>
  <c r="S10" i="1"/>
  <c r="Z22" i="1"/>
  <c r="V20" i="1"/>
  <c r="R18" i="1"/>
  <c r="AB15" i="1"/>
  <c r="X13" i="1"/>
  <c r="T11" i="1"/>
  <c r="AD8" i="1"/>
  <c r="Z27" i="1"/>
  <c r="W27" i="1"/>
  <c r="R37" i="1"/>
  <c r="AA33" i="1"/>
  <c r="AD43" i="1"/>
  <c r="AB38" i="1"/>
  <c r="R35" i="1"/>
  <c r="V39" i="1"/>
  <c r="R41" i="1"/>
  <c r="AC30" i="1"/>
  <c r="AE31" i="1"/>
  <c r="AE35" i="1"/>
  <c r="X34" i="1"/>
  <c r="W39" i="1"/>
  <c r="Y33" i="1"/>
  <c r="W38" i="1"/>
  <c r="S34" i="1"/>
  <c r="W30" i="1"/>
  <c r="U43" i="1"/>
  <c r="Y37" i="1"/>
  <c r="X41" i="1"/>
  <c r="Z38" i="1"/>
  <c r="AB35" i="1"/>
  <c r="V32" i="1"/>
  <c r="X29" i="1"/>
  <c r="Z47" i="1"/>
  <c r="W62" i="1"/>
  <c r="Y51" i="1"/>
  <c r="Y55" i="1"/>
  <c r="AA59" i="1"/>
  <c r="W61" i="1"/>
  <c r="AE51" i="1"/>
  <c r="AC61" i="1"/>
  <c r="AE52" i="1"/>
  <c r="AA61" i="1"/>
  <c r="Y57" i="1"/>
  <c r="W49" i="1"/>
  <c r="AD61" i="1"/>
  <c r="X58" i="1"/>
  <c r="T54" i="1"/>
  <c r="R49" i="1"/>
  <c r="Z58" i="1"/>
  <c r="R52" i="1"/>
  <c r="AA67" i="1"/>
  <c r="U74" i="1"/>
  <c r="X72" i="1"/>
  <c r="Z73" i="1"/>
  <c r="AD77" i="1"/>
  <c r="W79" i="1"/>
  <c r="U81" i="1"/>
  <c r="AC69" i="1"/>
  <c r="R76" i="1"/>
  <c r="W87" i="1"/>
  <c r="W89" i="1"/>
  <c r="AC91" i="1"/>
  <c r="AA101" i="1"/>
  <c r="T102" i="1"/>
  <c r="R93" i="1"/>
  <c r="R100" i="1"/>
  <c r="AD90" i="1"/>
  <c r="AR22" i="1"/>
  <c r="AU9" i="1"/>
  <c r="AP12" i="1"/>
  <c r="AM19" i="1"/>
  <c r="AP20" i="1"/>
  <c r="C29" i="1"/>
  <c r="O40" i="1"/>
  <c r="L43" i="1"/>
  <c r="H41" i="1"/>
  <c r="D39" i="1"/>
  <c r="M31" i="1"/>
  <c r="I39" i="1"/>
  <c r="M35" i="1"/>
  <c r="I33" i="1"/>
  <c r="O30" i="1"/>
  <c r="K28" i="1"/>
  <c r="L35" i="1"/>
  <c r="H33" i="1"/>
  <c r="D31" i="1"/>
  <c r="N28" i="1"/>
  <c r="F47" i="1"/>
  <c r="G47" i="1"/>
  <c r="B57" i="1"/>
  <c r="O51" i="1"/>
  <c r="J49" i="1"/>
  <c r="F53" i="1"/>
  <c r="M60" i="1"/>
  <c r="L62" i="1"/>
  <c r="D62" i="1"/>
  <c r="E60" i="1"/>
  <c r="I52" i="1"/>
  <c r="D60" i="1"/>
  <c r="J55" i="1"/>
  <c r="H50" i="1"/>
  <c r="I50" i="1"/>
  <c r="E48" i="1"/>
  <c r="G60" i="1"/>
  <c r="C56" i="1"/>
  <c r="I51" i="1"/>
  <c r="M63" i="1"/>
  <c r="I59" i="1"/>
  <c r="K54" i="1"/>
  <c r="C50" i="1"/>
  <c r="B62" i="1"/>
  <c r="L59" i="1"/>
  <c r="H57" i="1"/>
  <c r="D55" i="1"/>
  <c r="N52" i="1"/>
  <c r="J50" i="1"/>
  <c r="F48" i="1"/>
  <c r="J67" i="1"/>
  <c r="O81" i="1"/>
  <c r="N81" i="1"/>
  <c r="I82" i="1"/>
  <c r="O73" i="1"/>
  <c r="J75" i="1"/>
  <c r="E82" i="1"/>
  <c r="F75" i="1"/>
  <c r="E74" i="1"/>
  <c r="G75" i="1"/>
  <c r="N75" i="1"/>
  <c r="M70" i="1"/>
  <c r="E68" i="1"/>
  <c r="D72" i="1"/>
  <c r="N69" i="1"/>
  <c r="M81" i="1"/>
  <c r="I81" i="1"/>
  <c r="E79" i="1"/>
  <c r="O76" i="1"/>
  <c r="K74" i="1"/>
  <c r="G72" i="1"/>
  <c r="C70" i="1"/>
  <c r="H83" i="1"/>
  <c r="D81" i="1"/>
  <c r="N78" i="1"/>
  <c r="J76" i="1"/>
  <c r="F74" i="1"/>
  <c r="B72" i="1"/>
  <c r="L69" i="1"/>
  <c r="M87" i="1"/>
  <c r="D87" i="1"/>
  <c r="D97" i="1"/>
  <c r="B100" i="1"/>
  <c r="H99" i="1"/>
  <c r="O91" i="1"/>
  <c r="M94" i="1"/>
  <c r="B103" i="1"/>
  <c r="F102" i="1"/>
  <c r="D95" i="1"/>
  <c r="M98" i="1"/>
  <c r="B98" i="1"/>
  <c r="C97" i="1"/>
  <c r="D103" i="1"/>
  <c r="N96" i="1"/>
  <c r="C91" i="1"/>
  <c r="F99" i="1"/>
  <c r="B97" i="1"/>
  <c r="L94" i="1"/>
  <c r="H92" i="1"/>
  <c r="D90" i="1"/>
  <c r="C88" i="1"/>
  <c r="G98" i="1"/>
  <c r="C96" i="1"/>
  <c r="M93" i="1"/>
  <c r="I91" i="1"/>
  <c r="E89" i="1"/>
  <c r="L93" i="1"/>
  <c r="H91" i="1"/>
  <c r="D89" i="1"/>
  <c r="AD7" i="1"/>
  <c r="AA7" i="1"/>
  <c r="U16" i="1"/>
  <c r="AA11" i="1"/>
  <c r="AD17" i="1"/>
  <c r="V13" i="1"/>
  <c r="AB8" i="1"/>
  <c r="S17" i="1"/>
  <c r="Z17" i="1"/>
  <c r="AE11" i="1"/>
  <c r="AC16" i="1"/>
  <c r="V23" i="1"/>
  <c r="Y22" i="1"/>
  <c r="V19" i="1"/>
  <c r="R13" i="1"/>
  <c r="X8" i="1"/>
  <c r="AE20" i="1"/>
  <c r="W16" i="1"/>
  <c r="AC11" i="1"/>
  <c r="AA22" i="1"/>
  <c r="W18" i="1"/>
  <c r="AC13" i="1"/>
  <c r="Y9" i="1"/>
  <c r="V22" i="1"/>
  <c r="R20" i="1"/>
  <c r="AB17" i="1"/>
  <c r="X15" i="1"/>
  <c r="T13" i="1"/>
  <c r="AD10" i="1"/>
  <c r="Z8" i="1"/>
  <c r="V27" i="1"/>
  <c r="S27" i="1"/>
  <c r="AE41" i="1"/>
  <c r="AD31" i="1"/>
  <c r="AC38" i="1"/>
  <c r="X36" i="1"/>
  <c r="Y34" i="1"/>
  <c r="Y36" i="1"/>
  <c r="AB42" i="1"/>
  <c r="R29" i="1"/>
  <c r="T34" i="1"/>
  <c r="AA43" i="1"/>
  <c r="AE33" i="1"/>
  <c r="V35" i="1"/>
  <c r="Y43" i="1"/>
  <c r="AC37" i="1"/>
  <c r="AE32" i="1"/>
  <c r="S30" i="1"/>
  <c r="AA42" i="1"/>
  <c r="U35" i="1"/>
  <c r="T41" i="1"/>
  <c r="V38" i="1"/>
  <c r="AD34" i="1"/>
  <c r="R32" i="1"/>
  <c r="T29" i="1"/>
  <c r="AB47" i="1"/>
  <c r="AA60" i="1"/>
  <c r="W50" i="1"/>
  <c r="Y59" i="1"/>
  <c r="AE56" i="1"/>
  <c r="AE60" i="1"/>
  <c r="U50" i="1"/>
  <c r="AA57" i="1"/>
  <c r="W52" i="1"/>
  <c r="AE58" i="1"/>
  <c r="AA55" i="1"/>
  <c r="AC48" i="1"/>
  <c r="R61" i="1"/>
  <c r="T58" i="1"/>
  <c r="AD53" i="1"/>
  <c r="X63" i="1"/>
  <c r="V58" i="1"/>
  <c r="AB51" i="1"/>
  <c r="Y67" i="1"/>
  <c r="AE71" i="1"/>
  <c r="AA71" i="1"/>
  <c r="Y78" i="1"/>
  <c r="AC74" i="1"/>
  <c r="AC78" i="1"/>
  <c r="AA80" i="1"/>
  <c r="Y69" i="1"/>
  <c r="AB75" i="1"/>
  <c r="AD87" i="1"/>
  <c r="AA88" i="1"/>
  <c r="W101" i="1"/>
  <c r="S101" i="1"/>
  <c r="AD101" i="1"/>
  <c r="AB92" i="1"/>
  <c r="AB99" i="1"/>
  <c r="Z90" i="1"/>
  <c r="AM22" i="1"/>
  <c r="AL22" i="1"/>
  <c r="AK22" i="1"/>
  <c r="AP17" i="1"/>
  <c r="AJ20" i="1"/>
  <c r="AE79" i="1"/>
  <c r="T72" i="1"/>
  <c r="U83" i="1"/>
  <c r="W78" i="1"/>
  <c r="AC81" i="1"/>
  <c r="Y77" i="1"/>
  <c r="AA74" i="1"/>
  <c r="W72" i="1"/>
  <c r="S70" i="1"/>
  <c r="T83" i="1"/>
  <c r="AD80" i="1"/>
  <c r="Z78" i="1"/>
  <c r="V76" i="1"/>
  <c r="R74" i="1"/>
  <c r="AB71" i="1"/>
  <c r="X69" i="1"/>
  <c r="AA87" i="1"/>
  <c r="AB87" i="1"/>
  <c r="U95" i="1"/>
  <c r="W103" i="1"/>
  <c r="AE89" i="1"/>
  <c r="Y89" i="1"/>
  <c r="U97" i="1"/>
  <c r="AE90" i="1"/>
  <c r="AE92" i="1"/>
  <c r="AA103" i="1"/>
  <c r="AA90" i="1"/>
  <c r="AC97" i="1"/>
  <c r="S103" i="1"/>
  <c r="AA97" i="1"/>
  <c r="S93" i="1"/>
  <c r="AC88" i="1"/>
  <c r="X102" i="1"/>
  <c r="T100" i="1"/>
  <c r="AD97" i="1"/>
  <c r="Z95" i="1"/>
  <c r="V93" i="1"/>
  <c r="R91" i="1"/>
  <c r="AB88" i="1"/>
  <c r="Z102" i="1"/>
  <c r="V100" i="1"/>
  <c r="R98" i="1"/>
  <c r="AB95" i="1"/>
  <c r="X93" i="1"/>
  <c r="T91" i="1"/>
  <c r="AD88" i="1"/>
  <c r="AJ7" i="1"/>
  <c r="AM7" i="1"/>
  <c r="AI23" i="1"/>
  <c r="AU19" i="1"/>
  <c r="AP13" i="1"/>
  <c r="AH11" i="1"/>
  <c r="AK12" i="1"/>
  <c r="AL20" i="1"/>
  <c r="AU17" i="1"/>
  <c r="AM11" i="1"/>
  <c r="AM9" i="1"/>
  <c r="AM21" i="1"/>
  <c r="AO16" i="1"/>
  <c r="AR17" i="1"/>
  <c r="AO21" i="1"/>
  <c r="AL18" i="1"/>
  <c r="AH9" i="1"/>
  <c r="AK16" i="1"/>
  <c r="AT22" i="1"/>
  <c r="AP9" i="1"/>
  <c r="AL21" i="1"/>
  <c r="AU15" i="1"/>
  <c r="AI20" i="1"/>
  <c r="AK17" i="1"/>
  <c r="AM14" i="1"/>
  <c r="AU10" i="1"/>
  <c r="AT10" i="1"/>
  <c r="AI27" i="1"/>
  <c r="AQ37" i="1"/>
  <c r="AQ41" i="1"/>
  <c r="AL31" i="1"/>
  <c r="AQ36" i="1"/>
  <c r="AU30" i="1"/>
  <c r="AJ37" i="1"/>
  <c r="AH28" i="1"/>
  <c r="AU75" i="1"/>
  <c r="AS80" i="1"/>
  <c r="AH77" i="1"/>
  <c r="AK83" i="1"/>
  <c r="AK81" i="1"/>
  <c r="AN81" i="1"/>
  <c r="AL72" i="1"/>
  <c r="AS60" i="1"/>
  <c r="AT51" i="1"/>
  <c r="AU51" i="1"/>
  <c r="AK52" i="1"/>
  <c r="AM50" i="1"/>
  <c r="AM56" i="1"/>
  <c r="AH56" i="1"/>
  <c r="AP87" i="1"/>
  <c r="AL93" i="1"/>
  <c r="AI89" i="1"/>
  <c r="AP91" i="1"/>
  <c r="AR90" i="1"/>
  <c r="AK97" i="1"/>
  <c r="AI88" i="1"/>
  <c r="AU23" i="1"/>
  <c r="AU20" i="1"/>
  <c r="AP14" i="1"/>
  <c r="AS19" i="1"/>
  <c r="AU16" i="1"/>
  <c r="AI14" i="1"/>
  <c r="AQ10" i="1"/>
  <c r="AH10" i="1"/>
  <c r="AS28" i="1"/>
  <c r="AR36" i="1"/>
  <c r="AI37" i="1"/>
  <c r="AH29" i="1"/>
  <c r="AI34" i="1"/>
  <c r="AS29" i="1"/>
  <c r="AH36" i="1"/>
  <c r="AS67" i="1"/>
  <c r="AS74" i="1"/>
  <c r="AU77" i="1"/>
  <c r="AT75" i="1"/>
  <c r="AK79" i="1"/>
  <c r="AS77" i="1"/>
  <c r="AL80" i="1"/>
  <c r="AJ71" i="1"/>
  <c r="AQ51" i="1"/>
  <c r="AR50" i="1"/>
  <c r="AL59" i="1"/>
  <c r="AJ62" i="1"/>
  <c r="AM61" i="1"/>
  <c r="AU52" i="1"/>
  <c r="AT54" i="1"/>
  <c r="AK87" i="1"/>
  <c r="AR88" i="1"/>
  <c r="AK92" i="1"/>
  <c r="AQ103" i="1"/>
  <c r="AR103" i="1"/>
  <c r="AI96" i="1"/>
  <c r="AT98" i="1"/>
  <c r="AP23" i="1"/>
  <c r="AO20" i="1"/>
  <c r="AJ14" i="1"/>
  <c r="AO19" i="1"/>
  <c r="AQ16" i="1"/>
  <c r="AK13" i="1"/>
  <c r="AI10" i="1"/>
  <c r="AR9" i="1"/>
  <c r="AN36" i="1"/>
  <c r="AQ33" i="1"/>
  <c r="AH35" i="1"/>
  <c r="AP41" i="1"/>
  <c r="AU42" i="1"/>
  <c r="AM28" i="1"/>
  <c r="AT34" i="1"/>
  <c r="AJ67" i="1"/>
  <c r="AM73" i="1"/>
  <c r="AT83" i="1"/>
  <c r="AR74" i="1"/>
  <c r="AI76" i="1"/>
  <c r="AU74" i="1"/>
  <c r="AJ79" i="1"/>
  <c r="AH70" i="1"/>
  <c r="AK62" i="1"/>
  <c r="AP49" i="1"/>
  <c r="AI62" i="1"/>
  <c r="AT57" i="1"/>
  <c r="AM55" i="1"/>
  <c r="AT62" i="1"/>
  <c r="AR53" i="1"/>
  <c r="AQ87" i="1"/>
  <c r="AS90" i="1"/>
  <c r="AT103" i="1"/>
  <c r="AP89" i="1"/>
  <c r="AN101" i="1"/>
  <c r="AU94" i="1"/>
  <c r="AR97" i="1"/>
  <c r="Z55" i="1"/>
  <c r="V53" i="1"/>
  <c r="R51" i="1"/>
  <c r="AB48" i="1"/>
  <c r="Z62" i="1"/>
  <c r="V60" i="1"/>
  <c r="R58" i="1"/>
  <c r="AB55" i="1"/>
  <c r="X53" i="1"/>
  <c r="T51" i="1"/>
  <c r="AD48" i="1"/>
  <c r="W67" i="1"/>
  <c r="X67" i="1"/>
  <c r="W73" i="1"/>
  <c r="Y82" i="1"/>
  <c r="AA83" i="1"/>
  <c r="X78" i="1"/>
  <c r="W69" i="1"/>
  <c r="V69" i="1"/>
  <c r="V71" i="1"/>
  <c r="U70" i="1"/>
  <c r="S75" i="1"/>
  <c r="Y72" i="1"/>
  <c r="Y74" i="1"/>
  <c r="AC82" i="1"/>
  <c r="U78" i="1"/>
  <c r="S69" i="1"/>
  <c r="Y81" i="1"/>
  <c r="S76" i="1"/>
  <c r="S80" i="1"/>
  <c r="W76" i="1"/>
  <c r="AC73" i="1"/>
  <c r="Y71" i="1"/>
  <c r="U69" i="1"/>
  <c r="V82" i="1"/>
  <c r="R80" i="1"/>
  <c r="AB77" i="1"/>
  <c r="X75" i="1"/>
  <c r="T73" i="1"/>
  <c r="AD70" i="1"/>
  <c r="Z68" i="1"/>
  <c r="Z87" i="1"/>
  <c r="S87" i="1"/>
  <c r="S102" i="1"/>
  <c r="W97" i="1"/>
  <c r="U103" i="1"/>
  <c r="S95" i="1"/>
  <c r="AE94" i="1"/>
  <c r="U89" i="1"/>
  <c r="AE97" i="1"/>
  <c r="Y102" i="1"/>
  <c r="S99" i="1"/>
  <c r="U93" i="1"/>
  <c r="Y100" i="1"/>
  <c r="AE95" i="1"/>
  <c r="W91" i="1"/>
  <c r="AD103" i="1"/>
  <c r="Z101" i="1"/>
  <c r="V99" i="1"/>
  <c r="R97" i="1"/>
  <c r="AB94" i="1"/>
  <c r="X92" i="1"/>
  <c r="T90" i="1"/>
  <c r="S88" i="1"/>
  <c r="AB101" i="1"/>
  <c r="X99" i="1"/>
  <c r="T97" i="1"/>
  <c r="AD94" i="1"/>
  <c r="Z92" i="1"/>
  <c r="V90" i="1"/>
  <c r="R88" i="1"/>
  <c r="AO7" i="1"/>
  <c r="AI19" i="1"/>
  <c r="AU21" i="1"/>
  <c r="AQ17" i="1"/>
  <c r="AT20" i="1"/>
  <c r="AI17" i="1"/>
  <c r="AN19" i="1"/>
  <c r="AP22" i="1"/>
  <c r="AQ15" i="1"/>
  <c r="AQ9" i="1"/>
  <c r="AR20" i="1"/>
  <c r="AR19" i="1"/>
  <c r="AK14" i="1"/>
  <c r="AJ17" i="1"/>
  <c r="AS14" i="1"/>
  <c r="AR13" i="1"/>
  <c r="AL17" i="1"/>
  <c r="AT9" i="1"/>
  <c r="AT17" i="1"/>
  <c r="AK23" i="1"/>
  <c r="AJ19" i="1"/>
  <c r="AQ13" i="1"/>
  <c r="AK19" i="1"/>
  <c r="AM16" i="1"/>
  <c r="AU12" i="1"/>
  <c r="AS9" i="1"/>
  <c r="AP8" i="1"/>
  <c r="AL33" i="1"/>
  <c r="AM31" i="1"/>
  <c r="AH43" i="1"/>
  <c r="AH37" i="1"/>
  <c r="AM40" i="1"/>
  <c r="AT42" i="1"/>
  <c r="AR33" i="1"/>
  <c r="AU67" i="1"/>
  <c r="AK72" i="1"/>
  <c r="AR82" i="1"/>
  <c r="AP73" i="1"/>
  <c r="AI74" i="1"/>
  <c r="AM72" i="1"/>
  <c r="AH78" i="1"/>
  <c r="AT68" i="1"/>
  <c r="AM53" i="1"/>
  <c r="AN48" i="1"/>
  <c r="AS57" i="1"/>
  <c r="AQ62" i="1"/>
  <c r="AI49" i="1"/>
  <c r="AR61" i="1"/>
  <c r="AP52" i="1"/>
  <c r="AR100" i="1"/>
  <c r="AL103" i="1"/>
  <c r="AR96" i="1"/>
  <c r="AL97" i="1"/>
  <c r="AH97" i="1"/>
  <c r="AS93" i="1"/>
  <c r="AP96" i="1"/>
  <c r="V55" i="1"/>
  <c r="R53" i="1"/>
  <c r="AB50" i="1"/>
  <c r="X48" i="1"/>
  <c r="V62" i="1"/>
  <c r="R60" i="1"/>
  <c r="AB57" i="1"/>
  <c r="X55" i="1"/>
  <c r="T53" i="1"/>
  <c r="AD50" i="1"/>
  <c r="Z48" i="1"/>
  <c r="AD67" i="1"/>
  <c r="T67" i="1"/>
  <c r="AD71" i="1"/>
  <c r="U80" i="1"/>
  <c r="W81" i="1"/>
  <c r="R77" i="1"/>
  <c r="T82" i="1"/>
  <c r="Y68" i="1"/>
  <c r="R75" i="1"/>
  <c r="X82" i="1"/>
  <c r="AC72" i="1"/>
  <c r="AB80" i="1"/>
  <c r="R73" i="1"/>
  <c r="U82" i="1"/>
  <c r="AB76" i="1"/>
  <c r="U68" i="1"/>
  <c r="AE80" i="1"/>
  <c r="S68" i="1"/>
  <c r="Y79" i="1"/>
  <c r="AC75" i="1"/>
  <c r="Y73" i="1"/>
  <c r="U71" i="1"/>
  <c r="AA68" i="1"/>
  <c r="R82" i="1"/>
  <c r="AB79" i="1"/>
  <c r="X77" i="1"/>
  <c r="T75" i="1"/>
  <c r="AD72" i="1"/>
  <c r="Z70" i="1"/>
  <c r="V68" i="1"/>
  <c r="V87" i="1"/>
  <c r="AE96" i="1"/>
  <c r="AE100" i="1"/>
  <c r="AA95" i="1"/>
  <c r="AC102" i="1"/>
  <c r="U92" i="1"/>
  <c r="AC93" i="1"/>
  <c r="AE103" i="1"/>
  <c r="U96" i="1"/>
  <c r="W100" i="1"/>
  <c r="AC96" i="1"/>
  <c r="AA102" i="1"/>
  <c r="AE99" i="1"/>
  <c r="W95" i="1"/>
  <c r="AC90" i="1"/>
  <c r="Z103" i="1"/>
  <c r="V101" i="1"/>
  <c r="R99" i="1"/>
  <c r="AB96" i="1"/>
  <c r="X94" i="1"/>
  <c r="T92" i="1"/>
  <c r="AD89" i="1"/>
  <c r="AB103" i="1"/>
  <c r="X101" i="1"/>
  <c r="T99" i="1"/>
  <c r="AD96" i="1"/>
  <c r="Z94" i="1"/>
  <c r="V92" i="1"/>
  <c r="R90" i="1"/>
  <c r="AH7" i="1"/>
  <c r="AR7" i="1"/>
  <c r="AO14" i="1"/>
  <c r="AP21" i="1"/>
  <c r="AL16" i="1"/>
  <c r="AS16" i="1"/>
  <c r="AL15" i="1"/>
  <c r="AR16" i="1"/>
  <c r="AN21" i="1"/>
  <c r="AL14" i="1"/>
  <c r="AI9" i="1"/>
  <c r="AR15" i="1"/>
  <c r="AL19" i="1"/>
  <c r="AT12" i="1"/>
  <c r="AU13" i="1"/>
  <c r="AQ23" i="1"/>
  <c r="AS12" i="1"/>
  <c r="AJ13" i="1"/>
  <c r="AH23" i="1"/>
  <c r="AH16" i="1"/>
  <c r="AS22" i="1"/>
  <c r="AR18" i="1"/>
  <c r="AL12" i="1"/>
  <c r="AU18" i="1"/>
  <c r="AO15" i="1"/>
  <c r="AQ12" i="1"/>
  <c r="AO9" i="1"/>
  <c r="AH27" i="1"/>
  <c r="AT29" i="1"/>
  <c r="AI29" i="1"/>
  <c r="AK38" i="1"/>
  <c r="AJ28" i="1"/>
  <c r="AS37" i="1"/>
  <c r="AR41" i="1"/>
  <c r="AP32" i="1"/>
  <c r="AU83" i="1"/>
  <c r="AI71" i="1"/>
  <c r="AP81" i="1"/>
  <c r="AN72" i="1"/>
  <c r="AI72" i="1"/>
  <c r="AQ82" i="1"/>
  <c r="AT76" i="1"/>
  <c r="AT47" i="1"/>
  <c r="AP61" i="1"/>
  <c r="AU59" i="1"/>
  <c r="AS51" i="1"/>
  <c r="AO59" i="1"/>
  <c r="AR60" i="1"/>
  <c r="AP60" i="1"/>
  <c r="AN51" i="1"/>
  <c r="AH95" i="1"/>
  <c r="AK96" i="1"/>
  <c r="AU97" i="1"/>
  <c r="AQ100" i="1"/>
  <c r="AN92" i="1"/>
  <c r="AQ92" i="1"/>
  <c r="AN95" i="1"/>
  <c r="R55" i="1"/>
  <c r="AB52" i="1"/>
  <c r="X50" i="1"/>
  <c r="T48" i="1"/>
  <c r="R62" i="1"/>
  <c r="AB59" i="1"/>
  <c r="X57" i="1"/>
  <c r="T55" i="1"/>
  <c r="AD52" i="1"/>
  <c r="Z50" i="1"/>
  <c r="V48" i="1"/>
  <c r="Z67" i="1"/>
  <c r="S67" i="1"/>
  <c r="S71" i="1"/>
  <c r="S77" i="1"/>
  <c r="S79" i="1"/>
  <c r="U76" i="1"/>
  <c r="AD79" i="1"/>
  <c r="AB82" i="1"/>
  <c r="X70" i="1"/>
  <c r="Z79" i="1"/>
  <c r="Y70" i="1"/>
  <c r="AA77" i="1"/>
  <c r="U72" i="1"/>
  <c r="AA81" i="1"/>
  <c r="AE75" i="1"/>
  <c r="T68" i="1"/>
  <c r="W80" i="1"/>
  <c r="AC83" i="1"/>
  <c r="AE78" i="1"/>
  <c r="Y75" i="1"/>
  <c r="U73" i="1"/>
  <c r="AE70" i="1"/>
  <c r="W68" i="1"/>
  <c r="AB81" i="1"/>
  <c r="X79" i="1"/>
  <c r="T77" i="1"/>
  <c r="AD74" i="1"/>
  <c r="Z72" i="1"/>
  <c r="V70" i="1"/>
  <c r="R68" i="1"/>
  <c r="AC87" i="1"/>
  <c r="AC95" i="1"/>
  <c r="S98" i="1"/>
  <c r="AC92" i="1"/>
  <c r="Y101" i="1"/>
  <c r="AC101" i="1"/>
  <c r="AA92" i="1"/>
  <c r="AE88" i="1"/>
  <c r="Y94" i="1"/>
  <c r="Y97" i="1"/>
  <c r="W93" i="1"/>
  <c r="U102" i="1"/>
  <c r="W99" i="1"/>
  <c r="AC94" i="1"/>
  <c r="U90" i="1"/>
  <c r="V103" i="1"/>
  <c r="R101" i="1"/>
  <c r="AB98" i="1"/>
  <c r="X96" i="1"/>
  <c r="T94" i="1"/>
  <c r="AD91" i="1"/>
  <c r="Z89" i="1"/>
  <c r="X103" i="1"/>
  <c r="T101" i="1"/>
  <c r="AD98" i="1"/>
  <c r="Z96" i="1"/>
  <c r="V94" i="1"/>
  <c r="R92" i="1"/>
  <c r="AB89" i="1"/>
  <c r="AT7" i="1"/>
  <c r="AN7" i="1"/>
  <c r="AS8" i="1"/>
  <c r="AK21" i="1"/>
  <c r="AT15" i="1"/>
  <c r="AQ11" i="1"/>
  <c r="AH13" i="1"/>
  <c r="AN10" i="1"/>
  <c r="AK20" i="1"/>
  <c r="AT13" i="1"/>
  <c r="AO8" i="1"/>
  <c r="AL23" i="1"/>
  <c r="AS18" i="1"/>
  <c r="AN12" i="1"/>
  <c r="AP11" i="1"/>
  <c r="AU22" i="1"/>
  <c r="AL11" i="1"/>
  <c r="AO10" i="1"/>
  <c r="AI21" i="1"/>
  <c r="AI15" i="1"/>
  <c r="AN22" i="1"/>
  <c r="AK18" i="1"/>
  <c r="AH12" i="1"/>
  <c r="AQ18" i="1"/>
  <c r="AK15" i="1"/>
  <c r="AM12" i="1"/>
  <c r="AK9" i="1"/>
  <c r="AO27" i="1"/>
  <c r="AO34" i="1"/>
  <c r="AM37" i="1"/>
  <c r="AR40" i="1"/>
  <c r="AQ42" i="1"/>
  <c r="AK35" i="1"/>
  <c r="AP40" i="1"/>
  <c r="AN31" i="1"/>
  <c r="AQ81" i="1"/>
  <c r="AU69" i="1"/>
  <c r="AN80" i="1"/>
  <c r="AL71" i="1"/>
  <c r="AQ70" i="1"/>
  <c r="AO79" i="1"/>
  <c r="AR75" i="1"/>
  <c r="AJ47" i="1"/>
  <c r="AT55" i="1"/>
  <c r="AO54" i="1"/>
  <c r="AK49" i="1"/>
  <c r="AQ56" i="1"/>
  <c r="AN56" i="1"/>
  <c r="AN59" i="1"/>
  <c r="AL50" i="1"/>
  <c r="AM103" i="1"/>
  <c r="AQ91" i="1"/>
  <c r="AS103" i="1"/>
  <c r="AK103" i="1"/>
  <c r="AK88" i="1"/>
  <c r="AO91" i="1"/>
  <c r="AL94" i="1"/>
  <c r="T36" i="1"/>
  <c r="V41" i="1"/>
  <c r="AA31" i="1"/>
  <c r="Z37" i="1"/>
  <c r="AC28" i="1"/>
  <c r="U41" i="1"/>
  <c r="AE36" i="1"/>
  <c r="AC33" i="1"/>
  <c r="U31" i="1"/>
  <c r="AE28" i="1"/>
  <c r="Y41" i="1"/>
  <c r="AA36" i="1"/>
  <c r="V42" i="1"/>
  <c r="R40" i="1"/>
  <c r="AB37" i="1"/>
  <c r="X35" i="1"/>
  <c r="T33" i="1"/>
  <c r="AD30" i="1"/>
  <c r="Z28" i="1"/>
  <c r="AC47" i="1"/>
  <c r="S47" i="1"/>
  <c r="AE61" i="1"/>
  <c r="AC63" i="1"/>
  <c r="AA53" i="1"/>
  <c r="AC53" i="1"/>
  <c r="AE50" i="1"/>
  <c r="AA58" i="1"/>
  <c r="W51" i="1"/>
  <c r="U56" i="1"/>
  <c r="Y58" i="1"/>
  <c r="AA50" i="1"/>
  <c r="U61" i="1"/>
  <c r="U60" i="1"/>
  <c r="U52" i="1"/>
  <c r="AD63" i="1"/>
  <c r="Z61" i="1"/>
  <c r="V59" i="1"/>
  <c r="R57" i="1"/>
  <c r="AB54" i="1"/>
  <c r="X52" i="1"/>
  <c r="T50" i="1"/>
  <c r="S48" i="1"/>
  <c r="AB61" i="1"/>
  <c r="X59" i="1"/>
  <c r="T57" i="1"/>
  <c r="AD54" i="1"/>
  <c r="Z52" i="1"/>
  <c r="V50" i="1"/>
  <c r="R48" i="1"/>
  <c r="V67" i="1"/>
  <c r="X80" i="1"/>
  <c r="Z69" i="1"/>
  <c r="AB68" i="1"/>
  <c r="R71" i="1"/>
  <c r="AB74" i="1"/>
  <c r="R83" i="1"/>
  <c r="R81" i="1"/>
  <c r="S83" i="1"/>
  <c r="AD73" i="1"/>
  <c r="Y76" i="1"/>
  <c r="T76" i="1"/>
  <c r="AB70" i="1"/>
  <c r="S81" i="1"/>
  <c r="X74" i="1"/>
  <c r="AE68" i="1"/>
  <c r="AC79" i="1"/>
  <c r="AE82" i="1"/>
  <c r="AA78" i="1"/>
  <c r="U75" i="1"/>
  <c r="AE72" i="1"/>
  <c r="AA70" i="1"/>
  <c r="AB83" i="1"/>
  <c r="X81" i="1"/>
  <c r="T79" i="1"/>
  <c r="AD76" i="1"/>
  <c r="Z74" i="1"/>
  <c r="V72" i="1"/>
  <c r="R70" i="1"/>
  <c r="R87" i="1"/>
  <c r="Y87" i="1"/>
  <c r="AE102" i="1"/>
  <c r="AA94" i="1"/>
  <c r="S91" i="1"/>
  <c r="AA98" i="1"/>
  <c r="S100" i="1"/>
  <c r="S92" i="1"/>
  <c r="U99" i="1"/>
  <c r="AE93" i="1"/>
  <c r="Y93" i="1"/>
  <c r="U101" i="1"/>
  <c r="W88" i="1"/>
  <c r="AC98" i="1"/>
  <c r="U94" i="1"/>
  <c r="AA89" i="1"/>
  <c r="R103" i="1"/>
  <c r="AB100" i="1"/>
  <c r="X98" i="1"/>
  <c r="T96" i="1"/>
  <c r="AD93" i="1"/>
  <c r="Z91" i="1"/>
  <c r="V89" i="1"/>
  <c r="T103" i="1"/>
  <c r="AD100" i="1"/>
  <c r="Z98" i="1"/>
  <c r="V96" i="1"/>
  <c r="R94" i="1"/>
  <c r="AB91" i="1"/>
  <c r="X89" i="1"/>
  <c r="AP7" i="1"/>
  <c r="AU7" i="1"/>
  <c r="AT23" i="1"/>
  <c r="AS20" i="1"/>
  <c r="AM15" i="1"/>
  <c r="AN23" i="1"/>
  <c r="AO12" i="1"/>
  <c r="AS23" i="1"/>
  <c r="AT18" i="1"/>
  <c r="AM13" i="1"/>
  <c r="AN15" i="1"/>
  <c r="AJ22" i="1"/>
  <c r="AN17" i="1"/>
  <c r="AH22" i="1"/>
  <c r="AL9" i="1"/>
  <c r="AR21" i="1"/>
  <c r="AR10" i="1"/>
  <c r="AJ21" i="1"/>
  <c r="AH18" i="1"/>
  <c r="AL13" i="1"/>
  <c r="AI22" i="1"/>
  <c r="AT16" i="1"/>
  <c r="AK8" i="1"/>
  <c r="AS17" i="1"/>
  <c r="AU14" i="1"/>
  <c r="AI12" i="1"/>
  <c r="AM8" i="1"/>
  <c r="AT27" i="1"/>
  <c r="AM35" i="1"/>
  <c r="AN34" i="1"/>
  <c r="AJ36" i="1"/>
  <c r="AQ40" i="1"/>
  <c r="AO33" i="1"/>
  <c r="AN39" i="1"/>
  <c r="AL30" i="1"/>
  <c r="AQ79" i="1"/>
  <c r="AS68" i="1"/>
  <c r="AL79" i="1"/>
  <c r="AJ70" i="1"/>
  <c r="AO69" i="1"/>
  <c r="AR83" i="1"/>
  <c r="AP74" i="1"/>
  <c r="AN47" i="1"/>
  <c r="AJ54" i="1"/>
  <c r="AR62" i="1"/>
  <c r="AU61" i="1"/>
  <c r="AS53" i="1"/>
  <c r="AM62" i="1"/>
  <c r="AL58" i="1"/>
  <c r="AJ49" i="1"/>
  <c r="AI101" i="1"/>
  <c r="AJ94" i="1"/>
  <c r="AJ100" i="1"/>
  <c r="AP97" i="1"/>
  <c r="AS99" i="1"/>
  <c r="AM90" i="1"/>
  <c r="AJ93" i="1"/>
  <c r="Z31" i="1"/>
  <c r="AC40" i="1"/>
  <c r="AD29" i="1"/>
  <c r="S37" i="1"/>
  <c r="U28" i="1"/>
  <c r="AA40" i="1"/>
  <c r="W36" i="1"/>
  <c r="U33" i="1"/>
  <c r="AE30" i="1"/>
  <c r="AA28" i="1"/>
  <c r="AE40" i="1"/>
  <c r="S36" i="1"/>
  <c r="R42" i="1"/>
  <c r="AB39" i="1"/>
  <c r="X37" i="1"/>
  <c r="T35" i="1"/>
  <c r="AD32" i="1"/>
  <c r="Z30" i="1"/>
  <c r="V28" i="1"/>
  <c r="Y47" i="1"/>
  <c r="AE59" i="1"/>
  <c r="U59" i="1"/>
  <c r="AA62" i="1"/>
  <c r="AE62" i="1"/>
  <c r="S63" i="1"/>
  <c r="AC49" i="1"/>
  <c r="AC56" i="1"/>
  <c r="AC50" i="1"/>
  <c r="AC51" i="1"/>
  <c r="S58" i="1"/>
  <c r="S50" i="1"/>
  <c r="W59" i="1"/>
  <c r="AC59" i="1"/>
  <c r="AA51" i="1"/>
  <c r="Z63" i="1"/>
  <c r="V61" i="1"/>
  <c r="R59" i="1"/>
  <c r="AB56" i="1"/>
  <c r="X54" i="1"/>
  <c r="T52" i="1"/>
  <c r="AD49" i="1"/>
  <c r="AB63" i="1"/>
  <c r="X61" i="1"/>
  <c r="T59" i="1"/>
  <c r="AD56" i="1"/>
  <c r="Z54" i="1"/>
  <c r="V52" i="1"/>
  <c r="R50" i="1"/>
  <c r="B67" i="1"/>
  <c r="AC67" i="1"/>
  <c r="AE77" i="1"/>
  <c r="AC68" i="1"/>
  <c r="AD83" i="1"/>
  <c r="Z83" i="1"/>
  <c r="AE73" i="1"/>
  <c r="V81" i="1"/>
  <c r="AB78" i="1"/>
  <c r="AC80" i="1"/>
  <c r="V83" i="1"/>
  <c r="AE81" i="1"/>
  <c r="Z71" i="1"/>
  <c r="AE69" i="1"/>
  <c r="Y80" i="1"/>
  <c r="AA73" i="1"/>
  <c r="Y83" i="1"/>
  <c r="U79" i="1"/>
  <c r="W82" i="1"/>
  <c r="S78" i="1"/>
  <c r="AE74" i="1"/>
  <c r="AA72" i="1"/>
  <c r="W70" i="1"/>
  <c r="X83" i="1"/>
  <c r="T81" i="1"/>
  <c r="AD78" i="1"/>
  <c r="Z76" i="1"/>
  <c r="V74" i="1"/>
  <c r="R72" i="1"/>
  <c r="AB69" i="1"/>
  <c r="AE87" i="1"/>
  <c r="U87" i="1"/>
  <c r="AC99" i="1"/>
  <c r="U91" i="1"/>
  <c r="Y90" i="1"/>
  <c r="S94" i="1"/>
  <c r="AE98" i="1"/>
  <c r="Y91" i="1"/>
  <c r="W96" i="1"/>
  <c r="AA91" i="1"/>
  <c r="W92" i="1"/>
  <c r="Y99" i="1"/>
  <c r="Y103" i="1"/>
  <c r="U98" i="1"/>
  <c r="AA93" i="1"/>
  <c r="S89" i="1"/>
  <c r="AB102" i="1"/>
  <c r="X100" i="1"/>
  <c r="T98" i="1"/>
  <c r="AD95" i="1"/>
  <c r="Z93" i="1"/>
  <c r="V91" i="1"/>
  <c r="R89" i="1"/>
  <c r="AD102" i="1"/>
  <c r="Z100" i="1"/>
  <c r="V98" i="1"/>
  <c r="R96" i="1"/>
  <c r="AB93" i="1"/>
  <c r="X91" i="1"/>
  <c r="T89" i="1"/>
  <c r="AK7" i="1"/>
  <c r="AQ7" i="1"/>
  <c r="AO23" i="1"/>
  <c r="AN20" i="1"/>
  <c r="AH14" i="1"/>
  <c r="AT14" i="1"/>
  <c r="AH15" i="1"/>
  <c r="AT21" i="1"/>
  <c r="AN18" i="1"/>
  <c r="AU11" i="1"/>
  <c r="AR12" i="1"/>
  <c r="AS21" i="1"/>
  <c r="AH17" i="1"/>
  <c r="AP19" i="1"/>
  <c r="AM23" i="1"/>
  <c r="AQ19" i="1"/>
  <c r="AJ10" i="1"/>
  <c r="AO18" i="1"/>
  <c r="AO22" i="1"/>
  <c r="AT11" i="1"/>
  <c r="AQ21" i="1"/>
  <c r="AN16" i="1"/>
  <c r="AJ8" i="1"/>
  <c r="AO17" i="1"/>
  <c r="AQ14" i="1"/>
  <c r="AS11" i="1"/>
  <c r="AI8" i="1"/>
  <c r="AR27" i="1"/>
  <c r="AS32" i="1"/>
  <c r="AL41" i="1"/>
  <c r="AP33" i="1"/>
  <c r="AQ38" i="1"/>
  <c r="AI32" i="1"/>
  <c r="AL38" i="1"/>
  <c r="AJ29" i="1"/>
  <c r="AQ77" i="1"/>
  <c r="AI83" i="1"/>
  <c r="AJ78" i="1"/>
  <c r="AH69" i="1"/>
  <c r="AI68" i="1"/>
  <c r="AP82" i="1"/>
  <c r="AN73" i="1"/>
  <c r="AI47" i="1"/>
  <c r="AH53" i="1"/>
  <c r="AO60" i="1"/>
  <c r="AO56" i="1"/>
  <c r="AI52" i="1"/>
  <c r="AK59" i="1"/>
  <c r="AJ57" i="1"/>
  <c r="AH48" i="1"/>
  <c r="AK98" i="1"/>
  <c r="AN88" i="1"/>
  <c r="AJ96" i="1"/>
  <c r="AN98" i="1"/>
  <c r="AQ98" i="1"/>
  <c r="AK89" i="1"/>
  <c r="AT90" i="1"/>
  <c r="AK27" i="1"/>
  <c r="AM29" i="1"/>
  <c r="AS36" i="1"/>
  <c r="AT37" i="1"/>
  <c r="AP35" i="1"/>
  <c r="AO38" i="1"/>
  <c r="AU31" i="1"/>
  <c r="AQ39" i="1"/>
  <c r="AI43" i="1"/>
  <c r="AP37" i="1"/>
  <c r="AK42" i="1"/>
  <c r="AO42" i="1"/>
  <c r="AJ34" i="1"/>
  <c r="AP29" i="1"/>
  <c r="AS38" i="1"/>
  <c r="AK43" i="1"/>
  <c r="AU38" i="1"/>
  <c r="AU34" i="1"/>
  <c r="AU40" i="1"/>
  <c r="AS35" i="1"/>
  <c r="AM32" i="1"/>
  <c r="AI30" i="1"/>
  <c r="AJ43" i="1"/>
  <c r="AT40" i="1"/>
  <c r="AP38" i="1"/>
  <c r="AL36" i="1"/>
  <c r="AH34" i="1"/>
  <c r="AR31" i="1"/>
  <c r="AN29" i="1"/>
  <c r="AL67" i="1"/>
  <c r="AN67" i="1"/>
  <c r="AK82" i="1"/>
  <c r="AK78" i="1"/>
  <c r="AI75" i="1"/>
  <c r="AO72" i="1"/>
  <c r="AK70" i="1"/>
  <c r="AQ83" i="1"/>
  <c r="AS78" i="1"/>
  <c r="AH83" i="1"/>
  <c r="AR80" i="1"/>
  <c r="AN78" i="1"/>
  <c r="AJ76" i="1"/>
  <c r="AT73" i="1"/>
  <c r="AP71" i="1"/>
  <c r="AL69" i="1"/>
  <c r="AQ80" i="1"/>
  <c r="AQ74" i="1"/>
  <c r="AU70" i="1"/>
  <c r="AM68" i="1"/>
  <c r="AQ78" i="1"/>
  <c r="AK73" i="1"/>
  <c r="AI80" i="1"/>
  <c r="AT82" i="1"/>
  <c r="AP80" i="1"/>
  <c r="AL78" i="1"/>
  <c r="AH76" i="1"/>
  <c r="AR73" i="1"/>
  <c r="AN71" i="1"/>
  <c r="AJ69" i="1"/>
  <c r="AO47" i="1"/>
  <c r="AM47" i="1"/>
  <c r="AS54" i="1"/>
  <c r="AU55" i="1"/>
  <c r="AL57" i="1"/>
  <c r="AL53" i="1"/>
  <c r="AH51" i="1"/>
  <c r="AR48" i="1"/>
  <c r="AQ55" i="1"/>
  <c r="AO62" i="1"/>
  <c r="AN60" i="1"/>
  <c r="AU58" i="1"/>
  <c r="AS49" i="1"/>
  <c r="AQ57" i="1"/>
  <c r="AL63" i="1"/>
  <c r="AO63" i="1"/>
  <c r="AU56" i="1"/>
  <c r="AM52" i="1"/>
  <c r="AM63" i="1"/>
  <c r="AI51" i="1"/>
  <c r="AP57" i="1"/>
  <c r="AI60" i="1"/>
  <c r="AI54" i="1"/>
  <c r="AH62" i="1"/>
  <c r="AR59" i="1"/>
  <c r="AN57" i="1"/>
  <c r="AJ55" i="1"/>
  <c r="AT52" i="1"/>
  <c r="AP50" i="1"/>
  <c r="AL48" i="1"/>
  <c r="AO87" i="1"/>
  <c r="AM102" i="1"/>
  <c r="AT95" i="1"/>
  <c r="AR98" i="1"/>
  <c r="AO90" i="1"/>
  <c r="AU95" i="1"/>
  <c r="AJ92" i="1"/>
  <c r="AO98" i="1"/>
  <c r="AS96" i="1"/>
  <c r="AP100" i="1"/>
  <c r="AK90" i="1"/>
  <c r="AO97" i="1"/>
  <c r="AS88" i="1"/>
  <c r="AL100" i="1"/>
  <c r="AH89" i="1"/>
  <c r="AK101" i="1"/>
  <c r="AO100" i="1"/>
  <c r="AT97" i="1"/>
  <c r="AQ89" i="1"/>
  <c r="AU98" i="1"/>
  <c r="AM96" i="1"/>
  <c r="AI94" i="1"/>
  <c r="AS91" i="1"/>
  <c r="AO89" i="1"/>
  <c r="AJ99" i="1"/>
  <c r="AT96" i="1"/>
  <c r="AP94" i="1"/>
  <c r="AL92" i="1"/>
  <c r="AH90" i="1"/>
  <c r="AH92" i="1"/>
  <c r="AR89" i="1"/>
  <c r="AR11" i="1"/>
  <c r="AN9" i="1"/>
  <c r="AP27" i="1"/>
  <c r="AU27" i="1"/>
  <c r="AI31" i="1"/>
  <c r="AP31" i="1"/>
  <c r="AK32" i="1"/>
  <c r="AT41" i="1"/>
  <c r="AK36" i="1"/>
  <c r="AS30" i="1"/>
  <c r="AM33" i="1"/>
  <c r="AH39" i="1"/>
  <c r="AL35" i="1"/>
  <c r="AQ31" i="1"/>
  <c r="AK40" i="1"/>
  <c r="AH33" i="1"/>
  <c r="AN28" i="1"/>
  <c r="AO36" i="1"/>
  <c r="AI42" i="1"/>
  <c r="AI38" i="1"/>
  <c r="AK33" i="1"/>
  <c r="AS39" i="1"/>
  <c r="AQ34" i="1"/>
  <c r="AS31" i="1"/>
  <c r="AK29" i="1"/>
  <c r="AP42" i="1"/>
  <c r="AL40" i="1"/>
  <c r="AH38" i="1"/>
  <c r="AR35" i="1"/>
  <c r="AN33" i="1"/>
  <c r="AJ31" i="1"/>
  <c r="AT28" i="1"/>
  <c r="AO67" i="1"/>
  <c r="AQ67" i="1"/>
  <c r="AI81" i="1"/>
  <c r="AI77" i="1"/>
  <c r="AO74" i="1"/>
  <c r="AU71" i="1"/>
  <c r="AQ69" i="1"/>
  <c r="AO82" i="1"/>
  <c r="AM77" i="1"/>
  <c r="AN82" i="1"/>
  <c r="AJ80" i="1"/>
  <c r="AT77" i="1"/>
  <c r="AP75" i="1"/>
  <c r="AL73" i="1"/>
  <c r="AH71" i="1"/>
  <c r="AR68" i="1"/>
  <c r="AM78" i="1"/>
  <c r="AO73" i="1"/>
  <c r="AM70" i="1"/>
  <c r="AS83" i="1"/>
  <c r="AK77" i="1"/>
  <c r="AO71" i="1"/>
  <c r="AU78" i="1"/>
  <c r="AL82" i="1"/>
  <c r="AH80" i="1"/>
  <c r="AR77" i="1"/>
  <c r="AN75" i="1"/>
  <c r="AJ73" i="1"/>
  <c r="AT70" i="1"/>
  <c r="AP68" i="1"/>
  <c r="AP47" i="1"/>
  <c r="AI63" i="1"/>
  <c r="AK50" i="1"/>
  <c r="AM51" i="1"/>
  <c r="AP55" i="1"/>
  <c r="AR52" i="1"/>
  <c r="AN50" i="1"/>
  <c r="AJ48" i="1"/>
  <c r="AO52" i="1"/>
  <c r="AS58" i="1"/>
  <c r="AJ58" i="1"/>
  <c r="AI56" i="1"/>
  <c r="AU48" i="1"/>
  <c r="AI55" i="1"/>
  <c r="AH61" i="1"/>
  <c r="AS61" i="1"/>
  <c r="AS55" i="1"/>
  <c r="AO51" i="1"/>
  <c r="AQ59" i="1"/>
  <c r="AP63" i="1"/>
  <c r="AH55" i="1"/>
  <c r="AQ58" i="1"/>
  <c r="AR63" i="1"/>
  <c r="AN61" i="1"/>
  <c r="AJ59" i="1"/>
  <c r="AT56" i="1"/>
  <c r="AP54" i="1"/>
  <c r="AL52" i="1"/>
  <c r="AH50" i="1"/>
  <c r="AH87" i="1"/>
  <c r="AR87" i="1"/>
  <c r="AT91" i="1"/>
  <c r="AR102" i="1"/>
  <c r="AM97" i="1"/>
  <c r="AL102" i="1"/>
  <c r="AU101" i="1"/>
  <c r="AT89" i="1"/>
  <c r="AI99" i="1"/>
  <c r="AP103" i="1"/>
  <c r="AJ103" i="1"/>
  <c r="AJ102" i="1"/>
  <c r="AQ95" i="1"/>
  <c r="AH102" i="1"/>
  <c r="AO94" i="1"/>
  <c r="AK102" i="1"/>
  <c r="AI97" i="1"/>
  <c r="AI103" i="1"/>
  <c r="AO96" i="1"/>
  <c r="AJ88" i="1"/>
  <c r="AM98" i="1"/>
  <c r="AS95" i="1"/>
  <c r="AO93" i="1"/>
  <c r="AK91" i="1"/>
  <c r="AU88" i="1"/>
  <c r="AP98" i="1"/>
  <c r="AL96" i="1"/>
  <c r="AH94" i="1"/>
  <c r="AR91" i="1"/>
  <c r="AN89" i="1"/>
  <c r="AN11" i="1"/>
  <c r="AJ9" i="1"/>
  <c r="AN27" i="1"/>
  <c r="AQ27" i="1"/>
  <c r="AL43" i="1"/>
  <c r="AH31" i="1"/>
  <c r="AR42" i="1"/>
  <c r="AT33" i="1"/>
  <c r="AS34" i="1"/>
  <c r="AK30" i="1"/>
  <c r="AQ43" i="1"/>
  <c r="AU43" i="1"/>
  <c r="AO30" i="1"/>
  <c r="AS42" i="1"/>
  <c r="AN38" i="1"/>
  <c r="AN32" i="1"/>
  <c r="AT43" i="1"/>
  <c r="AI35" i="1"/>
  <c r="AO41" i="1"/>
  <c r="AO37" i="1"/>
  <c r="AO29" i="1"/>
  <c r="AK39" i="1"/>
  <c r="AM34" i="1"/>
  <c r="AO31" i="1"/>
  <c r="AU28" i="1"/>
  <c r="AL42" i="1"/>
  <c r="AH40" i="1"/>
  <c r="AR37" i="1"/>
  <c r="AN35" i="1"/>
  <c r="AJ33" i="1"/>
  <c r="AT30" i="1"/>
  <c r="AP28" i="1"/>
  <c r="AK67" i="1"/>
  <c r="AM67" i="1"/>
  <c r="AO80" i="1"/>
  <c r="AS76" i="1"/>
  <c r="AK74" i="1"/>
  <c r="AQ71" i="1"/>
  <c r="AM69" i="1"/>
  <c r="AU81" i="1"/>
  <c r="AO76" i="1"/>
  <c r="AJ82" i="1"/>
  <c r="AT79" i="1"/>
  <c r="AP77" i="1"/>
  <c r="AL75" i="1"/>
  <c r="AH73" i="1"/>
  <c r="AR70" i="1"/>
  <c r="AN68" i="1"/>
  <c r="AO77" i="1"/>
  <c r="AU72" i="1"/>
  <c r="AI70" i="1"/>
  <c r="AU82" i="1"/>
  <c r="AQ76" i="1"/>
  <c r="AU68" i="1"/>
  <c r="AI78" i="1"/>
  <c r="AH82" i="1"/>
  <c r="AR79" i="1"/>
  <c r="AN77" i="1"/>
  <c r="AJ75" i="1"/>
  <c r="AT72" i="1"/>
  <c r="AP70" i="1"/>
  <c r="AL68" i="1"/>
  <c r="AK47" i="1"/>
  <c r="AU63" i="1"/>
  <c r="AU49" i="1"/>
  <c r="AQ49" i="1"/>
  <c r="AR54" i="1"/>
  <c r="AN52" i="1"/>
  <c r="AJ50" i="1"/>
  <c r="AQ63" i="1"/>
  <c r="AS50" i="1"/>
  <c r="AK56" i="1"/>
  <c r="AJ56" i="1"/>
  <c r="AQ54" i="1"/>
  <c r="AQ48" i="1"/>
  <c r="AU53" i="1"/>
  <c r="AT59" i="1"/>
  <c r="AK61" i="1"/>
  <c r="AK55" i="1"/>
  <c r="AK51" i="1"/>
  <c r="AU57" i="1"/>
  <c r="AH63" i="1"/>
  <c r="AS63" i="1"/>
  <c r="AI58" i="1"/>
  <c r="AN63" i="1"/>
  <c r="AJ61" i="1"/>
  <c r="AT58" i="1"/>
  <c r="AP56" i="1"/>
  <c r="AL54" i="1"/>
  <c r="AH52" i="1"/>
  <c r="AR49" i="1"/>
  <c r="AJ87" i="1"/>
  <c r="AN87" i="1"/>
  <c r="AU99" i="1"/>
  <c r="AI102" i="1"/>
  <c r="AP95" i="1"/>
  <c r="AN90" i="1"/>
  <c r="AK100" i="1"/>
  <c r="AM89" i="1"/>
  <c r="AQ93" i="1"/>
  <c r="AI93" i="1"/>
  <c r="AO102" i="1"/>
  <c r="AO101" i="1"/>
  <c r="AT93" i="1"/>
  <c r="AP99" i="1"/>
  <c r="AR92" i="1"/>
  <c r="AU100" i="1"/>
  <c r="AS94" i="1"/>
  <c r="AN102" i="1"/>
  <c r="AR94" i="1"/>
  <c r="AM100" i="1"/>
  <c r="AI98" i="1"/>
  <c r="AO95" i="1"/>
  <c r="AK93" i="1"/>
  <c r="AU90" i="1"/>
  <c r="AQ88" i="1"/>
  <c r="AL98" i="1"/>
  <c r="AH96" i="1"/>
  <c r="AR93" i="1"/>
  <c r="AN91" i="1"/>
  <c r="AJ89" i="1"/>
  <c r="AJ11" i="1"/>
  <c r="AT8" i="1"/>
  <c r="AJ27" i="1"/>
  <c r="AM27" i="1"/>
  <c r="AH41" i="1"/>
  <c r="AN30" i="1"/>
  <c r="AU39" i="1"/>
  <c r="AN40" i="1"/>
  <c r="AK34" i="1"/>
  <c r="AQ29" i="1"/>
  <c r="AP39" i="1"/>
  <c r="AJ42" i="1"/>
  <c r="AR38" i="1"/>
  <c r="AO40" i="1"/>
  <c r="AU37" i="1"/>
  <c r="AT31" i="1"/>
  <c r="AM43" i="1"/>
  <c r="AK28" i="1"/>
  <c r="AK41" i="1"/>
  <c r="AK37" i="1"/>
  <c r="AO43" i="1"/>
  <c r="AM38" i="1"/>
  <c r="AS33" i="1"/>
  <c r="AK31" i="1"/>
  <c r="AQ28" i="1"/>
  <c r="AH42" i="1"/>
  <c r="AR39" i="1"/>
  <c r="AN37" i="1"/>
  <c r="AJ35" i="1"/>
  <c r="AT32" i="1"/>
  <c r="AP30" i="1"/>
  <c r="AL28" i="1"/>
  <c r="AP67" i="1"/>
  <c r="AI67" i="1"/>
  <c r="AK80" i="1"/>
  <c r="AK76" i="1"/>
  <c r="AU73" i="1"/>
  <c r="AM71" i="1"/>
  <c r="AI69" i="1"/>
  <c r="AM81" i="1"/>
  <c r="AQ73" i="1"/>
  <c r="AT81" i="1"/>
  <c r="AP79" i="1"/>
  <c r="AL77" i="1"/>
  <c r="AH75" i="1"/>
  <c r="AR72" i="1"/>
  <c r="AN70" i="1"/>
  <c r="AJ68" i="1"/>
  <c r="AU76" i="1"/>
  <c r="AQ72" i="1"/>
  <c r="AS69" i="1"/>
  <c r="AI82" i="1"/>
  <c r="AS75" i="1"/>
  <c r="AO83" i="1"/>
  <c r="AM76" i="1"/>
  <c r="AR81" i="1"/>
  <c r="AN79" i="1"/>
  <c r="AJ77" i="1"/>
  <c r="AT74" i="1"/>
  <c r="AP72" i="1"/>
  <c r="AL70" i="1"/>
  <c r="AH68" i="1"/>
  <c r="AR47" i="1"/>
  <c r="AS62" i="1"/>
  <c r="AK48" i="1"/>
  <c r="AT63" i="1"/>
  <c r="AN54" i="1"/>
  <c r="AJ52" i="1"/>
  <c r="AT49" i="1"/>
  <c r="AQ61" i="1"/>
  <c r="AO48" i="1"/>
  <c r="AQ53" i="1"/>
  <c r="AK63" i="1"/>
  <c r="AK53" i="1"/>
  <c r="AI48" i="1"/>
  <c r="AI53" i="1"/>
  <c r="AR58" i="1"/>
  <c r="AM60" i="1"/>
  <c r="AM54" i="1"/>
  <c r="AU50" i="1"/>
  <c r="AS56" i="1"/>
  <c r="AT61" i="1"/>
  <c r="AU62" i="1"/>
  <c r="AK57" i="1"/>
  <c r="AJ63" i="1"/>
  <c r="AT60" i="1"/>
  <c r="AP58" i="1"/>
  <c r="AL56" i="1"/>
  <c r="AH54" i="1"/>
  <c r="AR51" i="1"/>
  <c r="AN49" i="1"/>
  <c r="AT87" i="1"/>
  <c r="AU87" i="1"/>
  <c r="AJ98" i="1"/>
  <c r="AR101" i="1"/>
  <c r="AI95" i="1"/>
  <c r="AH99" i="1"/>
  <c r="AM99" i="1"/>
  <c r="AH103" i="1"/>
  <c r="AM91" i="1"/>
  <c r="AL91" i="1"/>
  <c r="AT100" i="1"/>
  <c r="AJ101" i="1"/>
  <c r="AM93" i="1"/>
  <c r="AN96" i="1"/>
  <c r="AU102" i="1"/>
  <c r="AT99" i="1"/>
  <c r="AH93" i="1"/>
  <c r="AS101" i="1"/>
  <c r="AK94" i="1"/>
  <c r="AI100" i="1"/>
  <c r="AS97" i="1"/>
  <c r="AK95" i="1"/>
  <c r="AU92" i="1"/>
  <c r="AQ90" i="1"/>
  <c r="AM88" i="1"/>
  <c r="AH98" i="1"/>
  <c r="AR95" i="1"/>
  <c r="AN93" i="1"/>
  <c r="AJ91" i="1"/>
  <c r="AT88" i="1"/>
  <c r="AP88" i="1"/>
  <c r="AM10" i="1"/>
  <c r="AM18" i="1"/>
  <c r="AI16" i="1"/>
  <c r="AS13" i="1"/>
  <c r="AO11" i="1"/>
  <c r="AU8" i="1"/>
  <c r="AP10" i="1"/>
  <c r="AL8" i="1"/>
  <c r="AL27" i="1"/>
  <c r="AU33" i="1"/>
  <c r="AM41" i="1"/>
  <c r="AL29" i="1"/>
  <c r="AN42" i="1"/>
  <c r="AP43" i="1"/>
  <c r="AI33" i="1"/>
  <c r="AO28" i="1"/>
  <c r="AJ38" i="1"/>
  <c r="AT39" i="1"/>
  <c r="AL37" i="1"/>
  <c r="AU35" i="1"/>
  <c r="AQ35" i="1"/>
  <c r="AR30" i="1"/>
  <c r="AI41" i="1"/>
  <c r="AI28" i="1"/>
  <c r="AI40" i="1"/>
  <c r="AI36" i="1"/>
  <c r="AM42" i="1"/>
  <c r="AU36" i="1"/>
  <c r="AU32" i="1"/>
  <c r="AQ30" i="1"/>
  <c r="AR43" i="1"/>
  <c r="AN41" i="1"/>
  <c r="AJ39" i="1"/>
  <c r="AT36" i="1"/>
  <c r="AP34" i="1"/>
  <c r="AL32" i="1"/>
  <c r="AH30" i="1"/>
  <c r="AH47" i="1"/>
  <c r="AT67" i="1"/>
  <c r="AM83" i="1"/>
  <c r="AI79" i="1"/>
  <c r="AQ75" i="1"/>
  <c r="AI73" i="1"/>
  <c r="AS70" i="1"/>
  <c r="AO68" i="1"/>
  <c r="AU79" i="1"/>
  <c r="AP83" i="1"/>
  <c r="AL81" i="1"/>
  <c r="AH79" i="1"/>
  <c r="AR76" i="1"/>
  <c r="AN74" i="1"/>
  <c r="AJ72" i="1"/>
  <c r="AT69" i="1"/>
  <c r="AM82" i="1"/>
  <c r="AO75" i="1"/>
  <c r="AS71" i="1"/>
  <c r="AK69" i="1"/>
  <c r="AM80" i="1"/>
  <c r="AM74" i="1"/>
  <c r="AS81" i="1"/>
  <c r="AN83" i="1"/>
  <c r="AJ81" i="1"/>
  <c r="AT78" i="1"/>
  <c r="AP76" i="1"/>
  <c r="AL74" i="1"/>
  <c r="AH72" i="1"/>
  <c r="AR69" i="1"/>
  <c r="AL47" i="1"/>
  <c r="AU47" i="1"/>
  <c r="AI59" i="1"/>
  <c r="AK60" i="1"/>
  <c r="AJ60" i="1"/>
  <c r="AT53" i="1"/>
  <c r="AP51" i="1"/>
  <c r="AL49" i="1"/>
  <c r="AK58" i="1"/>
  <c r="AL61" i="1"/>
  <c r="AM49" i="1"/>
  <c r="AQ60" i="1"/>
  <c r="AQ50" i="1"/>
  <c r="AI61" i="1"/>
  <c r="AO50" i="1"/>
  <c r="AR56" i="1"/>
  <c r="AM58" i="1"/>
  <c r="AO53" i="1"/>
  <c r="AO49" i="1"/>
  <c r="AK54" i="1"/>
  <c r="AP59" i="1"/>
  <c r="AO61" i="1"/>
  <c r="AO55" i="1"/>
  <c r="AP62" i="1"/>
  <c r="AL60" i="1"/>
  <c r="AH58" i="1"/>
  <c r="AR55" i="1"/>
  <c r="AN53" i="1"/>
  <c r="AJ51" i="1"/>
  <c r="AT48" i="1"/>
  <c r="AL87" i="1"/>
  <c r="AM87" i="1"/>
  <c r="AU89" i="1"/>
  <c r="AN100" i="1"/>
  <c r="AS92" i="1"/>
  <c r="AO88" i="1"/>
  <c r="AN94" i="1"/>
  <c r="AQ97" i="1"/>
  <c r="AQ102" i="1"/>
  <c r="AT102" i="1"/>
  <c r="AL95" i="1"/>
  <c r="AL99" i="1"/>
  <c r="AI91" i="1"/>
  <c r="AU103" i="1"/>
  <c r="AM95" i="1"/>
  <c r="AO103" i="1"/>
  <c r="AN103" i="1"/>
  <c r="AS100" i="1"/>
  <c r="AU91" i="1"/>
  <c r="AO99" i="1"/>
  <c r="AU96" i="1"/>
  <c r="AQ94" i="1"/>
  <c r="AM92" i="1"/>
  <c r="AI90" i="1"/>
  <c r="AR99" i="1"/>
  <c r="AN97" i="1"/>
  <c r="AJ95" i="1"/>
  <c r="AT92" i="1"/>
  <c r="AP90" i="1"/>
  <c r="AL88" i="1"/>
  <c r="AM20" i="1"/>
  <c r="AI18" i="1"/>
  <c r="AS15" i="1"/>
  <c r="AO13" i="1"/>
  <c r="AK11" i="1"/>
  <c r="AQ8" i="1"/>
  <c r="AL10" i="1"/>
  <c r="AH8" i="1"/>
  <c r="AS27" i="1"/>
  <c r="AU29" i="1"/>
  <c r="AI39" i="1"/>
  <c r="AR28" i="1"/>
  <c r="AJ40" i="1"/>
  <c r="AS40" i="1"/>
  <c r="AO32" i="1"/>
  <c r="AU41" i="1"/>
  <c r="AT35" i="1"/>
  <c r="AM39" i="1"/>
  <c r="AR32" i="1"/>
  <c r="AJ32" i="1"/>
  <c r="AR34" i="1"/>
  <c r="AJ30" i="1"/>
  <c r="AL39" i="1"/>
  <c r="AS43" i="1"/>
  <c r="AO39" i="1"/>
  <c r="AO35" i="1"/>
  <c r="AS41" i="1"/>
  <c r="AM36" i="1"/>
  <c r="AQ32" i="1"/>
  <c r="AM30" i="1"/>
  <c r="AN43" i="1"/>
  <c r="AJ41" i="1"/>
  <c r="AT38" i="1"/>
  <c r="AP36" i="1"/>
  <c r="AL34" i="1"/>
  <c r="AH32" i="1"/>
  <c r="AR29" i="1"/>
  <c r="AH67" i="1"/>
  <c r="AR67" i="1"/>
  <c r="AS82" i="1"/>
  <c r="AO78" i="1"/>
  <c r="AM75" i="1"/>
  <c r="AS72" i="1"/>
  <c r="AO70" i="1"/>
  <c r="AK68" i="1"/>
  <c r="AM79" i="1"/>
  <c r="AL83" i="1"/>
  <c r="AH81" i="1"/>
  <c r="AR78" i="1"/>
  <c r="AN76" i="1"/>
  <c r="AJ74" i="1"/>
  <c r="AT71" i="1"/>
  <c r="AP69" i="1"/>
  <c r="AO81" i="1"/>
  <c r="AK75" i="1"/>
  <c r="AK71" i="1"/>
  <c r="AQ68" i="1"/>
  <c r="AS79" i="1"/>
  <c r="AS73" i="1"/>
  <c r="AU80" i="1"/>
  <c r="AJ83" i="1"/>
  <c r="AT80" i="1"/>
  <c r="AP78" i="1"/>
  <c r="AL76" i="1"/>
  <c r="AH74" i="1"/>
  <c r="AR71" i="1"/>
  <c r="AN69" i="1"/>
  <c r="AS47" i="1"/>
  <c r="AQ47" i="1"/>
  <c r="AM57" i="1"/>
  <c r="AO58" i="1"/>
  <c r="AH59" i="1"/>
  <c r="AP53" i="1"/>
  <c r="AL51" i="1"/>
  <c r="AH49" i="1"/>
  <c r="AI57" i="1"/>
  <c r="AH57" i="1"/>
  <c r="AN62" i="1"/>
  <c r="AS59" i="1"/>
  <c r="AI50" i="1"/>
  <c r="AM59" i="1"/>
  <c r="AS48" i="1"/>
  <c r="AL55" i="1"/>
  <c r="AO57" i="1"/>
  <c r="AQ52" i="1"/>
  <c r="AM48" i="1"/>
  <c r="AS52" i="1"/>
  <c r="AN58" i="1"/>
  <c r="AU60" i="1"/>
  <c r="AU54" i="1"/>
  <c r="AL62" i="1"/>
  <c r="AH60" i="1"/>
  <c r="AR57" i="1"/>
  <c r="AN55" i="1"/>
  <c r="AJ53" i="1"/>
  <c r="AT50" i="1"/>
  <c r="AP48" i="1"/>
  <c r="AS87" i="1"/>
  <c r="AI87" i="1"/>
  <c r="AL101" i="1"/>
  <c r="AH100" i="1"/>
  <c r="AH91" i="1"/>
  <c r="AM101" i="1"/>
  <c r="AU93" i="1"/>
  <c r="AP102" i="1"/>
  <c r="AH101" i="1"/>
  <c r="AP101" i="1"/>
  <c r="AO92" i="1"/>
  <c r="AS98" i="1"/>
  <c r="AL89" i="1"/>
  <c r="AQ101" i="1"/>
  <c r="AP93" i="1"/>
  <c r="AT101" i="1"/>
  <c r="AS102" i="1"/>
  <c r="AQ99" i="1"/>
  <c r="AJ90" i="1"/>
  <c r="AK99" i="1"/>
  <c r="AQ96" i="1"/>
  <c r="AM94" i="1"/>
  <c r="AI92" i="1"/>
  <c r="AS89" i="1"/>
  <c r="AN99" i="1"/>
  <c r="AJ97" i="1"/>
  <c r="AT94" i="1"/>
  <c r="AP92" i="1"/>
  <c r="AL90" i="1"/>
  <c r="AH8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<sst xmlns="http://schemas.openxmlformats.org/spreadsheetml/2006/main" count="115" uniqueCount="55">
  <si>
    <t>K</t>
  </si>
  <si>
    <t>r</t>
  </si>
  <si>
    <t>vol1</t>
  </si>
  <si>
    <t>vol2</t>
  </si>
  <si>
    <t>DELTA - 20%</t>
  </si>
  <si>
    <t>DELTA - 30%</t>
  </si>
  <si>
    <t>GAMMA - 20%</t>
  </si>
  <si>
    <t>GAMMA - 30%</t>
  </si>
  <si>
    <t>THETA - 20%</t>
  </si>
  <si>
    <t>THETA - 30%</t>
  </si>
  <si>
    <t>VEGA - 20%</t>
  </si>
  <si>
    <t>VEGA - 30%</t>
  </si>
  <si>
    <t>RHO - 20%</t>
  </si>
  <si>
    <t>RHO - 30%</t>
  </si>
  <si>
    <t>DELTA - 10%</t>
  </si>
  <si>
    <t>GAMMA - 10%</t>
  </si>
  <si>
    <t>vol3</t>
  </si>
  <si>
    <t>THETA - 10%</t>
  </si>
  <si>
    <t>VEGA - 10%</t>
  </si>
  <si>
    <t>RHO - 10%</t>
  </si>
  <si>
    <t>Strike (K)</t>
  </si>
  <si>
    <t>ImpVol Mid</t>
  </si>
  <si>
    <t>Delta Mid</t>
  </si>
  <si>
    <t>Vega Mid</t>
  </si>
  <si>
    <t>Theta Mid</t>
  </si>
  <si>
    <t>Rho Mid</t>
  </si>
  <si>
    <t>Gamma Mid</t>
  </si>
  <si>
    <t>Spot (S) = 858.8 EUR  |  Source: LSEG Workspace  |  Date: 11-Apr-2026 | tau1 = 0.19 (19-Jun-2026) , tau2 = 0.44 (18-Sep-2026) , tau3 = 0.69 (18-Dec-2026)</t>
  </si>
  <si>
    <t>ImpVol</t>
  </si>
  <si>
    <t>tau</t>
  </si>
  <si>
    <t>S</t>
  </si>
  <si>
    <t xml:space="preserve">Delta </t>
  </si>
  <si>
    <t xml:space="preserve">Gamma  </t>
  </si>
  <si>
    <t xml:space="preserve">Vega  </t>
  </si>
  <si>
    <t xml:space="preserve">Theta </t>
  </si>
  <si>
    <t xml:space="preserve">Rho </t>
  </si>
  <si>
    <t>Strike K</t>
  </si>
  <si>
    <t>GREEK: RHO (CALL)</t>
  </si>
  <si>
    <t>GREEK: THETA (CALL)</t>
  </si>
  <si>
    <t>GREEK: VEGA (CALL)</t>
  </si>
  <si>
    <t>GREEK: GAMMA (CALL)</t>
  </si>
  <si>
    <t>GREEK: DELTA (CALL)</t>
  </si>
  <si>
    <t>Refinitive</t>
  </si>
  <si>
    <t>VBA code</t>
  </si>
  <si>
    <t>EMPIRICAL ANALYSIS - ADYEN NV (ADYEN.AS)</t>
  </si>
  <si>
    <t>CALL - ImpVol Surface</t>
  </si>
  <si>
    <t>PUT - ImpVol Surface</t>
  </si>
  <si>
    <t xml:space="preserve">PART 2.4 - SMOOTHNESS OF GREEKS  </t>
  </si>
  <si>
    <t xml:space="preserve">MERGE: ATM GREEKS  - ADYEN NV </t>
  </si>
  <si>
    <t>ATM GREEKS COMPARISON  (3-Month Maturity)</t>
  </si>
  <si>
    <t>GREEKS SURFACE - VBA vs REFINITIVE</t>
  </si>
  <si>
    <t>τ2=0.44</t>
  </si>
  <si>
    <t>τ1 =0.19</t>
  </si>
  <si>
    <t>τ3=0.69</t>
  </si>
  <si>
    <t>τ1=0.19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</si>
</sst>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"/>
  </numFmts>
  <fonts count="24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2"/>
      <color theme="0"/>
      <name val="Aptos Narrow"/>
      <scheme val="minor"/>
    </font>
    <font>
      <b/>
      <sz val="12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2"/>
      <color rgb="FF39C46E"/>
      <name val="Aptos Narrow"/>
      <family val="2"/>
      <scheme val="minor"/>
    </font>
    <font>
      <b/>
      <sz val="12"/>
      <color rgb="FF6CFFE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E2D61F"/>
      <name val="Aptos Narrow"/>
      <family val="2"/>
      <scheme val="minor"/>
    </font>
    <font>
      <b/>
      <sz val="12"/>
      <color rgb="FF6CFFE0"/>
      <name val="Arial"/>
      <family val="2"/>
    </font>
    <font>
      <sz val="12"/>
      <color theme="1"/>
      <name val="Aptos Narrow"/>
      <scheme val="minor"/>
    </font>
    <font>
      <b/>
      <sz val="12"/>
      <color rgb="FF6CFFE0"/>
      <name val="Aptos Narrow"/>
      <scheme val="minor"/>
    </font>
    <font>
      <sz val="10"/>
      <name val="Arial"/>
      <family val="2"/>
    </font>
    <font>
      <b/>
      <sz val="12"/>
      <color rgb="FFFFFFFF"/>
      <name val="Aptos Narrow"/>
      <scheme val="minor"/>
    </font>
    <font>
      <sz val="12"/>
      <name val="Aptos Narrow"/>
      <scheme val="minor"/>
    </font>
    <font>
      <b/>
      <sz val="12"/>
      <name val="Aptos Narrow"/>
      <scheme val="minor"/>
    </font>
    <font>
      <i/>
      <sz val="10"/>
      <color rgb="FF1F3864"/>
      <name val="Arial"/>
      <family val="2"/>
    </font>
    <font>
      <b/>
      <sz val="12"/>
      <color rgb="FFFFFFFF"/>
      <name val="Aptos Narrow"/>
    </font>
    <font>
      <b/>
      <sz val="11"/>
      <color rgb="FFFFFFFF"/>
      <name val="Aptos Narrow"/>
    </font>
    <font>
      <b/>
      <sz val="16"/>
      <color theme="0"/>
      <name val="Arial"/>
      <family val="2"/>
    </font>
    <font>
      <b/>
      <sz val="16"/>
      <color theme="0"/>
      <name val="Aptos Narrow"/>
      <scheme val="minor"/>
    </font>
    <font>
      <b/>
      <sz val="10"/>
      <color rgb="FFFFFFFF"/>
      <name val="Calibri"/>
      <family val="2"/>
    </font>
    <font>
      <b/>
      <sz val="16"/>
      <color rgb="FFFFFFFF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FFD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2E74B6"/>
        <bgColor indexed="64"/>
      </patternFill>
    </fill>
    <fill>
      <patternFill patternType="solid">
        <fgColor rgb="FF2E75B6"/>
      </patternFill>
    </fill>
    <fill>
      <patternFill patternType="solid">
        <fgColor rgb="FF1F4E79"/>
      </patternFill>
    </fill>
    <fill>
      <patternFill patternType="solid">
        <fgColor theme="5"/>
        <bgColor indexed="64"/>
      </patternFill>
    </fill>
    <fill>
      <patternFill patternType="solid">
        <fgColor theme="2" tint="-0.249977111117893"/>
        <bgColor rgb="FF2E75B6"/>
      </patternFill>
    </fill>
    <fill>
      <patternFill patternType="solid">
        <fgColor theme="3" tint="9.9978637043366805E-2"/>
        <bgColor rgb="FF1F38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2C4770"/>
      </patternFill>
    </fill>
    <fill>
      <patternFill patternType="solid">
        <fgColor rgb="FFBF5014"/>
        <bgColor indexed="64"/>
      </patternFill>
    </fill>
    <fill>
      <patternFill patternType="solid">
        <fgColor rgb="FF153D64"/>
        <bgColor rgb="FF2E75B6"/>
      </patternFill>
    </fill>
    <fill>
      <patternFill patternType="solid">
        <fgColor theme="5" tint="-0.499984740745262"/>
        <bgColor rgb="FF2E75B6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A8BDD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0">
    <xf numFmtId="0" fontId="0" fillId="0" borderId="0" xfId="0"/>
    <xf numFmtId="0" fontId="0" fillId="0" borderId="1" xfId="0" applyBorder="1"/>
    <xf numFmtId="9" fontId="0" fillId="0" borderId="1" xfId="1" applyFont="1" applyBorder="1"/>
    <xf numFmtId="9" fontId="0" fillId="0" borderId="0" xfId="1" applyFont="1" applyBorder="1"/>
    <xf numFmtId="9" fontId="0" fillId="0" borderId="0" xfId="1" applyFont="1" applyFill="1" applyBorder="1"/>
    <xf numFmtId="0" fontId="0" fillId="0" borderId="0" xfId="0" applyAlignment="1">
      <alignment horizontal="right"/>
    </xf>
    <xf numFmtId="0" fontId="2" fillId="0" borderId="1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right"/>
    </xf>
    <xf numFmtId="0" fontId="2" fillId="0" borderId="1" xfId="0" applyFont="1" applyBorder="1"/>
    <xf numFmtId="0" fontId="2" fillId="0" borderId="0" xfId="0" applyFont="1"/>
    <xf numFmtId="0" fontId="2" fillId="0" borderId="0" xfId="0" applyFont="1" applyAlignment="1">
      <alignment horizontal="right"/>
    </xf>
    <xf numFmtId="0" fontId="2" fillId="0" borderId="2" xfId="0" applyFont="1" applyBorder="1" applyAlignment="1">
      <alignment horizontal="right"/>
    </xf>
    <xf numFmtId="0" fontId="2" fillId="0" borderId="3" xfId="0" applyFont="1" applyBorder="1" applyAlignment="1">
      <alignment horizontal="left"/>
    </xf>
    <xf numFmtId="164" fontId="0" fillId="0" borderId="0" xfId="0" applyNumberFormat="1" applyAlignment="1">
      <alignment horizontal="right"/>
    </xf>
    <xf numFmtId="0" fontId="2" fillId="0" borderId="2" xfId="0" applyFont="1" applyBorder="1"/>
    <xf numFmtId="0" fontId="2" fillId="0" borderId="3" xfId="0" applyFont="1" applyBorder="1"/>
    <xf numFmtId="0" fontId="2" fillId="0" borderId="3" xfId="0" applyFont="1" applyBorder="1" applyAlignment="1">
      <alignment horizontal="right"/>
    </xf>
    <xf numFmtId="164" fontId="0" fillId="0" borderId="0" xfId="0" applyNumberFormat="1"/>
    <xf numFmtId="164" fontId="0" fillId="0" borderId="4" xfId="0" applyNumberFormat="1" applyBorder="1" applyAlignment="1">
      <alignment horizontal="right"/>
    </xf>
    <xf numFmtId="164" fontId="0" fillId="0" borderId="5" xfId="0" applyNumberFormat="1" applyBorder="1" applyAlignment="1">
      <alignment horizontal="right"/>
    </xf>
    <xf numFmtId="164" fontId="0" fillId="0" borderId="6" xfId="0" applyNumberFormat="1" applyBorder="1" applyAlignment="1">
      <alignment horizontal="right"/>
    </xf>
    <xf numFmtId="164" fontId="0" fillId="0" borderId="7" xfId="0" applyNumberFormat="1" applyBorder="1" applyAlignment="1">
      <alignment horizontal="right"/>
    </xf>
    <xf numFmtId="164" fontId="0" fillId="0" borderId="8" xfId="0" applyNumberFormat="1" applyBorder="1" applyAlignment="1">
      <alignment horizontal="right"/>
    </xf>
    <xf numFmtId="164" fontId="0" fillId="0" borderId="9" xfId="0" applyNumberFormat="1" applyBorder="1" applyAlignment="1">
      <alignment horizontal="right"/>
    </xf>
    <xf numFmtId="164" fontId="0" fillId="0" borderId="10" xfId="0" applyNumberFormat="1" applyBorder="1" applyAlignment="1">
      <alignment horizontal="right"/>
    </xf>
    <xf numFmtId="164" fontId="0" fillId="0" borderId="11" xfId="0" applyNumberFormat="1" applyBorder="1" applyAlignment="1">
      <alignment horizontal="right"/>
    </xf>
    <xf numFmtId="164" fontId="0" fillId="0" borderId="4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164" fontId="0" fillId="0" borderId="10" xfId="0" applyNumberFormat="1" applyBorder="1"/>
    <xf numFmtId="164" fontId="0" fillId="0" borderId="11" xfId="0" applyNumberFormat="1" applyBorder="1"/>
    <xf numFmtId="9" fontId="0" fillId="3" borderId="1" xfId="1" applyFont="1" applyFill="1" applyBorder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3" fontId="9" fillId="0" borderId="0" xfId="0" applyNumberFormat="1" applyFont="1"/>
    <xf numFmtId="0" fontId="4" fillId="0" borderId="0" xfId="0" applyFont="1"/>
    <xf numFmtId="3" fontId="8" fillId="0" borderId="0" xfId="0" applyNumberFormat="1" applyFont="1"/>
    <xf numFmtId="0" fontId="10" fillId="0" borderId="0" xfId="0" applyFont="1"/>
    <xf numFmtId="0" fontId="11" fillId="0" borderId="0" xfId="0" applyFont="1"/>
    <xf numFmtId="3" fontId="2" fillId="0" borderId="0" xfId="0" applyNumberFormat="1" applyFont="1"/>
    <xf numFmtId="0" fontId="12" fillId="0" borderId="0" xfId="0" applyFont="1"/>
    <xf numFmtId="0" fontId="13" fillId="0" borderId="12" xfId="0" applyFont="1" applyBorder="1" applyAlignment="1">
      <alignment horizontal="center" vertical="center"/>
    </xf>
    <xf numFmtId="164" fontId="13" fillId="0" borderId="12" xfId="0" applyNumberFormat="1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164" fontId="15" fillId="0" borderId="13" xfId="0" applyNumberFormat="1" applyFont="1" applyBorder="1" applyAlignment="1">
      <alignment horizontal="center" vertical="center"/>
    </xf>
    <xf numFmtId="0" fontId="2" fillId="0" borderId="14" xfId="0" applyFont="1" applyBorder="1"/>
    <xf numFmtId="0" fontId="4" fillId="0" borderId="14" xfId="0" applyFont="1" applyBorder="1"/>
    <xf numFmtId="3" fontId="8" fillId="0" borderId="14" xfId="0" applyNumberFormat="1" applyFont="1" applyBorder="1"/>
    <xf numFmtId="0" fontId="0" fillId="0" borderId="14" xfId="0" applyBorder="1"/>
    <xf numFmtId="164" fontId="15" fillId="0" borderId="8" xfId="0" applyNumberFormat="1" applyFont="1" applyBorder="1" applyAlignment="1">
      <alignment horizontal="right" vertical="center"/>
    </xf>
    <xf numFmtId="164" fontId="15" fillId="0" borderId="10" xfId="0" applyNumberFormat="1" applyFont="1" applyBorder="1" applyAlignment="1">
      <alignment horizontal="right" vertical="center"/>
    </xf>
    <xf numFmtId="164" fontId="15" fillId="0" borderId="11" xfId="0" applyNumberFormat="1" applyFont="1" applyBorder="1" applyAlignment="1">
      <alignment horizontal="right" vertical="center"/>
    </xf>
    <xf numFmtId="164" fontId="15" fillId="0" borderId="7" xfId="0" applyNumberFormat="1" applyFont="1" applyBorder="1" applyAlignment="1">
      <alignment horizontal="right" vertical="center"/>
    </xf>
    <xf numFmtId="164" fontId="15" fillId="0" borderId="9" xfId="0" applyNumberFormat="1" applyFont="1" applyBorder="1" applyAlignment="1">
      <alignment horizontal="right" vertical="center"/>
    </xf>
    <xf numFmtId="0" fontId="3" fillId="2" borderId="1" xfId="0" applyFont="1" applyFill="1" applyBorder="1"/>
    <xf numFmtId="0" fontId="14" fillId="9" borderId="4" xfId="0" applyFont="1" applyFill="1" applyBorder="1" applyAlignment="1">
      <alignment horizontal="center" vertical="center"/>
    </xf>
    <xf numFmtId="0" fontId="11" fillId="0" borderId="8" xfId="0" applyFont="1" applyBorder="1"/>
    <xf numFmtId="0" fontId="11" fillId="0" borderId="10" xfId="0" applyFont="1" applyBorder="1"/>
    <xf numFmtId="0" fontId="11" fillId="0" borderId="11" xfId="0" applyFont="1" applyBorder="1"/>
    <xf numFmtId="0" fontId="11" fillId="0" borderId="7" xfId="0" applyFont="1" applyBorder="1"/>
    <xf numFmtId="0" fontId="11" fillId="0" borderId="9" xfId="0" applyFont="1" applyBorder="1"/>
    <xf numFmtId="0" fontId="2" fillId="0" borderId="15" xfId="0" applyFont="1" applyBorder="1"/>
    <xf numFmtId="3" fontId="2" fillId="0" borderId="15" xfId="0" applyNumberFormat="1" applyFont="1" applyBorder="1"/>
    <xf numFmtId="3" fontId="2" fillId="0" borderId="16" xfId="0" applyNumberFormat="1" applyFont="1" applyBorder="1"/>
    <xf numFmtId="0" fontId="3" fillId="2" borderId="4" xfId="0" applyFont="1" applyFill="1" applyBorder="1"/>
    <xf numFmtId="0" fontId="0" fillId="0" borderId="8" xfId="0" applyBorder="1"/>
    <xf numFmtId="0" fontId="3" fillId="2" borderId="16" xfId="0" applyFont="1" applyFill="1" applyBorder="1"/>
    <xf numFmtId="0" fontId="0" fillId="3" borderId="1" xfId="0" applyFill="1" applyBorder="1"/>
    <xf numFmtId="0" fontId="0" fillId="3" borderId="8" xfId="0" applyFill="1" applyBorder="1"/>
    <xf numFmtId="0" fontId="0" fillId="3" borderId="11" xfId="0" applyFill="1" applyBorder="1"/>
    <xf numFmtId="0" fontId="0" fillId="5" borderId="7" xfId="0" applyFill="1" applyBorder="1"/>
    <xf numFmtId="0" fontId="3" fillId="5" borderId="0" xfId="0" applyFont="1" applyFill="1"/>
    <xf numFmtId="0" fontId="3" fillId="5" borderId="8" xfId="0" applyFont="1" applyFill="1" applyBorder="1"/>
    <xf numFmtId="0" fontId="18" fillId="0" borderId="0" xfId="0" applyFont="1" applyAlignment="1">
      <alignment horizontal="center"/>
    </xf>
    <xf numFmtId="0" fontId="16" fillId="0" borderId="7" xfId="0" applyFont="1" applyBorder="1" applyAlignment="1">
      <alignment horizontal="right" vertical="center"/>
    </xf>
    <xf numFmtId="0" fontId="16" fillId="0" borderId="9" xfId="0" applyFont="1" applyBorder="1" applyAlignment="1">
      <alignment horizontal="right" vertical="center"/>
    </xf>
    <xf numFmtId="0" fontId="18" fillId="6" borderId="7" xfId="0" applyFont="1" applyFill="1" applyBorder="1" applyAlignment="1">
      <alignment horizontal="center"/>
    </xf>
    <xf numFmtId="0" fontId="18" fillId="6" borderId="0" xfId="0" applyFont="1" applyFill="1" applyAlignment="1">
      <alignment horizontal="center"/>
    </xf>
    <xf numFmtId="0" fontId="18" fillId="6" borderId="8" xfId="0" applyFont="1" applyFill="1" applyBorder="1" applyAlignment="1">
      <alignment horizontal="center"/>
    </xf>
    <xf numFmtId="164" fontId="15" fillId="0" borderId="0" xfId="0" applyNumberFormat="1" applyFont="1" applyAlignment="1">
      <alignment horizontal="right" vertical="center"/>
    </xf>
    <xf numFmtId="0" fontId="3" fillId="13" borderId="7" xfId="0" applyFont="1" applyFill="1" applyBorder="1"/>
    <xf numFmtId="0" fontId="3" fillId="13" borderId="0" xfId="0" applyFont="1" applyFill="1"/>
    <xf numFmtId="0" fontId="3" fillId="13" borderId="8" xfId="0" applyFont="1" applyFill="1" applyBorder="1"/>
    <xf numFmtId="0" fontId="14" fillId="9" borderId="1" xfId="0" applyFont="1" applyFill="1" applyBorder="1" applyAlignment="1">
      <alignment horizontal="center" vertical="center"/>
    </xf>
    <xf numFmtId="1" fontId="0" fillId="0" borderId="7" xfId="0" applyNumberFormat="1" applyBorder="1"/>
    <xf numFmtId="165" fontId="0" fillId="0" borderId="0" xfId="0" applyNumberFormat="1" applyAlignment="1">
      <alignment horizontal="center"/>
    </xf>
    <xf numFmtId="165" fontId="0" fillId="0" borderId="8" xfId="0" applyNumberFormat="1" applyBorder="1" applyAlignment="1">
      <alignment horizontal="center"/>
    </xf>
    <xf numFmtId="1" fontId="0" fillId="0" borderId="9" xfId="0" applyNumberFormat="1" applyBorder="1"/>
    <xf numFmtId="165" fontId="0" fillId="0" borderId="10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3" fontId="18" fillId="6" borderId="0" xfId="0" applyNumberFormat="1" applyFont="1" applyFill="1" applyAlignment="1">
      <alignment horizontal="center"/>
    </xf>
    <xf numFmtId="0" fontId="3" fillId="5" borderId="7" xfId="0" applyFont="1" applyFill="1" applyBorder="1"/>
    <xf numFmtId="0" fontId="3" fillId="5" borderId="9" xfId="0" applyFont="1" applyFill="1" applyBorder="1"/>
    <xf numFmtId="0" fontId="19" fillId="7" borderId="4" xfId="0" applyFont="1" applyFill="1" applyBorder="1" applyAlignment="1">
      <alignment horizontal="center"/>
    </xf>
    <xf numFmtId="0" fontId="19" fillId="7" borderId="5" xfId="0" applyFont="1" applyFill="1" applyBorder="1" applyAlignment="1">
      <alignment horizontal="center"/>
    </xf>
    <xf numFmtId="0" fontId="19" fillId="7" borderId="6" xfId="0" applyFont="1" applyFill="1" applyBorder="1" applyAlignment="1">
      <alignment horizontal="center"/>
    </xf>
    <xf numFmtId="0" fontId="23" fillId="12" borderId="17" xfId="0" applyFont="1" applyFill="1" applyBorder="1" applyAlignment="1">
      <alignment horizontal="center" vertical="center" wrapText="1"/>
    </xf>
    <xf numFmtId="0" fontId="23" fillId="12" borderId="0" xfId="0" applyFont="1" applyFill="1" applyAlignment="1">
      <alignment horizontal="center" vertical="center" wrapText="1"/>
    </xf>
    <xf numFmtId="0" fontId="22" fillId="12" borderId="2" xfId="0" applyFont="1" applyFill="1" applyBorder="1" applyAlignment="1">
      <alignment horizontal="center" vertical="center" wrapText="1"/>
    </xf>
    <xf numFmtId="0" fontId="0" fillId="0" borderId="18" xfId="0" applyBorder="1"/>
    <xf numFmtId="0" fontId="0" fillId="0" borderId="19" xfId="0" applyBorder="1"/>
    <xf numFmtId="0" fontId="3" fillId="5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14" fillId="14" borderId="4" xfId="0" applyFont="1" applyFill="1" applyBorder="1" applyAlignment="1">
      <alignment horizontal="center" vertical="center"/>
    </xf>
    <xf numFmtId="0" fontId="14" fillId="14" borderId="5" xfId="0" applyFont="1" applyFill="1" applyBorder="1" applyAlignment="1">
      <alignment horizontal="center" vertical="center"/>
    </xf>
    <xf numFmtId="0" fontId="14" fillId="14" borderId="6" xfId="0" applyFont="1" applyFill="1" applyBorder="1" applyAlignment="1">
      <alignment horizontal="center" vertical="center"/>
    </xf>
    <xf numFmtId="9" fontId="21" fillId="11" borderId="0" xfId="0" applyNumberFormat="1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17" fillId="0" borderId="1" xfId="0" applyFont="1" applyBorder="1" applyAlignment="1">
      <alignment horizontal="center" vertical="center"/>
    </xf>
    <xf numFmtId="0" fontId="20" fillId="10" borderId="1" xfId="0" applyFont="1" applyFill="1" applyBorder="1" applyAlignment="1">
      <alignment horizontal="center" vertical="center"/>
    </xf>
    <xf numFmtId="0" fontId="14" fillId="15" borderId="4" xfId="0" applyFont="1" applyFill="1" applyBorder="1" applyAlignment="1">
      <alignment horizontal="center" vertical="center"/>
    </xf>
    <xf numFmtId="0" fontId="14" fillId="15" borderId="5" xfId="0" applyFont="1" applyFill="1" applyBorder="1" applyAlignment="1">
      <alignment horizontal="center" vertical="center"/>
    </xf>
    <xf numFmtId="0" fontId="14" fillId="15" borderId="6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2E74B6"/>
      <color rgb="FF153D64"/>
      <color rgb="FFBF5014"/>
      <color rgb="FFFFD579"/>
      <color rgb="FFFFFD78"/>
      <color rgb="FFFFF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</a:t>
            </a:r>
            <a:r>
              <a:rPr lang="en-US" baseline="0"/>
              <a:t> - 20%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CallGkTable!$B$6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CallGkTable!$A$7:$A$23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CallGkTable!$B$7:$B$23</c:f>
              <c:numCache>
                <c:formatCode>0.0000</c:formatCode>
                <c:ptCount val="17"/>
                <c:pt idx="0">
                  <c:v>4.8964030371399111E-16</c:v>
                </c:pt>
                <c:pt idx="1">
                  <c:v>6.7189909908190016E-12</c:v>
                </c:pt>
                <c:pt idx="2">
                  <c:v>1.1217502453550677E-8</c:v>
                </c:pt>
                <c:pt idx="3">
                  <c:v>3.3782456328086734E-6</c:v>
                </c:pt>
                <c:pt idx="4">
                  <c:v>2.4998248472572982E-4</c:v>
                </c:pt>
                <c:pt idx="5">
                  <c:v>5.830908137902522E-3</c:v>
                </c:pt>
                <c:pt idx="6">
                  <c:v>5.2781549996934837E-2</c:v>
                </c:pt>
                <c:pt idx="7">
                  <c:v>0.22255758462414449</c:v>
                </c:pt>
                <c:pt idx="8">
                  <c:v>0.51891639999929629</c:v>
                </c:pt>
                <c:pt idx="9">
                  <c:v>0.79357096026156482</c:v>
                </c:pt>
                <c:pt idx="10">
                  <c:v>0.93995791805464912</c:v>
                </c:pt>
                <c:pt idx="11">
                  <c:v>0.98800422406854482</c:v>
                </c:pt>
                <c:pt idx="12">
                  <c:v>0.99830623193923973</c:v>
                </c:pt>
                <c:pt idx="13">
                  <c:v>0.99982531626414572</c:v>
                </c:pt>
                <c:pt idx="14">
                  <c:v>0.99998640314018139</c:v>
                </c:pt>
                <c:pt idx="15">
                  <c:v>0.99999917643923686</c:v>
                </c:pt>
                <c:pt idx="16">
                  <c:v>0.99999996008829672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2C-9241-ADCE-A370DB80B1A8}"/>
            </c:ext>
          </c:extLst>
        </c:ser>
        <c:ser>
          <c:idx val="1"/>
          <c:order val="1"/>
          <c:tx>
            <c:strRef>
              <c:f>CallGkTable!$C$6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CallGkTable!$A$7:$A$23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CallGkTable!$C$7:$C$23</c:f>
              <c:numCache>
                <c:formatCode>0.0000</c:formatCode>
                <c:ptCount val="17"/>
                <c:pt idx="0">
                  <c:v>8.3013130785334355E-9</c:v>
                </c:pt>
                <c:pt idx="1">
                  <c:v>1.0210267589266487E-6</c:v>
                </c:pt>
                <c:pt idx="2">
                  <c:v>4.4152463014191854E-5</c:v>
                </c:pt>
                <c:pt idx="3">
                  <c:v>8.1830678243053191E-4</c:v>
                </c:pt>
                <c:pt idx="4">
                  <c:v>7.5966424381891306E-3</c:v>
                </c:pt>
                <c:pt idx="5">
                  <c:v>4.006477982445996E-2</c:v>
                </c:pt>
                <c:pt idx="6">
                  <c:v>0.13330906924780192</c:v>
                </c:pt>
                <c:pt idx="7">
                  <c:v>0.3062898934344146</c:v>
                </c:pt>
                <c:pt idx="8">
                  <c:v>0.5267418038869226</c:v>
                </c:pt>
                <c:pt idx="9">
                  <c:v>0.72992052908241489</c:v>
                </c:pt>
                <c:pt idx="10">
                  <c:v>0.87132614165736733</c:v>
                </c:pt>
                <c:pt idx="11">
                  <c:v>0.94841416414843493</c:v>
                </c:pt>
                <c:pt idx="12">
                  <c:v>0.9823760534317052</c:v>
                </c:pt>
                <c:pt idx="13">
                  <c:v>0.99479497737862488</c:v>
                </c:pt>
                <c:pt idx="14">
                  <c:v>0.99865188998007925</c:v>
                </c:pt>
                <c:pt idx="15">
                  <c:v>0.99968959215435294</c:v>
                </c:pt>
                <c:pt idx="16">
                  <c:v>0.99993565599706147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2C-9241-ADCE-A370DB80B1A8}"/>
            </c:ext>
          </c:extLst>
        </c:ser>
        <c:ser>
          <c:idx val="2"/>
          <c:order val="2"/>
          <c:tx>
            <c:strRef>
              <c:f>CallGkTable!$D$6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CallGkTable!$A$7:$A$23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CallGkTable!$D$7:$D$23</c:f>
              <c:numCache>
                <c:formatCode>0.0000</c:formatCode>
                <c:ptCount val="17"/>
                <c:pt idx="0">
                  <c:v>2.3135653326617214E-6</c:v>
                </c:pt>
                <c:pt idx="1">
                  <c:v>5.8978518150786922E-5</c:v>
                </c:pt>
                <c:pt idx="2">
                  <c:v>7.522257491842688E-4</c:v>
                </c:pt>
                <c:pt idx="3">
                  <c:v>5.4794346275411467E-3</c:v>
                </c:pt>
                <c:pt idx="4">
                  <c:v>2.5300139283739118E-2</c:v>
                </c:pt>
                <c:pt idx="5">
                  <c:v>8.0542811303141587E-2</c:v>
                </c:pt>
                <c:pt idx="6">
                  <c:v>0.18952524812777746</c:v>
                </c:pt>
                <c:pt idx="7">
                  <c:v>0.34971752968021519</c:v>
                </c:pt>
                <c:pt idx="8">
                  <c:v>0.53273961671267711</c:v>
                </c:pt>
                <c:pt idx="9">
                  <c:v>0.70109401201543453</c:v>
                </c:pt>
                <c:pt idx="10">
                  <c:v>0.82950660741686155</c:v>
                </c:pt>
                <c:pt idx="11">
                  <c:v>0.91276887593354383</c:v>
                </c:pt>
                <c:pt idx="12">
                  <c:v>0.95963958476134859</c:v>
                </c:pt>
                <c:pt idx="13">
                  <c:v>0.98296199066116863</c:v>
                </c:pt>
                <c:pt idx="14">
                  <c:v>0.99337921785148087</c:v>
                </c:pt>
                <c:pt idx="15">
                  <c:v>0.99761170131759624</c:v>
                </c:pt>
                <c:pt idx="16">
                  <c:v>0.99919396953371908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2C-9241-ADCE-A370DB80B1A8}"/>
            </c:ext>
          </c:extLst>
        </c:ser>
        <c:ser>
          <c:idx val="3"/>
          <c:order val="3"/>
          <c:tx>
            <c:strRef>
              <c:f>CallGkTable!$E$6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CallGkTable!$A$7:$A$23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CallGkTable!$E$7:$E$23</c:f>
              <c:numCache>
                <c:formatCode>0.0000</c:formatCode>
                <c:ptCount val="17"/>
                <c:pt idx="0">
                  <c:v>4.0139975424484934E-5</c:v>
                </c:pt>
                <c:pt idx="1">
                  <c:v>4.6519881412379274E-4</c:v>
                </c:pt>
                <c:pt idx="2">
                  <c:v>3.2160999955850558E-3</c:v>
                </c:pt>
                <c:pt idx="3">
                  <c:v>1.4648825269289092E-2</c:v>
                </c:pt>
                <c:pt idx="4">
                  <c:v>4.7535275559280651E-2</c:v>
                </c:pt>
                <c:pt idx="5">
                  <c:v>0.11703172121234477</c:v>
                </c:pt>
                <c:pt idx="6">
                  <c:v>0.23023301469857285</c:v>
                </c:pt>
                <c:pt idx="7">
                  <c:v>0.3780368656656477</c:v>
                </c:pt>
                <c:pt idx="8">
                  <c:v>0.53779029390666466</c:v>
                </c:pt>
                <c:pt idx="9">
                  <c:v>0.68459548536557635</c:v>
                </c:pt>
                <c:pt idx="10">
                  <c:v>0.80188165059672933</c:v>
                </c:pt>
                <c:pt idx="11">
                  <c:v>0.88488828305391432</c:v>
                </c:pt>
                <c:pt idx="12">
                  <c:v>0.93776106845399343</c:v>
                </c:pt>
                <c:pt idx="13">
                  <c:v>0.96848451708238714</c:v>
                </c:pt>
                <c:pt idx="14">
                  <c:v>0.98496017489321974</c:v>
                </c:pt>
                <c:pt idx="15">
                  <c:v>0.99319515409537595</c:v>
                </c:pt>
                <c:pt idx="16">
                  <c:v>0.99706463005532564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2C-9241-ADCE-A370DB80B1A8}"/>
            </c:ext>
          </c:extLst>
        </c:ser>
        <c:ser>
          <c:idx val="4"/>
          <c:order val="4"/>
          <c:tx>
            <c:strRef>
              <c:f>CallGkTable!$F$6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CallGkTable!$A$7:$A$23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CallGkTable!$F$7:$F$23</c:f>
              <c:numCache>
                <c:formatCode>0.0000</c:formatCode>
                <c:ptCount val="17"/>
                <c:pt idx="0">
                  <c:v>2.2743341786876357E-4</c:v>
                </c:pt>
                <c:pt idx="1">
                  <c:v>1.6409066155964737E-3</c:v>
                </c:pt>
                <c:pt idx="2">
                  <c:v>7.8458863408448522E-3</c:v>
                </c:pt>
                <c:pt idx="3">
                  <c:v>2.6918022682862655E-2</c:v>
                </c:pt>
                <c:pt idx="4">
                  <c:v>7.0537829580775729E-2</c:v>
                </c:pt>
                <c:pt idx="5">
                  <c:v>0.14844720364554423</c:v>
                </c:pt>
                <c:pt idx="6">
                  <c:v>0.26142924756390218</c:v>
                </c:pt>
                <c:pt idx="7">
                  <c:v>0.39873130138189328</c:v>
                </c:pt>
                <c:pt idx="8">
                  <c:v>0.54223501331161406</c:v>
                </c:pt>
                <c:pt idx="9">
                  <c:v>0.67402849627857031</c:v>
                </c:pt>
                <c:pt idx="10">
                  <c:v>0.78230772963384732</c:v>
                </c:pt>
                <c:pt idx="11">
                  <c:v>0.8630953437034381</c:v>
                </c:pt>
                <c:pt idx="12">
                  <c:v>0.91853340172068842</c:v>
                </c:pt>
                <c:pt idx="13">
                  <c:v>0.95390232385199913</c:v>
                </c:pt>
                <c:pt idx="14">
                  <c:v>0.97507573833647321</c:v>
                </c:pt>
                <c:pt idx="15">
                  <c:v>0.987063941065492</c:v>
                </c:pt>
                <c:pt idx="16">
                  <c:v>0.9935275944696309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2C-9241-ADCE-A370DB80B1A8}"/>
            </c:ext>
          </c:extLst>
        </c:ser>
        <c:ser>
          <c:idx val="5"/>
          <c:order val="5"/>
          <c:tx>
            <c:strRef>
              <c:f>CallGkTable!$G$6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CallGkTable!$A$7:$A$23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CallGkTable!$G$7:$G$23</c:f>
              <c:numCache>
                <c:formatCode>0.0000</c:formatCode>
                <c:ptCount val="17"/>
                <c:pt idx="0">
                  <c:v>7.3339315349598864E-4</c:v>
                </c:pt>
                <c:pt idx="1">
                  <c:v>3.8551173459696964E-3</c:v>
                </c:pt>
                <c:pt idx="2">
                  <c:v>1.4402778602930108E-2</c:v>
                </c:pt>
                <c:pt idx="3">
                  <c:v>4.0860172111759581E-2</c:v>
                </c:pt>
                <c:pt idx="4">
                  <c:v>9.2718991154622718E-2</c:v>
                </c:pt>
                <c:pt idx="5">
                  <c:v>0.17544466250951118</c:v>
                </c:pt>
                <c:pt idx="6">
                  <c:v>0.28640779285454132</c:v>
                </c:pt>
                <c:pt idx="7">
                  <c:v>0.41491980008730484</c:v>
                </c:pt>
                <c:pt idx="8">
                  <c:v>0.54624882106468031</c:v>
                </c:pt>
                <c:pt idx="9">
                  <c:v>0.66681258720741177</c:v>
                </c:pt>
                <c:pt idx="10">
                  <c:v>0.76773686176629652</c:v>
                </c:pt>
                <c:pt idx="11">
                  <c:v>0.84574392541104015</c:v>
                </c:pt>
                <c:pt idx="12">
                  <c:v>0.90200659044195874</c:v>
                </c:pt>
                <c:pt idx="13">
                  <c:v>0.9402142801511969</c:v>
                </c:pt>
                <c:pt idx="14">
                  <c:v>0.96483221684018183</c:v>
                </c:pt>
                <c:pt idx="15">
                  <c:v>0.97998098357938546</c:v>
                </c:pt>
                <c:pt idx="16">
                  <c:v>0.98893439681623385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2C-9241-ADCE-A370DB80B1A8}"/>
            </c:ext>
          </c:extLst>
        </c:ser>
        <c:ser>
          <c:idx val="6"/>
          <c:order val="6"/>
          <c:tx>
            <c:strRef>
              <c:f>CallGkTable!$H$6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CallGkTable!$A$7:$A$23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CallGkTable!$H$7:$H$23</c:f>
              <c:numCache>
                <c:formatCode>0.0000</c:formatCode>
                <c:ptCount val="17"/>
                <c:pt idx="0">
                  <c:v>1.7097704105366416E-3</c:v>
                </c:pt>
                <c:pt idx="1">
                  <c:v>7.1642370961297339E-3</c:v>
                </c:pt>
                <c:pt idx="2">
                  <c:v>2.242591118396205E-2</c:v>
                </c:pt>
                <c:pt idx="3">
                  <c:v>5.5498237073536447E-2</c:v>
                </c:pt>
                <c:pt idx="4">
                  <c:v>0.11351617326502472</c:v>
                </c:pt>
                <c:pt idx="5">
                  <c:v>0.19884963648426759</c:v>
                </c:pt>
                <c:pt idx="6">
                  <c:v>0.30707780777053395</c:v>
                </c:pt>
                <c:pt idx="7">
                  <c:v>0.42816924322332078</c:v>
                </c:pt>
                <c:pt idx="8">
                  <c:v>0.54993574324296035</c:v>
                </c:pt>
                <c:pt idx="9">
                  <c:v>0.66168859212232867</c:v>
                </c:pt>
                <c:pt idx="10">
                  <c:v>0.7564993813863905</c:v>
                </c:pt>
                <c:pt idx="11">
                  <c:v>0.83165762889347106</c:v>
                </c:pt>
                <c:pt idx="12">
                  <c:v>0.88783196322373703</c:v>
                </c:pt>
                <c:pt idx="13">
                  <c:v>0.92772250848626392</c:v>
                </c:pt>
                <c:pt idx="14">
                  <c:v>0.95481273623086027</c:v>
                </c:pt>
                <c:pt idx="15">
                  <c:v>0.97250574341060869</c:v>
                </c:pt>
                <c:pt idx="16">
                  <c:v>0.98367272820713014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2C-9241-ADCE-A370DB80B1A8}"/>
            </c:ext>
          </c:extLst>
        </c:ser>
        <c:ser>
          <c:idx val="7"/>
          <c:order val="7"/>
          <c:tx>
            <c:strRef>
              <c:f>CallGkTable!$I$6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CallGkTable!$A$7:$A$23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CallGkTable!$I$7:$I$23</c:f>
              <c:numCache>
                <c:formatCode>0.0000</c:formatCode>
                <c:ptCount val="17"/>
                <c:pt idx="0">
                  <c:v>3.2499291224938613E-3</c:v>
                </c:pt>
                <c:pt idx="1">
                  <c:v>1.1483425231958777E-2</c:v>
                </c:pt>
                <c:pt idx="2">
                  <c:v>3.1463320553836806E-2</c:v>
                </c:pt>
                <c:pt idx="3">
                  <c:v>7.0237080583764377E-2</c:v>
                </c:pt>
                <c:pt idx="4">
                  <c:v>0.13280133237005642</c:v>
                </c:pt>
                <c:pt idx="5">
                  <c:v>0.21936358982447046</c:v>
                </c:pt>
                <c:pt idx="6">
                  <c:v>0.32461969070784658</c:v>
                </c:pt>
                <c:pt idx="7">
                  <c:v>0.4393670542417723</c:v>
                </c:pt>
                <c:pt idx="8">
                  <c:v>0.55336358492889404</c:v>
                </c:pt>
                <c:pt idx="9">
                  <c:v>0.65796272969308234</c:v>
                </c:pt>
                <c:pt idx="10">
                  <c:v>0.74760249342748353</c:v>
                </c:pt>
                <c:pt idx="11">
                  <c:v>0.82002413987768763</c:v>
                </c:pt>
                <c:pt idx="12">
                  <c:v>0.87562125149536263</c:v>
                </c:pt>
                <c:pt idx="13">
                  <c:v>0.91644879859772543</c:v>
                </c:pt>
                <c:pt idx="14">
                  <c:v>0.9452921469955603</c:v>
                </c:pt>
                <c:pt idx="15">
                  <c:v>0.9649914282191755</c:v>
                </c:pt>
                <c:pt idx="16">
                  <c:v>0.97805296953813903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42C-9241-ADCE-A370DB80B1A8}"/>
            </c:ext>
          </c:extLst>
        </c:ser>
        <c:ser>
          <c:idx val="8"/>
          <c:order val="8"/>
          <c:tx>
            <c:strRef>
              <c:f>CallGkTable!$J$6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CallGkTable!$A$7:$A$23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CallGkTable!$J$7:$J$23</c:f>
              <c:numCache>
                <c:formatCode>0.0000</c:formatCode>
                <c:ptCount val="17"/>
                <c:pt idx="0">
                  <c:v>5.3863786913071277E-3</c:v>
                </c:pt>
                <c:pt idx="1">
                  <c:v>1.6663450654240821E-2</c:v>
                </c:pt>
                <c:pt idx="2">
                  <c:v>4.1145992558525323E-2</c:v>
                </c:pt>
                <c:pt idx="3">
                  <c:v>8.4734011793984806E-2</c:v>
                </c:pt>
                <c:pt idx="4">
                  <c:v>0.1506224847545854</c:v>
                </c:pt>
                <c:pt idx="5">
                  <c:v>0.23753708342668733</c:v>
                </c:pt>
                <c:pt idx="6">
                  <c:v>0.3398047061837523</c:v>
                </c:pt>
                <c:pt idx="7">
                  <c:v>0.4490598842795181</c:v>
                </c:pt>
                <c:pt idx="8">
                  <c:v>0.55657946195545982</c:v>
                </c:pt>
                <c:pt idx="9">
                  <c:v>0.65521889020886748</c:v>
                </c:pt>
                <c:pt idx="10">
                  <c:v>0.74041691025313783</c:v>
                </c:pt>
                <c:pt idx="11">
                  <c:v>0.81027566906216286</c:v>
                </c:pt>
                <c:pt idx="12">
                  <c:v>0.86503450040480123</c:v>
                </c:pt>
                <c:pt idx="13">
                  <c:v>0.90631047116941144</c:v>
                </c:pt>
                <c:pt idx="14">
                  <c:v>0.93638087415065951</c:v>
                </c:pt>
                <c:pt idx="15">
                  <c:v>0.95764540824748623</c:v>
                </c:pt>
                <c:pt idx="16">
                  <c:v>0.97229624527713165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42C-9241-ADCE-A370DB80B1A8}"/>
            </c:ext>
          </c:extLst>
        </c:ser>
        <c:ser>
          <c:idx val="9"/>
          <c:order val="9"/>
          <c:tx>
            <c:strRef>
              <c:f>CallGkTable!$K$6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CallGkTable!$A$7:$A$23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CallGkTable!$K$7:$K$23</c:f>
              <c:numCache>
                <c:formatCode>0.0000</c:formatCode>
                <c:ptCount val="17"/>
                <c:pt idx="0">
                  <c:v>8.1055453543928818E-3</c:v>
                </c:pt>
                <c:pt idx="1">
                  <c:v>2.2539605701555526E-2</c:v>
                </c:pt>
                <c:pt idx="2">
                  <c:v>5.1195105289887979E-2</c:v>
                </c:pt>
                <c:pt idx="3">
                  <c:v>9.88015767617475E-2</c:v>
                </c:pt>
                <c:pt idx="4">
                  <c:v>0.16709271590694216</c:v>
                </c:pt>
                <c:pt idx="5">
                  <c:v>0.2537950995737065</c:v>
                </c:pt>
                <c:pt idx="6">
                  <c:v>0.35316016226972924</c:v>
                </c:pt>
                <c:pt idx="7">
                  <c:v>0.45760612784927152</c:v>
                </c:pt>
                <c:pt idx="8">
                  <c:v>0.5596176923702425</c:v>
                </c:pt>
                <c:pt idx="9">
                  <c:v>0.65319132580079731</c:v>
                </c:pt>
                <c:pt idx="10">
                  <c:v>0.73452316868917078</c:v>
                </c:pt>
                <c:pt idx="11">
                  <c:v>0.80200640740621953</c:v>
                </c:pt>
                <c:pt idx="12">
                  <c:v>0.85579311074329822</c:v>
                </c:pt>
                <c:pt idx="13">
                  <c:v>0.89719292559733332</c:v>
                </c:pt>
                <c:pt idx="14">
                  <c:v>0.92810491023994279</c:v>
                </c:pt>
                <c:pt idx="15">
                  <c:v>0.95058198959185258</c:v>
                </c:pt>
                <c:pt idx="16">
                  <c:v>0.96655118639654458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42C-9241-ADCE-A370DB80B1A8}"/>
            </c:ext>
          </c:extLst>
        </c:ser>
        <c:ser>
          <c:idx val="10"/>
          <c:order val="10"/>
          <c:tx>
            <c:strRef>
              <c:f>CallGkTable!$L$6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CallGkTable!$A$7:$A$23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CallGkTable!$L$7:$L$23</c:f>
              <c:numCache>
                <c:formatCode>0.0000</c:formatCode>
                <c:ptCount val="17"/>
                <c:pt idx="0">
                  <c:v>5.5478177979400571E-2</c:v>
                </c:pt>
                <c:pt idx="1">
                  <c:v>9.4943144684704661E-2</c:v>
                </c:pt>
                <c:pt idx="2">
                  <c:v>0.14711107776501314</c:v>
                </c:pt>
                <c:pt idx="3">
                  <c:v>0.21041627797587964</c:v>
                </c:pt>
                <c:pt idx="4">
                  <c:v>0.2820374343620774</c:v>
                </c:pt>
                <c:pt idx="5">
                  <c:v>0.35850447187481504</c:v>
                </c:pt>
                <c:pt idx="6">
                  <c:v>0.43629337610345331</c:v>
                </c:pt>
                <c:pt idx="7">
                  <c:v>0.51227864232904818</c:v>
                </c:pt>
                <c:pt idx="8">
                  <c:v>0.58399798571368178</c:v>
                </c:pt>
                <c:pt idx="9">
                  <c:v>0.64974470477957968</c:v>
                </c:pt>
                <c:pt idx="10">
                  <c:v>0.7085330993545631</c:v>
                </c:pt>
                <c:pt idx="11">
                  <c:v>0.75998835998968672</c:v>
                </c:pt>
                <c:pt idx="12">
                  <c:v>0.80420462073819765</c:v>
                </c:pt>
                <c:pt idx="13">
                  <c:v>0.84160197553171501</c:v>
                </c:pt>
                <c:pt idx="14">
                  <c:v>0.87280055331254425</c:v>
                </c:pt>
                <c:pt idx="15">
                  <c:v>0.89851971842195577</c:v>
                </c:pt>
                <c:pt idx="16">
                  <c:v>0.91950370400292614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42C-9241-ADCE-A370DB80B1A8}"/>
            </c:ext>
          </c:extLst>
        </c:ser>
        <c:ser>
          <c:idx val="11"/>
          <c:order val="11"/>
          <c:tx>
            <c:strRef>
              <c:f>CallGkTable!$M$6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CallGkTable!$A$7:$A$23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CallGkTable!$M$7:$M$23</c:f>
              <c:numCache>
                <c:formatCode>0.0000</c:formatCode>
                <c:ptCount val="17"/>
                <c:pt idx="0">
                  <c:v>0.11221757852337162</c:v>
                </c:pt>
                <c:pt idx="1">
                  <c:v>0.16261786177644788</c:v>
                </c:pt>
                <c:pt idx="2">
                  <c:v>0.22070207540533249</c:v>
                </c:pt>
                <c:pt idx="3">
                  <c:v>0.2841154119321706</c:v>
                </c:pt>
                <c:pt idx="4">
                  <c:v>0.35035866509647884</c:v>
                </c:pt>
                <c:pt idx="5">
                  <c:v>0.41708980700977716</c:v>
                </c:pt>
                <c:pt idx="6">
                  <c:v>0.48231590099564647</c:v>
                </c:pt>
                <c:pt idx="7">
                  <c:v>0.54448388447384266</c:v>
                </c:pt>
                <c:pt idx="8">
                  <c:v>0.60249391401788099</c:v>
                </c:pt>
                <c:pt idx="9">
                  <c:v>0.6556620776426314</c:v>
                </c:pt>
                <c:pt idx="10">
                  <c:v>0.70365585138940701</c:v>
                </c:pt>
                <c:pt idx="11">
                  <c:v>0.74641976679143052</c:v>
                </c:pt>
                <c:pt idx="12">
                  <c:v>0.78410275921225248</c:v>
                </c:pt>
                <c:pt idx="13">
                  <c:v>0.81699370064357868</c:v>
                </c:pt>
                <c:pt idx="14">
                  <c:v>0.84546800175065795</c:v>
                </c:pt>
                <c:pt idx="15">
                  <c:v>0.86994580030636615</c:v>
                </c:pt>
                <c:pt idx="16">
                  <c:v>0.89086087651205026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42C-9241-ADCE-A370DB80B1A8}"/>
            </c:ext>
          </c:extLst>
        </c:ser>
        <c:ser>
          <c:idx val="12"/>
          <c:order val="12"/>
          <c:tx>
            <c:strRef>
              <c:f>CallGkTable!$N$6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CallGkTable!$A$7:$A$23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CallGkTable!$N$7:$N$23</c:f>
              <c:numCache>
                <c:formatCode>0.0000</c:formatCode>
                <c:ptCount val="17"/>
                <c:pt idx="0">
                  <c:v>0.16426871972840887</c:v>
                </c:pt>
                <c:pt idx="1">
                  <c:v>0.21859198446496683</c:v>
                </c:pt>
                <c:pt idx="2">
                  <c:v>0.27702998118727484</c:v>
                </c:pt>
                <c:pt idx="3">
                  <c:v>0.33753309294546507</c:v>
                </c:pt>
                <c:pt idx="4">
                  <c:v>0.39825791110296049</c:v>
                </c:pt>
                <c:pt idx="5">
                  <c:v>0.45767322745215844</c:v>
                </c:pt>
                <c:pt idx="6">
                  <c:v>0.51459751428423428</c:v>
                </c:pt>
                <c:pt idx="7">
                  <c:v>0.56818955220522305</c:v>
                </c:pt>
                <c:pt idx="8">
                  <c:v>0.61791142218895267</c:v>
                </c:pt>
                <c:pt idx="9">
                  <c:v>0.66347851713393957</c:v>
                </c:pt>
                <c:pt idx="10">
                  <c:v>0.70480655105134737</c:v>
                </c:pt>
                <c:pt idx="11">
                  <c:v>0.74196163694002004</c:v>
                </c:pt>
                <c:pt idx="12">
                  <c:v>0.77511660853638908</c:v>
                </c:pt>
                <c:pt idx="13">
                  <c:v>0.80451480332788361</c:v>
                </c:pt>
                <c:pt idx="14">
                  <c:v>0.83044131386615572</c:v>
                </c:pt>
                <c:pt idx="15">
                  <c:v>0.85320104521339801</c:v>
                </c:pt>
                <c:pt idx="16">
                  <c:v>0.87310261037867953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42C-9241-ADCE-A370DB80B1A8}"/>
            </c:ext>
          </c:extLst>
        </c:ser>
        <c:ser>
          <c:idx val="13"/>
          <c:order val="13"/>
          <c:tx>
            <c:strRef>
              <c:f>CallGkTable!$O$6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CallGkTable!$A$7:$A$23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CallGkTable!$O$7:$O$23</c:f>
              <c:numCache>
                <c:formatCode>0.0000</c:formatCode>
                <c:ptCount val="17"/>
                <c:pt idx="0">
                  <c:v>0.20988203686100165</c:v>
                </c:pt>
                <c:pt idx="1">
                  <c:v>0.26505120645503799</c:v>
                </c:pt>
                <c:pt idx="2">
                  <c:v>0.32199074177395015</c:v>
                </c:pt>
                <c:pt idx="3">
                  <c:v>0.37909196897565967</c:v>
                </c:pt>
                <c:pt idx="4">
                  <c:v>0.4350411483736476</c:v>
                </c:pt>
                <c:pt idx="5">
                  <c:v>0.48883379634600066</c:v>
                </c:pt>
                <c:pt idx="6">
                  <c:v>0.53975516312316763</c:v>
                </c:pt>
                <c:pt idx="7">
                  <c:v>0.58734278687654107</c:v>
                </c:pt>
                <c:pt idx="8">
                  <c:v>0.63134216139179089</c:v>
                </c:pt>
                <c:pt idx="9">
                  <c:v>0.67166244266164088</c:v>
                </c:pt>
                <c:pt idx="10">
                  <c:v>0.70833606363246282</c:v>
                </c:pt>
                <c:pt idx="11">
                  <c:v>0.74148404620256403</c:v>
                </c:pt>
                <c:pt idx="12">
                  <c:v>0.77128749032735988</c:v>
                </c:pt>
                <c:pt idx="13">
                  <c:v>0.79796496558691377</c:v>
                </c:pt>
                <c:pt idx="14">
                  <c:v>0.82175514850703979</c:v>
                </c:pt>
                <c:pt idx="15">
                  <c:v>0.8429039016580514</c:v>
                </c:pt>
                <c:pt idx="16">
                  <c:v>0.86165498136593754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2C-9241-ADCE-A370DB80B1A8}"/>
            </c:ext>
          </c:extLst>
        </c:ser>
        <c:bandFmts>
          <c:bandFmt>
            <c:idx val="0"/>
            <c:spPr>
              <a:solidFill>
                <a:schemeClr val="accent1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</c:bandFmts>
        <c:axId val="1625038272"/>
        <c:axId val="1625043648"/>
        <c:axId val="1557112320"/>
      </c:surface3DChart>
      <c:catAx>
        <c:axId val="1625038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5043648"/>
        <c:crosses val="autoZero"/>
        <c:auto val="1"/>
        <c:lblAlgn val="ctr"/>
        <c:lblOffset val="100"/>
        <c:noMultiLvlLbl val="0"/>
      </c:catAx>
      <c:valAx>
        <c:axId val="162504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5038272"/>
        <c:crosses val="autoZero"/>
        <c:crossBetween val="midCat"/>
      </c:valAx>
      <c:serAx>
        <c:axId val="155711232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5043648"/>
        <c:crosses val="autoZero"/>
        <c:tickLblSkip val="1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  <a:scene3d>
      <a:camera prst="orthographicFront"/>
      <a:lightRig rig="threePt" dir="t"/>
    </a:scene3d>
    <a:sp3d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</a:t>
            </a:r>
            <a:r>
              <a:rPr lang="en-US" baseline="0"/>
              <a:t> - 30%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CallGkTable!$R$6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CallGkTable!$Q$7:$Q$23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CallGkTable!$R$7:$R$23</c:f>
              <c:numCache>
                <c:formatCode>0.0000</c:formatCode>
                <c:ptCount val="17"/>
                <c:pt idx="0">
                  <c:v>5.0034162369055407E-8</c:v>
                </c:pt>
                <c:pt idx="1">
                  <c:v>3.6821940892309305E-6</c:v>
                </c:pt>
                <c:pt idx="2">
                  <c:v>1.0707610281507444E-4</c:v>
                </c:pt>
                <c:pt idx="3">
                  <c:v>1.4675225785184831E-3</c:v>
                </c:pt>
                <c:pt idx="4">
                  <c:v>1.0890526735845741E-2</c:v>
                </c:pt>
                <c:pt idx="5">
                  <c:v>4.8949588230018437E-2</c:v>
                </c:pt>
                <c:pt idx="6">
                  <c:v>0.14625707559799994</c:v>
                </c:pt>
                <c:pt idx="7">
                  <c:v>0.31465306570218488</c:v>
                </c:pt>
                <c:pt idx="8">
                  <c:v>0.52311576495136336</c:v>
                </c:pt>
                <c:pt idx="9">
                  <c:v>0.71642998296826488</c:v>
                </c:pt>
                <c:pt idx="10">
                  <c:v>0.85602570106502918</c:v>
                </c:pt>
                <c:pt idx="11">
                  <c:v>0.9371394361344666</c:v>
                </c:pt>
                <c:pt idx="12">
                  <c:v>0.97613772992890591</c:v>
                </c:pt>
                <c:pt idx="13">
                  <c:v>0.99202624587419741</c:v>
                </c:pt>
                <c:pt idx="14">
                  <c:v>0.9976251547967403</c:v>
                </c:pt>
                <c:pt idx="15">
                  <c:v>0.99936207053892745</c:v>
                </c:pt>
                <c:pt idx="16">
                  <c:v>0.99984374547949573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0F-E848-992A-0A719DEE6FB8}"/>
            </c:ext>
          </c:extLst>
        </c:ser>
        <c:ser>
          <c:idx val="1"/>
          <c:order val="1"/>
          <c:tx>
            <c:strRef>
              <c:f>CallGkTable!$S$6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CallGkTable!$Q$7:$Q$23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CallGkTable!$S$7:$S$23</c:f>
              <c:numCache>
                <c:formatCode>0.0000</c:formatCode>
                <c:ptCount val="17"/>
                <c:pt idx="0">
                  <c:v>9.7471862538906133E-5</c:v>
                </c:pt>
                <c:pt idx="1">
                  <c:v>8.7737836912211542E-4</c:v>
                </c:pt>
                <c:pt idx="2">
                  <c:v>4.9901816736536639E-3</c:v>
                </c:pt>
                <c:pt idx="3">
                  <c:v>1.9591189701574866E-2</c:v>
                </c:pt>
                <c:pt idx="4">
                  <c:v>5.6913337986291397E-2</c:v>
                </c:pt>
                <c:pt idx="5">
                  <c:v>0.1293739652284181</c:v>
                </c:pt>
                <c:pt idx="6">
                  <c:v>0.24092762709076576</c:v>
                </c:pt>
                <c:pt idx="7">
                  <c:v>0.3819633040789554</c:v>
                </c:pt>
                <c:pt idx="8">
                  <c:v>0.53267233292182181</c:v>
                </c:pt>
                <c:pt idx="9">
                  <c:v>0.67207480164598299</c:v>
                </c:pt>
                <c:pt idx="10">
                  <c:v>0.78593314054026053</c:v>
                </c:pt>
                <c:pt idx="11">
                  <c:v>0.86943263666792814</c:v>
                </c:pt>
                <c:pt idx="12">
                  <c:v>0.92519830817009863</c:v>
                </c:pt>
                <c:pt idx="13">
                  <c:v>0.95952522958374731</c:v>
                </c:pt>
                <c:pt idx="14">
                  <c:v>0.97920186730211123</c:v>
                </c:pt>
                <c:pt idx="15">
                  <c:v>0.98979805440371849</c:v>
                </c:pt>
                <c:pt idx="16">
                  <c:v>0.99519988085741351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0F-E848-992A-0A719DEE6FB8}"/>
            </c:ext>
          </c:extLst>
        </c:ser>
        <c:ser>
          <c:idx val="2"/>
          <c:order val="2"/>
          <c:tx>
            <c:strRef>
              <c:f>CallGkTable!$T$6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CallGkTable!$Q$7:$Q$23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CallGkTable!$T$7:$T$23</c:f>
              <c:numCache>
                <c:formatCode>0.0000</c:formatCode>
                <c:ptCount val="17"/>
                <c:pt idx="0">
                  <c:v>1.3132659794663289E-3</c:v>
                </c:pt>
                <c:pt idx="1">
                  <c:v>5.847011044032159E-3</c:v>
                </c:pt>
                <c:pt idx="2">
                  <c:v>1.9214994632873059E-2</c:v>
                </c:pt>
                <c:pt idx="3">
                  <c:v>4.9434506570869327E-2</c:v>
                </c:pt>
                <c:pt idx="4">
                  <c:v>0.10426956463923276</c:v>
                </c:pt>
                <c:pt idx="5">
                  <c:v>0.18709751221137344</c:v>
                </c:pt>
                <c:pt idx="6">
                  <c:v>0.29432689998056172</c:v>
                </c:pt>
                <c:pt idx="7">
                  <c:v>0.4161528933790935</c:v>
                </c:pt>
                <c:pt idx="8">
                  <c:v>0.53999288758705544</c:v>
                </c:pt>
                <c:pt idx="9">
                  <c:v>0.65444283411208759</c:v>
                </c:pt>
                <c:pt idx="10">
                  <c:v>0.75189182389050946</c:v>
                </c:pt>
                <c:pt idx="11">
                  <c:v>0.82919270948748747</c:v>
                </c:pt>
                <c:pt idx="12">
                  <c:v>0.88685853170876361</c:v>
                </c:pt>
                <c:pt idx="13">
                  <c:v>0.92763817410360494</c:v>
                </c:pt>
                <c:pt idx="14">
                  <c:v>0.95516243259384059</c:v>
                </c:pt>
                <c:pt idx="15">
                  <c:v>0.97299735807546195</c:v>
                </c:pt>
                <c:pt idx="16">
                  <c:v>0.98414791288614301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0F-E848-992A-0A719DEE6FB8}"/>
            </c:ext>
          </c:extLst>
        </c:ser>
        <c:ser>
          <c:idx val="3"/>
          <c:order val="3"/>
          <c:tx>
            <c:strRef>
              <c:f>CallGkTable!$U$6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CallGkTable!$Q$7:$Q$23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CallGkTable!$U$7:$U$23</c:f>
              <c:numCache>
                <c:formatCode>0.0000</c:formatCode>
                <c:ptCount val="17"/>
                <c:pt idx="0">
                  <c:v>4.992660033900336E-3</c:v>
                </c:pt>
                <c:pt idx="1">
                  <c:v>1.5601464786896047E-2</c:v>
                </c:pt>
                <c:pt idx="2">
                  <c:v>3.8875096230606622E-2</c:v>
                </c:pt>
                <c:pt idx="3">
                  <c:v>8.0716619021007047E-2</c:v>
                </c:pt>
                <c:pt idx="4">
                  <c:v>0.14454509647225661</c:v>
                </c:pt>
                <c:pt idx="5">
                  <c:v>0.22946806891671254</c:v>
                </c:pt>
                <c:pt idx="6">
                  <c:v>0.33020452050949323</c:v>
                </c:pt>
                <c:pt idx="7">
                  <c:v>0.43865142750198133</c:v>
                </c:pt>
                <c:pt idx="8">
                  <c:v>0.54615398735857779</c:v>
                </c:pt>
                <c:pt idx="9">
                  <c:v>0.64546184621426217</c:v>
                </c:pt>
                <c:pt idx="10">
                  <c:v>0.7318042573881709</c:v>
                </c:pt>
                <c:pt idx="11">
                  <c:v>0.80304840536517041</c:v>
                </c:pt>
                <c:pt idx="12">
                  <c:v>0.85923063815805933</c:v>
                </c:pt>
                <c:pt idx="13">
                  <c:v>0.90182488378357173</c:v>
                </c:pt>
                <c:pt idx="14">
                  <c:v>0.93302831921275364</c:v>
                </c:pt>
                <c:pt idx="15">
                  <c:v>0.95521216048553548</c:v>
                </c:pt>
                <c:pt idx="16">
                  <c:v>0.97057515521784565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0F-E848-992A-0A719DEE6FB8}"/>
            </c:ext>
          </c:extLst>
        </c:ser>
        <c:ser>
          <c:idx val="4"/>
          <c:order val="4"/>
          <c:tx>
            <c:strRef>
              <c:f>CallGkTable!$V$6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CallGkTable!$Q$7:$Q$23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CallGkTable!$V$7:$V$23</c:f>
              <c:numCache>
                <c:formatCode>0.0000</c:formatCode>
                <c:ptCount val="17"/>
                <c:pt idx="0">
                  <c:v>1.1350817464731676E-2</c:v>
                </c:pt>
                <c:pt idx="1">
                  <c:v>2.8644857358513225E-2</c:v>
                </c:pt>
                <c:pt idx="2">
                  <c:v>6.0361557489523619E-2</c:v>
                </c:pt>
                <c:pt idx="3">
                  <c:v>0.11000339750396831</c:v>
                </c:pt>
                <c:pt idx="4">
                  <c:v>0.17819321540160804</c:v>
                </c:pt>
                <c:pt idx="5">
                  <c:v>0.26223006736843324</c:v>
                </c:pt>
                <c:pt idx="6">
                  <c:v>0.35679534006601854</c:v>
                </c:pt>
                <c:pt idx="7">
                  <c:v>0.45534721551467583</c:v>
                </c:pt>
                <c:pt idx="8">
                  <c:v>0.55157288637548119</c:v>
                </c:pt>
                <c:pt idx="9">
                  <c:v>0.64044005264399373</c:v>
                </c:pt>
                <c:pt idx="10">
                  <c:v>0.71868272096314856</c:v>
                </c:pt>
                <c:pt idx="11">
                  <c:v>0.78479210831011448</c:v>
                </c:pt>
                <c:pt idx="12">
                  <c:v>0.83869492248144772</c:v>
                </c:pt>
                <c:pt idx="13">
                  <c:v>0.8813068623898227</c:v>
                </c:pt>
                <c:pt idx="14">
                  <c:v>0.91409849026161683</c:v>
                </c:pt>
                <c:pt idx="15">
                  <c:v>0.93874735257652986</c:v>
                </c:pt>
                <c:pt idx="16">
                  <c:v>0.95689898642329607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0F-E848-992A-0A719DEE6FB8}"/>
            </c:ext>
          </c:extLst>
        </c:ser>
        <c:ser>
          <c:idx val="5"/>
          <c:order val="5"/>
          <c:tx>
            <c:strRef>
              <c:f>CallGkTable!$W$6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CallGkTable!$Q$7:$Q$23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CallGkTable!$W$7:$W$23</c:f>
              <c:numCache>
                <c:formatCode>0.0000</c:formatCode>
                <c:ptCount val="17"/>
                <c:pt idx="0">
                  <c:v>1.9879978802043376E-2</c:v>
                </c:pt>
                <c:pt idx="1">
                  <c:v>4.3468137473605249E-2</c:v>
                </c:pt>
                <c:pt idx="2">
                  <c:v>8.1828768636166921E-2</c:v>
                </c:pt>
                <c:pt idx="3">
                  <c:v>0.13654438951976758</c:v>
                </c:pt>
                <c:pt idx="4">
                  <c:v>0.20660792036453604</c:v>
                </c:pt>
                <c:pt idx="5">
                  <c:v>0.28864049524186719</c:v>
                </c:pt>
                <c:pt idx="6">
                  <c:v>0.37775204713439936</c:v>
                </c:pt>
                <c:pt idx="7">
                  <c:v>0.46862695070489663</c:v>
                </c:pt>
                <c:pt idx="8">
                  <c:v>0.55646370539182832</c:v>
                </c:pt>
                <c:pt idx="9">
                  <c:v>0.6375691792945577</c:v>
                </c:pt>
                <c:pt idx="10">
                  <c:v>0.70958032306564656</c:v>
                </c:pt>
                <c:pt idx="11">
                  <c:v>0.77139506484411136</c:v>
                </c:pt>
                <c:pt idx="12">
                  <c:v>0.82293195018806276</c:v>
                </c:pt>
                <c:pt idx="13">
                  <c:v>0.86482705141973804</c:v>
                </c:pt>
                <c:pt idx="14">
                  <c:v>0.89814375452956496</c:v>
                </c:pt>
                <c:pt idx="15">
                  <c:v>0.92413592245152854</c:v>
                </c:pt>
                <c:pt idx="16">
                  <c:v>0.94407756560009015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0F-E848-992A-0A719DEE6FB8}"/>
            </c:ext>
          </c:extLst>
        </c:ser>
        <c:ser>
          <c:idx val="6"/>
          <c:order val="6"/>
          <c:tx>
            <c:strRef>
              <c:f>CallGkTable!$X$6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CallGkTable!$Q$7:$Q$23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CallGkTable!$X$7:$X$23</c:f>
              <c:numCache>
                <c:formatCode>0.0000</c:formatCode>
                <c:ptCount val="17"/>
                <c:pt idx="0">
                  <c:v>2.9932244764737284E-2</c:v>
                </c:pt>
                <c:pt idx="1">
                  <c:v>5.9038935425869576E-2</c:v>
                </c:pt>
                <c:pt idx="2">
                  <c:v>0.10246339188434647</c:v>
                </c:pt>
                <c:pt idx="3">
                  <c:v>0.16041221101185985</c:v>
                </c:pt>
                <c:pt idx="4">
                  <c:v>0.23097566222627239</c:v>
                </c:pt>
                <c:pt idx="5">
                  <c:v>0.31061663415168483</c:v>
                </c:pt>
                <c:pt idx="6">
                  <c:v>0.39497379522555537</c:v>
                </c:pt>
                <c:pt idx="7">
                  <c:v>0.47967483058661126</c:v>
                </c:pt>
                <c:pt idx="8">
                  <c:v>0.56095371673383299</c:v>
                </c:pt>
                <c:pt idx="9">
                  <c:v>0.63599441741087059</c:v>
                </c:pt>
                <c:pt idx="10">
                  <c:v>0.70302215257089251</c:v>
                </c:pt>
                <c:pt idx="11">
                  <c:v>0.76121383901599127</c:v>
                </c:pt>
                <c:pt idx="12">
                  <c:v>0.81050916202186163</c:v>
                </c:pt>
                <c:pt idx="13">
                  <c:v>0.85138984659601924</c:v>
                </c:pt>
                <c:pt idx="14">
                  <c:v>0.8846722298971994</c:v>
                </c:pt>
                <c:pt idx="15">
                  <c:v>0.91133681457196536</c:v>
                </c:pt>
                <c:pt idx="16">
                  <c:v>0.93240240791875728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C0F-E848-992A-0A719DEE6FB8}"/>
            </c:ext>
          </c:extLst>
        </c:ser>
        <c:ser>
          <c:idx val="7"/>
          <c:order val="7"/>
          <c:tx>
            <c:strRef>
              <c:f>CallGkTable!$Y$6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CallGkTable!$Q$7:$Q$23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CallGkTable!$Y$7:$Y$23</c:f>
              <c:numCache>
                <c:formatCode>0.0000</c:formatCode>
                <c:ptCount val="17"/>
                <c:pt idx="0">
                  <c:v>4.0950902335764483E-2</c:v>
                </c:pt>
                <c:pt idx="1">
                  <c:v>7.4728116021825122E-2</c:v>
                </c:pt>
                <c:pt idx="2">
                  <c:v>0.12195471445596062</c:v>
                </c:pt>
                <c:pt idx="3">
                  <c:v>0.18189962970104834</c:v>
                </c:pt>
                <c:pt idx="4">
                  <c:v>0.25218534923298636</c:v>
                </c:pt>
                <c:pt idx="5">
                  <c:v>0.32935533629557545</c:v>
                </c:pt>
                <c:pt idx="6">
                  <c:v>0.4095599317357414</c:v>
                </c:pt>
                <c:pt idx="7">
                  <c:v>0.48915788300334873</c:v>
                </c:pt>
                <c:pt idx="8">
                  <c:v>0.56512589389530654</c:v>
                </c:pt>
                <c:pt idx="9">
                  <c:v>0.63525669084775638</c:v>
                </c:pt>
                <c:pt idx="10">
                  <c:v>0.69818182521677907</c:v>
                </c:pt>
                <c:pt idx="11">
                  <c:v>0.75327765691030435</c:v>
                </c:pt>
                <c:pt idx="12">
                  <c:v>0.80051177059449707</c:v>
                </c:pt>
                <c:pt idx="13">
                  <c:v>0.84027414396084255</c:v>
                </c:pt>
                <c:pt idx="14">
                  <c:v>0.87322148228571717</c:v>
                </c:pt>
                <c:pt idx="15">
                  <c:v>0.90014918606468963</c:v>
                </c:pt>
                <c:pt idx="16">
                  <c:v>0.92189531953464121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C0F-E848-992A-0A719DEE6FB8}"/>
            </c:ext>
          </c:extLst>
        </c:ser>
        <c:ser>
          <c:idx val="8"/>
          <c:order val="8"/>
          <c:tx>
            <c:strRef>
              <c:f>CallGkTable!$Z$6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CallGkTable!$Q$7:$Q$23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CallGkTable!$Z$7:$Z$23</c:f>
              <c:numCache>
                <c:formatCode>0.0000</c:formatCode>
                <c:ptCount val="17"/>
                <c:pt idx="0">
                  <c:v>5.2516002614189643E-2</c:v>
                </c:pt>
                <c:pt idx="1">
                  <c:v>9.0172813400075422E-2</c:v>
                </c:pt>
                <c:pt idx="2">
                  <c:v>0.1402263966706617</c:v>
                </c:pt>
                <c:pt idx="3">
                  <c:v>0.20132818570829822</c:v>
                </c:pt>
                <c:pt idx="4">
                  <c:v>0.27089074616784536</c:v>
                </c:pt>
                <c:pt idx="5">
                  <c:v>0.34564389568681986</c:v>
                </c:pt>
                <c:pt idx="6">
                  <c:v>0.42219791583544131</c:v>
                </c:pt>
                <c:pt idx="7">
                  <c:v>0.49748628363861275</c:v>
                </c:pt>
                <c:pt idx="8">
                  <c:v>0.56903790416143729</c:v>
                </c:pt>
                <c:pt idx="9">
                  <c:v>0.63508678730440149</c:v>
                </c:pt>
                <c:pt idx="10">
                  <c:v>0.69455768345693381</c:v>
                </c:pt>
                <c:pt idx="11">
                  <c:v>0.74697433142683933</c:v>
                </c:pt>
                <c:pt idx="12">
                  <c:v>0.79233157169098423</c:v>
                </c:pt>
                <c:pt idx="13">
                  <c:v>0.83096150825161674</c:v>
                </c:pt>
                <c:pt idx="14">
                  <c:v>0.86341232176687477</c:v>
                </c:pt>
                <c:pt idx="15">
                  <c:v>0.89034882296294016</c:v>
                </c:pt>
                <c:pt idx="16">
                  <c:v>0.9124771715221327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C0F-E848-992A-0A719DEE6FB8}"/>
            </c:ext>
          </c:extLst>
        </c:ser>
        <c:ser>
          <c:idx val="9"/>
          <c:order val="9"/>
          <c:tx>
            <c:strRef>
              <c:f>CallGkTable!$AA$6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CallGkTable!$Q$7:$Q$23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CallGkTable!$AA$7:$AA$23</c:f>
              <c:numCache>
                <c:formatCode>0.0000</c:formatCode>
                <c:ptCount val="17"/>
                <c:pt idx="0">
                  <c:v>6.4328563178375001E-2</c:v>
                </c:pt>
                <c:pt idx="1">
                  <c:v>0.10517388780770238</c:v>
                </c:pt>
                <c:pt idx="2">
                  <c:v>0.15730806721544691</c:v>
                </c:pt>
                <c:pt idx="3">
                  <c:v>0.21899056011833215</c:v>
                </c:pt>
                <c:pt idx="4">
                  <c:v>0.28757654881407335</c:v>
                </c:pt>
                <c:pt idx="5">
                  <c:v>0.36002333083467097</c:v>
                </c:pt>
                <c:pt idx="6">
                  <c:v>0.43334341092094797</c:v>
                </c:pt>
                <c:pt idx="7">
                  <c:v>0.50492907988438374</c:v>
                </c:pt>
                <c:pt idx="8">
                  <c:v>0.57273175930304054</c:v>
                </c:pt>
                <c:pt idx="9">
                  <c:v>0.63531632275589001</c:v>
                </c:pt>
                <c:pt idx="10">
                  <c:v>0.69182637898167587</c:v>
                </c:pt>
                <c:pt idx="11">
                  <c:v>0.74189753633829758</c:v>
                </c:pt>
                <c:pt idx="12">
                  <c:v>0.78554896929810647</c:v>
                </c:pt>
                <c:pt idx="13">
                  <c:v>0.82307441711333762</c:v>
                </c:pt>
                <c:pt idx="14">
                  <c:v>0.85494512380940124</c:v>
                </c:pt>
                <c:pt idx="15">
                  <c:v>0.88173051157264637</c:v>
                </c:pt>
                <c:pt idx="16">
                  <c:v>0.90403781886513113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0F-E848-992A-0A719DEE6FB8}"/>
            </c:ext>
          </c:extLst>
        </c:ser>
        <c:ser>
          <c:idx val="10"/>
          <c:order val="10"/>
          <c:tx>
            <c:strRef>
              <c:f>CallGkTable!$AB$6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CallGkTable!$Q$7:$Q$23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CallGkTable!$AB$7:$AB$23</c:f>
              <c:numCache>
                <c:formatCode>0.0000</c:formatCode>
                <c:ptCount val="17"/>
                <c:pt idx="0">
                  <c:v>0.17239197114368851</c:v>
                </c:pt>
                <c:pt idx="1">
                  <c:v>0.22479684393807561</c:v>
                </c:pt>
                <c:pt idx="2">
                  <c:v>0.28047924339879649</c:v>
                </c:pt>
                <c:pt idx="3">
                  <c:v>0.33768091083242541</c:v>
                </c:pt>
                <c:pt idx="4">
                  <c:v>0.39485704248118841</c:v>
                </c:pt>
                <c:pt idx="5">
                  <c:v>0.45074144633462454</c:v>
                </c:pt>
                <c:pt idx="6">
                  <c:v>0.50436249428511837</c:v>
                </c:pt>
                <c:pt idx="7">
                  <c:v>0.55502719539571732</c:v>
                </c:pt>
                <c:pt idx="8">
                  <c:v>0.60228749680470339</c:v>
                </c:pt>
                <c:pt idx="9">
                  <c:v>0.64589902155139922</c:v>
                </c:pt>
                <c:pt idx="10">
                  <c:v>0.68577893776060739</c:v>
                </c:pt>
                <c:pt idx="11">
                  <c:v>0.72196690064701641</c:v>
                </c:pt>
                <c:pt idx="12">
                  <c:v>0.754591046066726</c:v>
                </c:pt>
                <c:pt idx="13">
                  <c:v>0.78383972120701739</c:v>
                </c:pt>
                <c:pt idx="14">
                  <c:v>0.80993885351262629</c:v>
                </c:pt>
                <c:pt idx="15">
                  <c:v>0.83313443249219921</c:v>
                </c:pt>
                <c:pt idx="16">
                  <c:v>0.85367938888663453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C0F-E848-992A-0A719DEE6FB8}"/>
            </c:ext>
          </c:extLst>
        </c:ser>
        <c:ser>
          <c:idx val="11"/>
          <c:order val="11"/>
          <c:tx>
            <c:strRef>
              <c:f>CallGkTable!$AC$6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CallGkTable!$Q$7:$Q$23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CallGkTable!$AC$7:$AC$23</c:f>
              <c:numCache>
                <c:formatCode>0.0000</c:formatCode>
                <c:ptCount val="17"/>
                <c:pt idx="0">
                  <c:v>0.25285203319023192</c:v>
                </c:pt>
                <c:pt idx="1">
                  <c:v>0.3045006830407393</c:v>
                </c:pt>
                <c:pt idx="2">
                  <c:v>0.35610910688425379</c:v>
                </c:pt>
                <c:pt idx="3">
                  <c:v>0.40667685470200449</c:v>
                </c:pt>
                <c:pt idx="4">
                  <c:v>0.45545241211238541</c:v>
                </c:pt>
                <c:pt idx="5">
                  <c:v>0.50190487130170336</c:v>
                </c:pt>
                <c:pt idx="6">
                  <c:v>0.54568875929400229</c:v>
                </c:pt>
                <c:pt idx="7">
                  <c:v>0.58660823860191547</c:v>
                </c:pt>
                <c:pt idx="8">
                  <c:v>0.62458405795544159</c:v>
                </c:pt>
                <c:pt idx="9">
                  <c:v>0.65962480217204278</c:v>
                </c:pt>
                <c:pt idx="10">
                  <c:v>0.69180288754629138</c:v>
                </c:pt>
                <c:pt idx="11">
                  <c:v>0.72123513401713546</c:v>
                </c:pt>
                <c:pt idx="12">
                  <c:v>0.74806744044833073</c:v>
                </c:pt>
                <c:pt idx="13">
                  <c:v>0.77246297183665924</c:v>
                </c:pt>
                <c:pt idx="14">
                  <c:v>0.79459325631183764</c:v>
                </c:pt>
                <c:pt idx="15">
                  <c:v>0.81463163438593589</c:v>
                </c:pt>
                <c:pt idx="16">
                  <c:v>0.83274857213885123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C0F-E848-992A-0A719DEE6FB8}"/>
            </c:ext>
          </c:extLst>
        </c:ser>
        <c:ser>
          <c:idx val="12"/>
          <c:order val="12"/>
          <c:tx>
            <c:strRef>
              <c:f>CallGkTable!$AD$6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CallGkTable!$Q$7:$Q$23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CallGkTable!$AD$7:$AD$23</c:f>
              <c:numCache>
                <c:formatCode>0.0000</c:formatCode>
                <c:ptCount val="17"/>
                <c:pt idx="0">
                  <c:v>0.31394125841594145</c:v>
                </c:pt>
                <c:pt idx="1">
                  <c:v>0.36267982457804149</c:v>
                </c:pt>
                <c:pt idx="2">
                  <c:v>0.40990413904026235</c:v>
                </c:pt>
                <c:pt idx="3">
                  <c:v>0.45509318992994574</c:v>
                </c:pt>
                <c:pt idx="4">
                  <c:v>0.49790985034594043</c:v>
                </c:pt>
                <c:pt idx="5">
                  <c:v>0.53816099984174448</c:v>
                </c:pt>
                <c:pt idx="6">
                  <c:v>0.57576298201651444</c:v>
                </c:pt>
                <c:pt idx="7">
                  <c:v>0.61071300082010072</c:v>
                </c:pt>
                <c:pt idx="8">
                  <c:v>0.64306616326250143</c:v>
                </c:pt>
                <c:pt idx="9">
                  <c:v>0.67291748622828185</c:v>
                </c:pt>
                <c:pt idx="10">
                  <c:v>0.70038806898924744</c:v>
                </c:pt>
                <c:pt idx="11">
                  <c:v>0.72561465541937875</c:v>
                </c:pt>
                <c:pt idx="12">
                  <c:v>0.74874189438577665</c:v>
                </c:pt>
                <c:pt idx="13">
                  <c:v>0.76991671192728905</c:v>
                </c:pt>
                <c:pt idx="14">
                  <c:v>0.78928431354169604</c:v>
                </c:pt>
                <c:pt idx="15">
                  <c:v>0.80698542949219532</c:v>
                </c:pt>
                <c:pt idx="16">
                  <c:v>0.82315449700674104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C0F-E848-992A-0A719DEE6FB8}"/>
            </c:ext>
          </c:extLst>
        </c:ser>
        <c:ser>
          <c:idx val="13"/>
          <c:order val="13"/>
          <c:tx>
            <c:strRef>
              <c:f>CallGkTable!$AE$6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CallGkTable!$Q$7:$Q$23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CallGkTable!$AE$7:$AE$23</c:f>
              <c:numCache>
                <c:formatCode>0.0000</c:formatCode>
                <c:ptCount val="17"/>
                <c:pt idx="0">
                  <c:v>0.3625886029317465</c:v>
                </c:pt>
                <c:pt idx="1">
                  <c:v>0.4081806753100849</c:v>
                </c:pt>
                <c:pt idx="2">
                  <c:v>0.45154699490085998</c:v>
                </c:pt>
                <c:pt idx="3">
                  <c:v>0.49245831881467117</c:v>
                </c:pt>
                <c:pt idx="4">
                  <c:v>0.53080875955769424</c:v>
                </c:pt>
                <c:pt idx="5">
                  <c:v>0.56658125708655704</c:v>
                </c:pt>
                <c:pt idx="6">
                  <c:v>0.59982092332225356</c:v>
                </c:pt>
                <c:pt idx="7">
                  <c:v>0.63061486355917407</c:v>
                </c:pt>
                <c:pt idx="8">
                  <c:v>0.65907714492767744</c:v>
                </c:pt>
                <c:pt idx="9">
                  <c:v>0.68533776358227261</c:v>
                </c:pt>
                <c:pt idx="10">
                  <c:v>0.70953466945632937</c:v>
                </c:pt>
                <c:pt idx="11">
                  <c:v>0.7318081009305093</c:v>
                </c:pt>
                <c:pt idx="12">
                  <c:v>0.75229664733269386</c:v>
                </c:pt>
                <c:pt idx="13">
                  <c:v>0.77113459229413017</c:v>
                </c:pt>
                <c:pt idx="14">
                  <c:v>0.78845019812977468</c:v>
                </c:pt>
                <c:pt idx="15">
                  <c:v>0.80436467483037943</c:v>
                </c:pt>
                <c:pt idx="16">
                  <c:v>0.81899164140300906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C0F-E848-992A-0A719DEE6FB8}"/>
            </c:ext>
          </c:extLst>
        </c:ser>
        <c:bandFmts>
          <c:bandFmt>
            <c:idx val="0"/>
            <c:spPr>
              <a:solidFill>
                <a:schemeClr val="accent1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</c:bandFmts>
        <c:axId val="1630063680"/>
        <c:axId val="1630065472"/>
        <c:axId val="1557105664"/>
      </c:surface3DChart>
      <c:catAx>
        <c:axId val="1630063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065472"/>
        <c:crosses val="autoZero"/>
        <c:auto val="1"/>
        <c:lblAlgn val="ctr"/>
        <c:lblOffset val="100"/>
        <c:noMultiLvlLbl val="0"/>
      </c:catAx>
      <c:valAx>
        <c:axId val="163006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063680"/>
        <c:crosses val="autoZero"/>
        <c:crossBetween val="midCat"/>
      </c:valAx>
      <c:serAx>
        <c:axId val="15571056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06547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</a:t>
            </a:r>
            <a:r>
              <a:rPr lang="en-US" baseline="0"/>
              <a:t> - 10%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CallGkTable!$AH$6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CallGkTable!$AG$7:$AG$23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CallGkTable!$AH$7:$AH$23</c:f>
              <c:numCache>
                <c:formatCode>0.0000</c:formatCode>
                <c:ptCount val="17"/>
                <c:pt idx="0">
                  <c:v>1.152199866581175E-58</c:v>
                </c:pt>
                <c:pt idx="1">
                  <c:v>2.8126612880569749E-42</c:v>
                </c:pt>
                <c:pt idx="2">
                  <c:v>1.4260381787834196E-29</c:v>
                </c:pt>
                <c:pt idx="3">
                  <c:v>7.1568181094979558E-20</c:v>
                </c:pt>
                <c:pt idx="4">
                  <c:v>1.2002701474206063E-12</c:v>
                </c:pt>
                <c:pt idx="5">
                  <c:v>1.7727866846205845E-7</c:v>
                </c:pt>
                <c:pt idx="6">
                  <c:v>5.1107517146906892E-4</c:v>
                </c:pt>
                <c:pt idx="7">
                  <c:v>5.7674144516076838E-2</c:v>
                </c:pt>
                <c:pt idx="8">
                  <c:v>0.51891639999929629</c:v>
                </c:pt>
                <c:pt idx="9">
                  <c:v>0.94411804837488877</c:v>
                </c:pt>
                <c:pt idx="10">
                  <c:v>0.99889850177275419</c:v>
                </c:pt>
                <c:pt idx="11">
                  <c:v>0.99999603555087258</c:v>
                </c:pt>
                <c:pt idx="12">
                  <c:v>0.99999999693089381</c:v>
                </c:pt>
                <c:pt idx="13">
                  <c:v>0.99999999999939337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62-CE46-8077-831418C5A759}"/>
            </c:ext>
          </c:extLst>
        </c:ser>
        <c:ser>
          <c:idx val="1"/>
          <c:order val="1"/>
          <c:tx>
            <c:strRef>
              <c:f>CallGkTable!$AI$6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CallGkTable!$AG$7:$AG$23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CallGkTable!$AI$7:$AI$23</c:f>
              <c:numCache>
                <c:formatCode>0.0000</c:formatCode>
                <c:ptCount val="17"/>
                <c:pt idx="0">
                  <c:v>3.4889502026674058E-30</c:v>
                </c:pt>
                <c:pt idx="1">
                  <c:v>5.5821144851585946E-22</c:v>
                </c:pt>
                <c:pt idx="2">
                  <c:v>1.3034623767509508E-15</c:v>
                </c:pt>
                <c:pt idx="3">
                  <c:v>9.7210253802256359E-11</c:v>
                </c:pt>
                <c:pt idx="4">
                  <c:v>4.2709800292238633E-7</c:v>
                </c:pt>
                <c:pt idx="5">
                  <c:v>1.8057900763335621E-4</c:v>
                </c:pt>
                <c:pt idx="6">
                  <c:v>1.1044013907594808E-2</c:v>
                </c:pt>
                <c:pt idx="7">
                  <c:v>0.14009983864577802</c:v>
                </c:pt>
                <c:pt idx="8">
                  <c:v>0.5267418038869226</c:v>
                </c:pt>
                <c:pt idx="9">
                  <c:v>0.87658089249568349</c:v>
                </c:pt>
                <c:pt idx="10">
                  <c:v>0.98603550784275051</c:v>
                </c:pt>
                <c:pt idx="11">
                  <c:v>0.99929416451516662</c:v>
                </c:pt>
                <c:pt idx="12">
                  <c:v>0.9999829287565416</c:v>
                </c:pt>
                <c:pt idx="13">
                  <c:v>0.99999978673956835</c:v>
                </c:pt>
                <c:pt idx="14">
                  <c:v>0.99999999851931465</c:v>
                </c:pt>
                <c:pt idx="15">
                  <c:v>0.99999999999389166</c:v>
                </c:pt>
                <c:pt idx="16">
                  <c:v>0.99999999999998412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62-CE46-8077-831418C5A759}"/>
            </c:ext>
          </c:extLst>
        </c:ser>
        <c:ser>
          <c:idx val="2"/>
          <c:order val="2"/>
          <c:tx>
            <c:strRef>
              <c:f>CallGkTable!$AJ$6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CallGkTable!$AG$7:$AG$23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CallGkTable!$AJ$7:$AJ$23</c:f>
              <c:numCache>
                <c:formatCode>0.0000</c:formatCode>
                <c:ptCount val="17"/>
                <c:pt idx="0">
                  <c:v>1.1850476086013734E-20</c:v>
                </c:pt>
                <c:pt idx="1">
                  <c:v>3.5461176703588084E-15</c:v>
                </c:pt>
                <c:pt idx="2">
                  <c:v>6.3883719199083708E-11</c:v>
                </c:pt>
                <c:pt idx="3">
                  <c:v>1.1693829518833768E-7</c:v>
                </c:pt>
                <c:pt idx="4">
                  <c:v>3.2777591453569817E-5</c:v>
                </c:pt>
                <c:pt idx="5">
                  <c:v>1.9569580318317646E-3</c:v>
                </c:pt>
                <c:pt idx="6">
                  <c:v>3.2777626460408021E-2</c:v>
                </c:pt>
                <c:pt idx="7">
                  <c:v>0.19646253524083446</c:v>
                </c:pt>
                <c:pt idx="8">
                  <c:v>0.53273961671267711</c:v>
                </c:pt>
                <c:pt idx="9">
                  <c:v>0.83470864554501079</c:v>
                </c:pt>
                <c:pt idx="10">
                  <c:v>0.96579345861513155</c:v>
                </c:pt>
                <c:pt idx="11">
                  <c:v>0.99577886954542294</c:v>
                </c:pt>
                <c:pt idx="12">
                  <c:v>0.99967623132709937</c:v>
                </c:pt>
                <c:pt idx="13">
                  <c:v>0.99998381961018046</c:v>
                </c:pt>
                <c:pt idx="14">
                  <c:v>0.99999944833507226</c:v>
                </c:pt>
                <c:pt idx="15">
                  <c:v>0.9999999866108833</c:v>
                </c:pt>
                <c:pt idx="16">
                  <c:v>0.99999999975964071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62-CE46-8077-831418C5A759}"/>
            </c:ext>
          </c:extLst>
        </c:ser>
        <c:ser>
          <c:idx val="3"/>
          <c:order val="3"/>
          <c:tx>
            <c:strRef>
              <c:f>CallGkTable!$AK$6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CallGkTable!$AG$7:$AG$23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CallGkTable!$AK$7:$AK$23</c:f>
              <c:numCache>
                <c:formatCode>0.0000</c:formatCode>
                <c:ptCount val="17"/>
                <c:pt idx="0">
                  <c:v>7.1994037560856956E-16</c:v>
                </c:pt>
                <c:pt idx="1">
                  <c:v>9.3129642843240566E-12</c:v>
                </c:pt>
                <c:pt idx="2">
                  <c:v>1.4726488482514407E-8</c:v>
                </c:pt>
                <c:pt idx="3">
                  <c:v>4.2184867637814504E-6</c:v>
                </c:pt>
                <c:pt idx="4">
                  <c:v>2.9809587513643615E-4</c:v>
                </c:pt>
                <c:pt idx="5">
                  <c:v>6.6658842436191712E-3</c:v>
                </c:pt>
                <c:pt idx="6">
                  <c:v>5.8088107987320343E-2</c:v>
                </c:pt>
                <c:pt idx="7">
                  <c:v>0.23694940812133697</c:v>
                </c:pt>
                <c:pt idx="8">
                  <c:v>0.53779029390666466</c:v>
                </c:pt>
                <c:pt idx="9">
                  <c:v>0.80683951354982253</c:v>
                </c:pt>
                <c:pt idx="10">
                  <c:v>0.94540611613468872</c:v>
                </c:pt>
                <c:pt idx="11">
                  <c:v>0.98940827229066197</c:v>
                </c:pt>
                <c:pt idx="12">
                  <c:v>0.99854754541412227</c:v>
                </c:pt>
                <c:pt idx="13">
                  <c:v>0.99985444081884667</c:v>
                </c:pt>
                <c:pt idx="14">
                  <c:v>0.99998898282504689</c:v>
                </c:pt>
                <c:pt idx="15">
                  <c:v>0.99999935060366185</c:v>
                </c:pt>
                <c:pt idx="16">
                  <c:v>0.99999996934905533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D62-CE46-8077-831418C5A759}"/>
            </c:ext>
          </c:extLst>
        </c:ser>
        <c:ser>
          <c:idx val="4"/>
          <c:order val="4"/>
          <c:tx>
            <c:strRef>
              <c:f>CallGkTable!$AL$6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CallGkTable!$AG$7:$AG$23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CallGkTable!$AL$7:$AL$23</c:f>
              <c:numCache>
                <c:formatCode>0.0000</c:formatCode>
                <c:ptCount val="17"/>
                <c:pt idx="0">
                  <c:v>5.4712789718468615E-13</c:v>
                </c:pt>
                <c:pt idx="1">
                  <c:v>1.0745001039870842E-9</c:v>
                </c:pt>
                <c:pt idx="2">
                  <c:v>3.9447858056893467E-7</c:v>
                </c:pt>
                <c:pt idx="3">
                  <c:v>3.7104262232348042E-5</c:v>
                </c:pt>
                <c:pt idx="4">
                  <c:v>1.1455014907192074E-3</c:v>
                </c:pt>
                <c:pt idx="5">
                  <c:v>1.4178971876106417E-2</c:v>
                </c:pt>
                <c:pt idx="6">
                  <c:v>8.3185859132694412E-2</c:v>
                </c:pt>
                <c:pt idx="7">
                  <c:v>0.26784925915213059</c:v>
                </c:pt>
                <c:pt idx="8">
                  <c:v>0.54223501331161406</c:v>
                </c:pt>
                <c:pt idx="9">
                  <c:v>0.78700233026770061</c:v>
                </c:pt>
                <c:pt idx="10">
                  <c:v>0.9270206788480384</c:v>
                </c:pt>
                <c:pt idx="11">
                  <c:v>0.98135607564044858</c:v>
                </c:pt>
                <c:pt idx="12">
                  <c:v>0.99636788743791604</c:v>
                </c:pt>
                <c:pt idx="13">
                  <c:v>0.99944644902317548</c:v>
                </c:pt>
                <c:pt idx="14">
                  <c:v>0.99993230917992704</c:v>
                </c:pt>
                <c:pt idx="15">
                  <c:v>0.99999319889057736</c:v>
                </c:pt>
                <c:pt idx="16">
                  <c:v>0.99999942627332528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62-CE46-8077-831418C5A759}"/>
            </c:ext>
          </c:extLst>
        </c:ser>
        <c:ser>
          <c:idx val="5"/>
          <c:order val="5"/>
          <c:tx>
            <c:strRef>
              <c:f>CallGkTable!$AM$6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CallGkTable!$AG$7:$AG$23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CallGkTable!$AM$7:$AM$23</c:f>
              <c:numCache>
                <c:formatCode>0.0000</c:formatCode>
                <c:ptCount val="17"/>
                <c:pt idx="0">
                  <c:v>4.6306900470662182E-11</c:v>
                </c:pt>
                <c:pt idx="1">
                  <c:v>2.5874472084445203E-8</c:v>
                </c:pt>
                <c:pt idx="2">
                  <c:v>3.5869233961988741E-6</c:v>
                </c:pt>
                <c:pt idx="3">
                  <c:v>1.6047856986437615E-4</c:v>
                </c:pt>
                <c:pt idx="4">
                  <c:v>2.8497945838167173E-3</c:v>
                </c:pt>
                <c:pt idx="5">
                  <c:v>2.3744049559651273E-2</c:v>
                </c:pt>
                <c:pt idx="6">
                  <c:v>0.10674814223186854</c:v>
                </c:pt>
                <c:pt idx="7">
                  <c:v>0.29253156538610559</c:v>
                </c:pt>
                <c:pt idx="8">
                  <c:v>0.54624882106468031</c:v>
                </c:pt>
                <c:pt idx="9">
                  <c:v>0.77218677368637112</c:v>
                </c:pt>
                <c:pt idx="10">
                  <c:v>0.910951676948353</c:v>
                </c:pt>
                <c:pt idx="11">
                  <c:v>0.97260314455363983</c:v>
                </c:pt>
                <c:pt idx="12">
                  <c:v>0.99324341588079323</c:v>
                </c:pt>
                <c:pt idx="13">
                  <c:v>0.99863656915944365</c:v>
                </c:pt>
                <c:pt idx="14">
                  <c:v>0.99977023212247085</c:v>
                </c:pt>
                <c:pt idx="15">
                  <c:v>0.99996703614043125</c:v>
                </c:pt>
                <c:pt idx="16">
                  <c:v>0.99999590254116577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D62-CE46-8077-831418C5A759}"/>
            </c:ext>
          </c:extLst>
        </c:ser>
        <c:ser>
          <c:idx val="6"/>
          <c:order val="6"/>
          <c:tx>
            <c:strRef>
              <c:f>CallGkTable!$AN$6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CallGkTable!$AG$7:$AG$23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CallGkTable!$AN$7:$AN$23</c:f>
              <c:numCache>
                <c:formatCode>0.0000</c:formatCode>
                <c:ptCount val="17"/>
                <c:pt idx="0">
                  <c:v>1.1154484392717851E-9</c:v>
                </c:pt>
                <c:pt idx="1">
                  <c:v>2.5390046836316603E-7</c:v>
                </c:pt>
                <c:pt idx="2">
                  <c:v>1.7549254029347776E-5</c:v>
                </c:pt>
                <c:pt idx="3">
                  <c:v>4.6157184850289515E-4</c:v>
                </c:pt>
                <c:pt idx="4">
                  <c:v>5.5176887334378597E-3</c:v>
                </c:pt>
                <c:pt idx="5">
                  <c:v>3.4610567414057034E-2</c:v>
                </c:pt>
                <c:pt idx="6">
                  <c:v>0.12843922086837081</c:v>
                </c:pt>
                <c:pt idx="7">
                  <c:v>0.31292611764332445</c:v>
                </c:pt>
                <c:pt idx="8">
                  <c:v>0.54993574324296035</c:v>
                </c:pt>
                <c:pt idx="9">
                  <c:v>0.76073008250523411</c:v>
                </c:pt>
                <c:pt idx="10">
                  <c:v>0.8970058106562373</c:v>
                </c:pt>
                <c:pt idx="11">
                  <c:v>0.96375065198429899</c:v>
                </c:pt>
                <c:pt idx="12">
                  <c:v>0.98940714410148023</c:v>
                </c:pt>
                <c:pt idx="13">
                  <c:v>0.9973854793151351</c:v>
                </c:pt>
                <c:pt idx="14">
                  <c:v>0.99944558802202021</c:v>
                </c:pt>
                <c:pt idx="15">
                  <c:v>0.99989736258573836</c:v>
                </c:pt>
                <c:pt idx="16">
                  <c:v>0.99998316518966346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D62-CE46-8077-831418C5A759}"/>
            </c:ext>
          </c:extLst>
        </c:ser>
        <c:ser>
          <c:idx val="7"/>
          <c:order val="7"/>
          <c:tx>
            <c:strRef>
              <c:f>CallGkTable!$AO$6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CallGkTable!$AG$7:$AG$23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CallGkTable!$AO$7:$AO$23</c:f>
              <c:numCache>
                <c:formatCode>0.0000</c:formatCode>
                <c:ptCount val="17"/>
                <c:pt idx="0">
                  <c:v>1.2232280237899387E-8</c:v>
                </c:pt>
                <c:pt idx="1">
                  <c:v>1.4195096494921114E-6</c:v>
                </c:pt>
                <c:pt idx="2">
                  <c:v>5.820088365787128E-5</c:v>
                </c:pt>
                <c:pt idx="3">
                  <c:v>1.0273171406440292E-3</c:v>
                </c:pt>
                <c:pt idx="4">
                  <c:v>9.1213054737095019E-3</c:v>
                </c:pt>
                <c:pt idx="5">
                  <c:v>4.6201796215212594E-2</c:v>
                </c:pt>
                <c:pt idx="6">
                  <c:v>0.14828843430084723</c:v>
                </c:pt>
                <c:pt idx="7">
                  <c:v>0.33021760012856716</c:v>
                </c:pt>
                <c:pt idx="8">
                  <c:v>0.55336358492889404</c:v>
                </c:pt>
                <c:pt idx="9">
                  <c:v>0.75163843630541693</c:v>
                </c:pt>
                <c:pt idx="10">
                  <c:v>0.88488455046683934</c:v>
                </c:pt>
                <c:pt idx="11">
                  <c:v>0.95512804158206499</c:v>
                </c:pt>
                <c:pt idx="12">
                  <c:v>0.98509406838389901</c:v>
                </c:pt>
                <c:pt idx="13">
                  <c:v>0.99571799089194879</c:v>
                </c:pt>
                <c:pt idx="14">
                  <c:v>0.99892066116278744</c:v>
                </c:pt>
                <c:pt idx="15">
                  <c:v>0.99975797900363672</c:v>
                </c:pt>
                <c:pt idx="16">
                  <c:v>0.99995111048223762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D62-CE46-8077-831418C5A759}"/>
            </c:ext>
          </c:extLst>
        </c:ser>
        <c:ser>
          <c:idx val="8"/>
          <c:order val="8"/>
          <c:tx>
            <c:strRef>
              <c:f>CallGkTable!$AP$6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CallGkTable!$AG$7:$AG$23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CallGkTable!$AP$7:$AP$23</c:f>
              <c:numCache>
                <c:formatCode>0.0000</c:formatCode>
                <c:ptCount val="17"/>
                <c:pt idx="0">
                  <c:v>7.9305503738124766E-8</c:v>
                </c:pt>
                <c:pt idx="1">
                  <c:v>5.4488726576165721E-6</c:v>
                </c:pt>
                <c:pt idx="2">
                  <c:v>1.4879923588186921E-4</c:v>
                </c:pt>
                <c:pt idx="3">
                  <c:v>1.9253955209529885E-3</c:v>
                </c:pt>
                <c:pt idx="4">
                  <c:v>1.3558236229164227E-2</c:v>
                </c:pt>
                <c:pt idx="5">
                  <c:v>5.8114853573404297E-2</c:v>
                </c:pt>
                <c:pt idx="6">
                  <c:v>0.1664485667707323</c:v>
                </c:pt>
                <c:pt idx="7">
                  <c:v>0.34517641190667869</c:v>
                </c:pt>
                <c:pt idx="8">
                  <c:v>0.55657946195545982</c:v>
                </c:pt>
                <c:pt idx="9">
                  <c:v>0.74427963343394432</c:v>
                </c:pt>
                <c:pt idx="10">
                  <c:v>0.87430092401455395</c:v>
                </c:pt>
                <c:pt idx="11">
                  <c:v>0.94690122807155452</c:v>
                </c:pt>
                <c:pt idx="12">
                  <c:v>0.98049779905589118</c:v>
                </c:pt>
                <c:pt idx="13">
                  <c:v>0.99369223383243865</c:v>
                </c:pt>
                <c:pt idx="14">
                  <c:v>0.99818047109526631</c:v>
                </c:pt>
                <c:pt idx="15">
                  <c:v>0.99952627336039468</c:v>
                </c:pt>
                <c:pt idx="16">
                  <c:v>0.99988744523010076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D62-CE46-8077-831418C5A759}"/>
            </c:ext>
          </c:extLst>
        </c:ser>
        <c:ser>
          <c:idx val="9"/>
          <c:order val="9"/>
          <c:tx>
            <c:strRef>
              <c:f>CallGkTable!$AQ$6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CallGkTable!$AG$7:$AG$23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CallGkTable!$AQ$7:$AQ$23</c:f>
              <c:numCache>
                <c:formatCode>0.0000</c:formatCode>
                <c:ptCount val="17"/>
                <c:pt idx="0">
                  <c:v>3.5564355541459722E-7</c:v>
                </c:pt>
                <c:pt idx="1">
                  <c:v>1.6064307266339651E-5</c:v>
                </c:pt>
                <c:pt idx="2">
                  <c:v>3.1686788675612499E-4</c:v>
                </c:pt>
                <c:pt idx="3">
                  <c:v>3.1973886164727121E-3</c:v>
                </c:pt>
                <c:pt idx="4">
                  <c:v>1.8697030468110401E-2</c:v>
                </c:pt>
                <c:pt idx="5">
                  <c:v>7.0080829341433393E-2</c:v>
                </c:pt>
                <c:pt idx="6">
                  <c:v>0.18310240300676622</c:v>
                </c:pt>
                <c:pt idx="7">
                  <c:v>0.35832748828828459</c:v>
                </c:pt>
                <c:pt idx="8">
                  <c:v>0.5596176923702425</c:v>
                </c:pt>
                <c:pt idx="9">
                  <c:v>0.73823114549048119</c:v>
                </c:pt>
                <c:pt idx="10">
                  <c:v>0.86500851994546202</c:v>
                </c:pt>
                <c:pt idx="11">
                  <c:v>0.9391430239591263</c:v>
                </c:pt>
                <c:pt idx="12">
                  <c:v>0.9757644962341846</c:v>
                </c:pt>
                <c:pt idx="13">
                  <c:v>0.9913773450413681</c:v>
                </c:pt>
                <c:pt idx="14">
                  <c:v>0.99722837337629622</c:v>
                </c:pt>
                <c:pt idx="15">
                  <c:v>0.99918656546080542</c:v>
                </c:pt>
                <c:pt idx="16">
                  <c:v>0.99977989302522097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D62-CE46-8077-831418C5A759}"/>
            </c:ext>
          </c:extLst>
        </c:ser>
        <c:ser>
          <c:idx val="10"/>
          <c:order val="10"/>
          <c:tx>
            <c:strRef>
              <c:f>CallGkTable!$AR$6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CallGkTable!$AG$7:$AG$23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CallGkTable!$AR$7:$AR$23</c:f>
              <c:numCache>
                <c:formatCode>0.0000</c:formatCode>
                <c:ptCount val="17"/>
                <c:pt idx="0">
                  <c:v>3.3699015309893697E-4</c:v>
                </c:pt>
                <c:pt idx="1">
                  <c:v>2.2987314592982327E-3</c:v>
                </c:pt>
                <c:pt idx="2">
                  <c:v>1.0445719216560184E-2</c:v>
                </c:pt>
                <c:pt idx="3">
                  <c:v>3.4220862001572698E-2</c:v>
                </c:pt>
                <c:pt idx="4">
                  <c:v>8.6011681908250856E-2</c:v>
                </c:pt>
                <c:pt idx="5">
                  <c:v>0.17436633291241277</c:v>
                </c:pt>
                <c:pt idx="6">
                  <c:v>0.29705856189617313</c:v>
                </c:pt>
                <c:pt idx="7">
                  <c:v>0.44015891222205472</c:v>
                </c:pt>
                <c:pt idx="8">
                  <c:v>0.58399798571368178</c:v>
                </c:pt>
                <c:pt idx="9">
                  <c:v>0.71128089691736807</c:v>
                </c:pt>
                <c:pt idx="10">
                  <c:v>0.81221192244611107</c:v>
                </c:pt>
                <c:pt idx="11">
                  <c:v>0.88500763743571798</c:v>
                </c:pt>
                <c:pt idx="12">
                  <c:v>0.93336619424077227</c:v>
                </c:pt>
                <c:pt idx="13">
                  <c:v>0.96327265988008681</c:v>
                </c:pt>
                <c:pt idx="14">
                  <c:v>0.9806483495408157</c:v>
                </c:pt>
                <c:pt idx="15">
                  <c:v>0.99020716359662175</c:v>
                </c:pt>
                <c:pt idx="16">
                  <c:v>0.99521999012116835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D62-CE46-8077-831418C5A759}"/>
            </c:ext>
          </c:extLst>
        </c:ser>
        <c:ser>
          <c:idx val="11"/>
          <c:order val="11"/>
          <c:tx>
            <c:strRef>
              <c:f>CallGkTable!$AS$6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CallGkTable!$AG$7:$AG$23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CallGkTable!$AS$7:$AS$23</c:f>
              <c:numCache>
                <c:formatCode>0.0000</c:formatCode>
                <c:ptCount val="17"/>
                <c:pt idx="0">
                  <c:v>3.5785417129918693E-3</c:v>
                </c:pt>
                <c:pt idx="1">
                  <c:v>1.2962990657514536E-2</c:v>
                </c:pt>
                <c:pt idx="2">
                  <c:v>3.5973278929724156E-2</c:v>
                </c:pt>
                <c:pt idx="3">
                  <c:v>8.0588258967957058E-2</c:v>
                </c:pt>
                <c:pt idx="4">
                  <c:v>0.15185446032881006</c:v>
                </c:pt>
                <c:pt idx="5">
                  <c:v>0.24872867527518139</c:v>
                </c:pt>
                <c:pt idx="6">
                  <c:v>0.36373551072271876</c:v>
                </c:pt>
                <c:pt idx="7">
                  <c:v>0.48550787950516516</c:v>
                </c:pt>
                <c:pt idx="8">
                  <c:v>0.60249391401788088</c:v>
                </c:pt>
                <c:pt idx="9">
                  <c:v>0.70591773123367962</c:v>
                </c:pt>
                <c:pt idx="10">
                  <c:v>0.79105324594553816</c:v>
                </c:pt>
                <c:pt idx="11">
                  <c:v>0.85695166013778001</c:v>
                </c:pt>
                <c:pt idx="12">
                  <c:v>0.90531441414396252</c:v>
                </c:pt>
                <c:pt idx="13">
                  <c:v>0.9392042006984751</c:v>
                </c:pt>
                <c:pt idx="14">
                  <c:v>0.96201541129490264</c:v>
                </c:pt>
                <c:pt idx="15">
                  <c:v>0.97683982081086107</c:v>
                </c:pt>
                <c:pt idx="16">
                  <c:v>0.98618256040797059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D62-CE46-8077-831418C5A759}"/>
            </c:ext>
          </c:extLst>
        </c:ser>
        <c:ser>
          <c:idx val="12"/>
          <c:order val="12"/>
          <c:tx>
            <c:strRef>
              <c:f>CallGkTable!$AT$6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CallGkTable!$AG$7:$AG$23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CallGkTable!$AT$7:$AT$23</c:f>
              <c:numCache>
                <c:formatCode>0.0000</c:formatCode>
                <c:ptCount val="17"/>
                <c:pt idx="0">
                  <c:v>1.2094054588474413E-2</c:v>
                </c:pt>
                <c:pt idx="1">
                  <c:v>3.1875690795675732E-2</c:v>
                </c:pt>
                <c:pt idx="2">
                  <c:v>6.8987440114615495E-2</c:v>
                </c:pt>
                <c:pt idx="3">
                  <c:v>0.127474584567597</c:v>
                </c:pt>
                <c:pt idx="4">
                  <c:v>0.20733079045218472</c:v>
                </c:pt>
                <c:pt idx="5">
                  <c:v>0.30411744905751403</c:v>
                </c:pt>
                <c:pt idx="6">
                  <c:v>0.4102886293803284</c:v>
                </c:pt>
                <c:pt idx="7">
                  <c:v>0.51736188083892132</c:v>
                </c:pt>
                <c:pt idx="8">
                  <c:v>0.61791142218895267</c:v>
                </c:pt>
                <c:pt idx="9">
                  <c:v>0.70676234221741052</c:v>
                </c:pt>
                <c:pt idx="10">
                  <c:v>0.78128810999478626</c:v>
                </c:pt>
                <c:pt idx="11">
                  <c:v>0.84105655977843707</c:v>
                </c:pt>
                <c:pt idx="12">
                  <c:v>0.88716872324765816</c:v>
                </c:pt>
                <c:pt idx="13">
                  <c:v>0.9215709212989972</c:v>
                </c:pt>
                <c:pt idx="14">
                  <c:v>0.94649958655795841</c:v>
                </c:pt>
                <c:pt idx="15">
                  <c:v>0.9641109494110095</c:v>
                </c:pt>
                <c:pt idx="16">
                  <c:v>0.97628058460472156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D62-CE46-8077-831418C5A759}"/>
            </c:ext>
          </c:extLst>
        </c:ser>
        <c:ser>
          <c:idx val="13"/>
          <c:order val="13"/>
          <c:tx>
            <c:strRef>
              <c:f>CallGkTable!$AU$6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CallGkTable!$AG$7:$AG$23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CallGkTable!$AU$7:$AU$23</c:f>
              <c:numCache>
                <c:formatCode>0.0000</c:formatCode>
                <c:ptCount val="17"/>
                <c:pt idx="0">
                  <c:v>2.564344677496205E-2</c:v>
                </c:pt>
                <c:pt idx="1">
                  <c:v>5.5792459445646918E-2</c:v>
                </c:pt>
                <c:pt idx="2">
                  <c:v>0.10389085170754279</c:v>
                </c:pt>
                <c:pt idx="3">
                  <c:v>0.17076585813219761</c:v>
                </c:pt>
                <c:pt idx="4">
                  <c:v>0.25381961865942948</c:v>
                </c:pt>
                <c:pt idx="5">
                  <c:v>0.34775207052445578</c:v>
                </c:pt>
                <c:pt idx="6">
                  <c:v>0.44599904247550076</c:v>
                </c:pt>
                <c:pt idx="7">
                  <c:v>0.54221660354441636</c:v>
                </c:pt>
                <c:pt idx="8">
                  <c:v>0.63134216139179089</c:v>
                </c:pt>
                <c:pt idx="9">
                  <c:v>0.71007589254163683</c:v>
                </c:pt>
                <c:pt idx="10">
                  <c:v>0.77686562090211797</c:v>
                </c:pt>
                <c:pt idx="11">
                  <c:v>0.83158425080253329</c:v>
                </c:pt>
                <c:pt idx="12">
                  <c:v>0.87508800250645269</c:v>
                </c:pt>
                <c:pt idx="13">
                  <c:v>0.90878962693226017</c:v>
                </c:pt>
                <c:pt idx="14">
                  <c:v>0.93431723431540992</c:v>
                </c:pt>
                <c:pt idx="15">
                  <c:v>0.9532794554679479</c:v>
                </c:pt>
                <c:pt idx="16">
                  <c:v>0.96712760884191817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D62-CE46-8077-831418C5A759}"/>
            </c:ext>
          </c:extLst>
        </c:ser>
        <c:bandFmts>
          <c:bandFmt>
            <c:idx val="0"/>
            <c:spPr>
              <a:solidFill>
                <a:schemeClr val="accent1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</c:bandFmts>
        <c:axId val="1630547776"/>
        <c:axId val="1630549568"/>
        <c:axId val="1561045504"/>
      </c:surface3DChart>
      <c:catAx>
        <c:axId val="1630547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549568"/>
        <c:crosses val="autoZero"/>
        <c:auto val="1"/>
        <c:lblAlgn val="ctr"/>
        <c:lblOffset val="100"/>
        <c:noMultiLvlLbl val="0"/>
      </c:catAx>
      <c:valAx>
        <c:axId val="16305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547776"/>
        <c:crosses val="autoZero"/>
        <c:crossBetween val="midCat"/>
      </c:valAx>
      <c:serAx>
        <c:axId val="15610455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54956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</a:t>
            </a:r>
            <a:r>
              <a:rPr lang="en-US" baseline="0"/>
              <a:t> - 20%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CallGkTable!$B$26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CallGkTable!$A$27:$A$43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CallGkTable!$B$27:$B$43</c:f>
              <c:numCache>
                <c:formatCode>0.0000</c:formatCode>
                <c:ptCount val="17"/>
                <c:pt idx="0">
                  <c:v>1.0516556577990481E-15</c:v>
                </c:pt>
                <c:pt idx="1">
                  <c:v>1.1286957540817281E-11</c:v>
                </c:pt>
                <c:pt idx="2">
                  <c:v>1.4597010892531749E-8</c:v>
                </c:pt>
                <c:pt idx="3">
                  <c:v>3.3512354645083046E-6</c:v>
                </c:pt>
                <c:pt idx="4">
                  <c:v>1.8444991272199745E-4</c:v>
                </c:pt>
                <c:pt idx="5">
                  <c:v>3.0836372935947143E-3</c:v>
                </c:pt>
                <c:pt idx="6">
                  <c:v>1.8916378586336526E-2</c:v>
                </c:pt>
                <c:pt idx="7">
                  <c:v>4.9607400575778247E-2</c:v>
                </c:pt>
                <c:pt idx="8">
                  <c:v>6.3007389850102583E-2</c:v>
                </c:pt>
                <c:pt idx="9">
                  <c:v>4.2961708392642108E-2</c:v>
                </c:pt>
                <c:pt idx="10">
                  <c:v>1.7132125878144413E-2</c:v>
                </c:pt>
                <c:pt idx="11">
                  <c:v>4.293033327812704E-3</c:v>
                </c:pt>
                <c:pt idx="12">
                  <c:v>7.1823787351586244E-4</c:v>
                </c:pt>
                <c:pt idx="13">
                  <c:v>8.446823286585097E-5</c:v>
                </c:pt>
                <c:pt idx="14">
                  <c:v>7.2972234478141031E-6</c:v>
                </c:pt>
                <c:pt idx="15">
                  <c:v>4.8093577566927397E-7</c:v>
                </c:pt>
                <c:pt idx="16">
                  <c:v>2.4984119686305784E-8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13-E44F-AFEA-20B7DDE63D80}"/>
            </c:ext>
          </c:extLst>
        </c:ser>
        <c:ser>
          <c:idx val="1"/>
          <c:order val="1"/>
          <c:tx>
            <c:strRef>
              <c:f>CallGkTable!$C$26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CallGkTable!$A$27:$A$43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CallGkTable!$C$27:$C$43</c:f>
              <c:numCache>
                <c:formatCode>0.0000</c:formatCode>
                <c:ptCount val="17"/>
                <c:pt idx="0">
                  <c:v>8.9897290546272933E-9</c:v>
                </c:pt>
                <c:pt idx="1">
                  <c:v>8.6832323834608022E-7</c:v>
                </c:pt>
                <c:pt idx="2">
                  <c:v>2.9265998523210966E-5</c:v>
                </c:pt>
                <c:pt idx="3">
                  <c:v>4.1746111765088794E-4</c:v>
                </c:pt>
                <c:pt idx="4">
                  <c:v>2.9270332354272232E-3</c:v>
                </c:pt>
                <c:pt idx="5">
                  <c:v>1.134964427745312E-2</c:v>
                </c:pt>
                <c:pt idx="6">
                  <c:v>2.6739234389615493E-2</c:v>
                </c:pt>
                <c:pt idx="7">
                  <c:v>4.1300684164172589E-2</c:v>
                </c:pt>
                <c:pt idx="8">
                  <c:v>4.4502858739261318E-2</c:v>
                </c:pt>
                <c:pt idx="9">
                  <c:v>3.5212130286942131E-2</c:v>
                </c:pt>
                <c:pt idx="10">
                  <c:v>2.1349081451222499E-2</c:v>
                </c:pt>
                <c:pt idx="11">
                  <c:v>1.0279303406877476E-2</c:v>
                </c:pt>
                <c:pt idx="12">
                  <c:v>4.0508179535475647E-3</c:v>
                </c:pt>
                <c:pt idx="13">
                  <c:v>1.3404252747399995E-3</c:v>
                </c:pt>
                <c:pt idx="14">
                  <c:v>3.806891985019321E-4</c:v>
                </c:pt>
                <c:pt idx="15">
                  <c:v>9.4556994587265296E-5</c:v>
                </c:pt>
                <c:pt idx="16">
                  <c:v>2.0876714879530862E-5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13-E44F-AFEA-20B7DDE63D80}"/>
            </c:ext>
          </c:extLst>
        </c:ser>
        <c:ser>
          <c:idx val="2"/>
          <c:order val="2"/>
          <c:tx>
            <c:strRef>
              <c:f>CallGkTable!$D$26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CallGkTable!$A$27:$A$43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CallGkTable!$D$27:$D$43</c:f>
              <c:numCache>
                <c:formatCode>0.0000</c:formatCode>
                <c:ptCount val="17"/>
                <c:pt idx="0">
                  <c:v>1.683337757156276E-6</c:v>
                </c:pt>
                <c:pt idx="1">
                  <c:v>3.3820751258091636E-5</c:v>
                </c:pt>
                <c:pt idx="2">
                  <c:v>3.3795857220289077E-4</c:v>
                </c:pt>
                <c:pt idx="3">
                  <c:v>1.9093551185000314E-3</c:v>
                </c:pt>
                <c:pt idx="4">
                  <c:v>6.7361389316554247E-3</c:v>
                </c:pt>
                <c:pt idx="5">
                  <c:v>1.6048048164004222E-2</c:v>
                </c:pt>
                <c:pt idx="6">
                  <c:v>2.7482291431425856E-2</c:v>
                </c:pt>
                <c:pt idx="7">
                  <c:v>3.5581792279001205E-2</c:v>
                </c:pt>
                <c:pt idx="8">
                  <c:v>3.6295576501642057E-2</c:v>
                </c:pt>
                <c:pt idx="9">
                  <c:v>3.0178399358531966E-2</c:v>
                </c:pt>
                <c:pt idx="10">
                  <c:v>2.1039503593612036E-2</c:v>
                </c:pt>
                <c:pt idx="11">
                  <c:v>1.259400347775148E-2</c:v>
                </c:pt>
                <c:pt idx="12">
                  <c:v>6.6034037139998071E-3</c:v>
                </c:pt>
                <c:pt idx="13">
                  <c:v>3.0847927412867735E-3</c:v>
                </c:pt>
                <c:pt idx="14">
                  <c:v>1.3026922814580184E-3</c:v>
                </c:pt>
                <c:pt idx="15">
                  <c:v>5.0353481185787989E-4</c:v>
                </c:pt>
                <c:pt idx="16">
                  <c:v>1.800784918926651E-4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13-E44F-AFEA-20B7DDE63D80}"/>
            </c:ext>
          </c:extLst>
        </c:ser>
        <c:ser>
          <c:idx val="3"/>
          <c:order val="3"/>
          <c:tx>
            <c:strRef>
              <c:f>CallGkTable!$E$26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CallGkTable!$A$27:$A$43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CallGkTable!$E$27:$E$43</c:f>
              <c:numCache>
                <c:formatCode>0.0000</c:formatCode>
                <c:ptCount val="17"/>
                <c:pt idx="0">
                  <c:v>2.2064431982817096E-5</c:v>
                </c:pt>
                <c:pt idx="1">
                  <c:v>2.0218238688417132E-4</c:v>
                </c:pt>
                <c:pt idx="2">
                  <c:v>1.100075981489598E-3</c:v>
                </c:pt>
                <c:pt idx="3">
                  <c:v>3.9113907532951553E-3</c:v>
                </c:pt>
                <c:pt idx="4">
                  <c:v>9.7884039294375228E-3</c:v>
                </c:pt>
                <c:pt idx="5">
                  <c:v>1.8278954822369093E-2</c:v>
                </c:pt>
                <c:pt idx="6">
                  <c:v>2.6687880405210137E-2</c:v>
                </c:pt>
                <c:pt idx="7">
                  <c:v>3.1635322258043573E-2</c:v>
                </c:pt>
                <c:pt idx="8">
                  <c:v>3.1397549176385632E-2</c:v>
                </c:pt>
                <c:pt idx="9">
                  <c:v>2.6761306237360671E-2</c:v>
                </c:pt>
                <c:pt idx="10">
                  <c:v>2.0006577096239694E-2</c:v>
                </c:pt>
                <c:pt idx="11">
                  <c:v>1.3352820984703351E-2</c:v>
                </c:pt>
                <c:pt idx="12">
                  <c:v>8.0758746095868535E-3</c:v>
                </c:pt>
                <c:pt idx="13">
                  <c:v>4.4825674910614196E-3</c:v>
                </c:pt>
                <c:pt idx="14">
                  <c:v>2.3082701661092642E-3</c:v>
                </c:pt>
                <c:pt idx="15">
                  <c:v>1.1130292486590081E-3</c:v>
                </c:pt>
                <c:pt idx="16">
                  <c:v>5.0660659975445036E-4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13-E44F-AFEA-20B7DDE63D80}"/>
            </c:ext>
          </c:extLst>
        </c:ser>
        <c:ser>
          <c:idx val="4"/>
          <c:order val="4"/>
          <c:tx>
            <c:strRef>
              <c:f>CallGkTable!$F$26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CallGkTable!$A$27:$A$43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CallGkTable!$F$27:$F$43</c:f>
              <c:numCache>
                <c:formatCode>0.0000</c:formatCode>
                <c:ptCount val="17"/>
                <c:pt idx="0">
                  <c:v>1.0070170546498094E-4</c:v>
                </c:pt>
                <c:pt idx="1">
                  <c:v>5.7611680391896742E-4</c:v>
                </c:pt>
                <c:pt idx="2">
                  <c:v>2.1766539744157011E-3</c:v>
                </c:pt>
                <c:pt idx="3">
                  <c:v>5.8617741810673704E-3</c:v>
                </c:pt>
                <c:pt idx="4">
                  <c:v>1.1937780047109169E-2</c:v>
                </c:pt>
                <c:pt idx="5">
                  <c:v>1.926193999623425E-2</c:v>
                </c:pt>
                <c:pt idx="6">
                  <c:v>2.5556533759819557E-2</c:v>
                </c:pt>
                <c:pt idx="7">
                  <c:v>2.8732281352043247E-2</c:v>
                </c:pt>
                <c:pt idx="8">
                  <c:v>2.8051246304186251E-2</c:v>
                </c:pt>
                <c:pt idx="9">
                  <c:v>2.4267506445708336E-2</c:v>
                </c:pt>
                <c:pt idx="10">
                  <c:v>1.8918485039079759E-2</c:v>
                </c:pt>
                <c:pt idx="11">
                  <c:v>1.3478753756809105E-2</c:v>
                </c:pt>
                <c:pt idx="12">
                  <c:v>8.881243547387634E-3</c:v>
                </c:pt>
                <c:pt idx="13">
                  <c:v>5.4668672380470719E-3</c:v>
                </c:pt>
                <c:pt idx="14">
                  <c:v>3.1709157235184286E-3</c:v>
                </c:pt>
                <c:pt idx="15">
                  <c:v>1.7459186523562449E-3</c:v>
                </c:pt>
                <c:pt idx="16">
                  <c:v>9.1839058774420643E-4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13-E44F-AFEA-20B7DDE63D80}"/>
            </c:ext>
          </c:extLst>
        </c:ser>
        <c:ser>
          <c:idx val="5"/>
          <c:order val="5"/>
          <c:tx>
            <c:strRef>
              <c:f>CallGkTable!$G$26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CallGkTable!$A$27:$A$43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CallGkTable!$G$27:$G$43</c:f>
              <c:numCache>
                <c:formatCode>0.0000</c:formatCode>
                <c:ptCount val="17"/>
                <c:pt idx="0">
                  <c:v>2.7236380704730455E-4</c:v>
                </c:pt>
                <c:pt idx="1">
                  <c:v>1.1382523244176247E-3</c:v>
                </c:pt>
                <c:pt idx="2">
                  <c:v>3.3722289783455596E-3</c:v>
                </c:pt>
                <c:pt idx="3">
                  <c:v>7.5458967272333394E-3</c:v>
                </c:pt>
                <c:pt idx="4">
                  <c:v>1.3395159432299537E-2</c:v>
                </c:pt>
                <c:pt idx="5">
                  <c:v>1.9607203543702156E-2</c:v>
                </c:pt>
                <c:pt idx="6">
                  <c:v>2.4406774147524606E-2</c:v>
                </c:pt>
                <c:pt idx="7">
                  <c:v>2.6488164394297603E-2</c:v>
                </c:pt>
                <c:pt idx="8">
                  <c:v>2.55783754134996E-2</c:v>
                </c:pt>
                <c:pt idx="9">
                  <c:v>2.2348767206295847E-2</c:v>
                </c:pt>
                <c:pt idx="10">
                  <c:v>1.7916173218194175E-2</c:v>
                </c:pt>
                <c:pt idx="11">
                  <c:v>1.3332678349343829E-2</c:v>
                </c:pt>
                <c:pt idx="12">
                  <c:v>9.3013597568778455E-3</c:v>
                </c:pt>
                <c:pt idx="13">
                  <c:v>6.1342693499021788E-3</c:v>
                </c:pt>
                <c:pt idx="14">
                  <c:v>3.8518254155354287E-3</c:v>
                </c:pt>
                <c:pt idx="15">
                  <c:v>2.3169614647433373E-3</c:v>
                </c:pt>
                <c:pt idx="16">
                  <c:v>1.3421930911671856E-3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313-E44F-AFEA-20B7DDE63D80}"/>
            </c:ext>
          </c:extLst>
        </c:ser>
        <c:ser>
          <c:idx val="6"/>
          <c:order val="6"/>
          <c:tx>
            <c:strRef>
              <c:f>CallGkTable!$H$26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CallGkTable!$A$27:$A$43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CallGkTable!$H$27:$H$43</c:f>
              <c:numCache>
                <c:formatCode>0.0000</c:formatCode>
                <c:ptCount val="17"/>
                <c:pt idx="0">
                  <c:v>5.4760481596518001E-4</c:v>
                </c:pt>
                <c:pt idx="1">
                  <c:v>1.8286848240875091E-3</c:v>
                </c:pt>
                <c:pt idx="2">
                  <c:v>4.5539531232495038E-3</c:v>
                </c:pt>
                <c:pt idx="3">
                  <c:v>8.9273180622224217E-3</c:v>
                </c:pt>
                <c:pt idx="4">
                  <c:v>1.4366321033900606E-2</c:v>
                </c:pt>
                <c:pt idx="5">
                  <c:v>1.9615204928584505E-2</c:v>
                </c:pt>
                <c:pt idx="6">
                  <c:v>2.3329031963279279E-2</c:v>
                </c:pt>
                <c:pt idx="7">
                  <c:v>2.4688265009858643E-2</c:v>
                </c:pt>
                <c:pt idx="8">
                  <c:v>2.3654347961507349E-2</c:v>
                </c:pt>
                <c:pt idx="9">
                  <c:v>2.0814619144845083E-2</c:v>
                </c:pt>
                <c:pt idx="10">
                  <c:v>1.7022556226213847E-2</c:v>
                </c:pt>
                <c:pt idx="11">
                  <c:v>1.306782132810054E-2</c:v>
                </c:pt>
                <c:pt idx="12">
                  <c:v>9.496205086649636E-3</c:v>
                </c:pt>
                <c:pt idx="13">
                  <c:v>6.5790096216856199E-3</c:v>
                </c:pt>
                <c:pt idx="14">
                  <c:v>4.3719665660242636E-3</c:v>
                </c:pt>
                <c:pt idx="15">
                  <c:v>2.8013465758306819E-3</c:v>
                </c:pt>
                <c:pt idx="16">
                  <c:v>1.7385470025647579E-3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313-E44F-AFEA-20B7DDE63D80}"/>
            </c:ext>
          </c:extLst>
        </c:ser>
        <c:ser>
          <c:idx val="7"/>
          <c:order val="7"/>
          <c:tx>
            <c:strRef>
              <c:f>CallGkTable!$I$26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CallGkTable!$A$27:$A$43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CallGkTable!$I$27:$I$43</c:f>
              <c:numCache>
                <c:formatCode>0.0000</c:formatCode>
                <c:ptCount val="17"/>
                <c:pt idx="0">
                  <c:v>9.1609936771568209E-4</c:v>
                </c:pt>
                <c:pt idx="1">
                  <c:v>2.585538590771336E-3</c:v>
                </c:pt>
                <c:pt idx="2">
                  <c:v>5.6523508060789462E-3</c:v>
                </c:pt>
                <c:pt idx="3">
                  <c:v>1.0033802504733586E-2</c:v>
                </c:pt>
                <c:pt idx="4">
                  <c:v>1.5001364182628535E-2</c:v>
                </c:pt>
                <c:pt idx="5">
                  <c:v>1.944073459830415E-2</c:v>
                </c:pt>
                <c:pt idx="6">
                  <c:v>2.2344641814505347E-2</c:v>
                </c:pt>
                <c:pt idx="7">
                  <c:v>2.3203661883923712E-2</c:v>
                </c:pt>
                <c:pt idx="8">
                  <c:v>2.2101737998123483E-2</c:v>
                </c:pt>
                <c:pt idx="9">
                  <c:v>1.9552017122180458E-2</c:v>
                </c:pt>
                <c:pt idx="10">
                  <c:v>1.6231040004613291E-2</c:v>
                </c:pt>
                <c:pt idx="11">
                  <c:v>1.2754236173725023E-2</c:v>
                </c:pt>
                <c:pt idx="12">
                  <c:v>9.5562993383245896E-3</c:v>
                </c:pt>
                <c:pt idx="13">
                  <c:v>6.8698255498420117E-3</c:v>
                </c:pt>
                <c:pt idx="14">
                  <c:v>4.763448098667143E-3</c:v>
                </c:pt>
                <c:pt idx="15">
                  <c:v>3.2002933770762325E-3</c:v>
                </c:pt>
                <c:pt idx="16">
                  <c:v>2.0914714572423769E-3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313-E44F-AFEA-20B7DDE63D80}"/>
            </c:ext>
          </c:extLst>
        </c:ser>
        <c:ser>
          <c:idx val="8"/>
          <c:order val="8"/>
          <c:tx>
            <c:strRef>
              <c:f>CallGkTable!$J$26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CallGkTable!$A$27:$A$43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CallGkTable!$J$27:$J$43</c:f>
              <c:numCache>
                <c:formatCode>0.0000</c:formatCode>
                <c:ptCount val="17"/>
                <c:pt idx="0">
                  <c:v>1.3571389458380515E-3</c:v>
                </c:pt>
                <c:pt idx="1">
                  <c:v>3.3605151026574525E-3</c:v>
                </c:pt>
                <c:pt idx="2">
                  <c:v>6.6387114573764538E-3</c:v>
                </c:pt>
                <c:pt idx="3">
                  <c:v>1.090940622330224E-2</c:v>
                </c:pt>
                <c:pt idx="4">
                  <c:v>1.5403132263133369E-2</c:v>
                </c:pt>
                <c:pt idx="5">
                  <c:v>1.9167361944162006E-2</c:v>
                </c:pt>
                <c:pt idx="6">
                  <c:v>2.1452524339852529E-2</c:v>
                </c:pt>
                <c:pt idx="7">
                  <c:v>2.1952066922098782E-2</c:v>
                </c:pt>
                <c:pt idx="8">
                  <c:v>2.0814289167512139E-2</c:v>
                </c:pt>
                <c:pt idx="9">
                  <c:v>1.8489346824041981E-2</c:v>
                </c:pt>
                <c:pt idx="10">
                  <c:v>1.5528543194402064E-2</c:v>
                </c:pt>
                <c:pt idx="11">
                  <c:v>1.2425602990436633E-2</c:v>
                </c:pt>
                <c:pt idx="12">
                  <c:v>9.5342861100476337E-3</c:v>
                </c:pt>
                <c:pt idx="13">
                  <c:v>7.0538139252298493E-3</c:v>
                </c:pt>
                <c:pt idx="14">
                  <c:v>5.0554177985015743E-3</c:v>
                </c:pt>
                <c:pt idx="15">
                  <c:v>3.5239585209983202E-3</c:v>
                </c:pt>
                <c:pt idx="16">
                  <c:v>2.3974428180687469E-3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313-E44F-AFEA-20B7DDE63D80}"/>
            </c:ext>
          </c:extLst>
        </c:ser>
        <c:ser>
          <c:idx val="9"/>
          <c:order val="9"/>
          <c:tx>
            <c:strRef>
              <c:f>CallGkTable!$K$26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CallGkTable!$A$27:$A$43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CallGkTable!$K$27:$K$43</c:f>
              <c:numCache>
                <c:formatCode>0.0000</c:formatCode>
                <c:ptCount val="17"/>
                <c:pt idx="0">
                  <c:v>1.8477969471792112E-3</c:v>
                </c:pt>
                <c:pt idx="1">
                  <c:v>4.1207309613217006E-3</c:v>
                </c:pt>
                <c:pt idx="2">
                  <c:v>7.5067523489369872E-3</c:v>
                </c:pt>
                <c:pt idx="3">
                  <c:v>1.1597225794774839E-2</c:v>
                </c:pt>
                <c:pt idx="4">
                  <c:v>1.5641421674019225E-2</c:v>
                </c:pt>
                <c:pt idx="5">
                  <c:v>1.8841983940109525E-2</c:v>
                </c:pt>
                <c:pt idx="6">
                  <c:v>2.0644622964645625E-2</c:v>
                </c:pt>
                <c:pt idx="7">
                  <c:v>2.087829727981377E-2</c:v>
                </c:pt>
                <c:pt idx="8">
                  <c:v>1.9723966545394447E-2</c:v>
                </c:pt>
                <c:pt idx="9">
                  <c:v>1.7578836087368842E-2</c:v>
                </c:pt>
                <c:pt idx="10">
                  <c:v>1.4901938093572724E-2</c:v>
                </c:pt>
                <c:pt idx="11">
                  <c:v>1.2098525266351955E-2</c:v>
                </c:pt>
                <c:pt idx="12">
                  <c:v>9.46175015661453E-3</c:v>
                </c:pt>
                <c:pt idx="13">
                  <c:v>7.162937779782763E-3</c:v>
                </c:pt>
                <c:pt idx="14">
                  <c:v>5.2712072632879253E-3</c:v>
                </c:pt>
                <c:pt idx="15">
                  <c:v>3.7843224261389784E-3</c:v>
                </c:pt>
                <c:pt idx="16">
                  <c:v>2.6587031941631982E-3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313-E44F-AFEA-20B7DDE63D80}"/>
            </c:ext>
          </c:extLst>
        </c:ser>
        <c:ser>
          <c:idx val="10"/>
          <c:order val="10"/>
          <c:tx>
            <c:strRef>
              <c:f>CallGkTable!$L$26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CallGkTable!$A$27:$A$43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CallGkTable!$L$27:$L$43</c:f>
              <c:numCache>
                <c:formatCode>0.0000</c:formatCode>
                <c:ptCount val="17"/>
                <c:pt idx="0">
                  <c:v>6.5999568536451924E-3</c:v>
                </c:pt>
                <c:pt idx="1">
                  <c:v>9.1893387459059377E-3</c:v>
                </c:pt>
                <c:pt idx="2">
                  <c:v>1.1624159945686188E-2</c:v>
                </c:pt>
                <c:pt idx="3">
                  <c:v>1.3601749391133747E-2</c:v>
                </c:pt>
                <c:pt idx="4">
                  <c:v>1.4928999083209112E-2</c:v>
                </c:pt>
                <c:pt idx="5">
                  <c:v>1.5538821309956895E-2</c:v>
                </c:pt>
                <c:pt idx="6">
                  <c:v>1.5471684475151491E-2</c:v>
                </c:pt>
                <c:pt idx="7">
                  <c:v>1.4840061535306965E-2</c:v>
                </c:pt>
                <c:pt idx="8">
                  <c:v>1.3790926583135299E-2</c:v>
                </c:pt>
                <c:pt idx="9">
                  <c:v>1.2475292570391814E-2</c:v>
                </c:pt>
                <c:pt idx="10">
                  <c:v>1.1028059378052653E-2</c:v>
                </c:pt>
                <c:pt idx="11">
                  <c:v>9.5576676672171155E-3</c:v>
                </c:pt>
                <c:pt idx="12">
                  <c:v>8.1432630811320347E-3</c:v>
                </c:pt>
                <c:pt idx="13">
                  <c:v>6.8366861897907437E-3</c:v>
                </c:pt>
                <c:pt idx="14">
                  <c:v>5.6669702285113378E-3</c:v>
                </c:pt>
                <c:pt idx="15">
                  <c:v>4.6456697775222461E-3</c:v>
                </c:pt>
                <c:pt idx="16">
                  <c:v>3.7719785580502146E-3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313-E44F-AFEA-20B7DDE63D80}"/>
            </c:ext>
          </c:extLst>
        </c:ser>
        <c:ser>
          <c:idx val="11"/>
          <c:order val="11"/>
          <c:tx>
            <c:strRef>
              <c:f>CallGkTable!$M$26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CallGkTable!$A$27:$A$43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CallGkTable!$M$27:$M$43</c:f>
              <c:numCache>
                <c:formatCode>0.0000</c:formatCode>
                <c:ptCount val="17"/>
                <c:pt idx="0">
                  <c:v>9.1771016304238069E-3</c:v>
                </c:pt>
                <c:pt idx="1">
                  <c:v>1.0920849507992856E-2</c:v>
                </c:pt>
                <c:pt idx="2">
                  <c:v>1.2233016676571298E-2</c:v>
                </c:pt>
                <c:pt idx="3">
                  <c:v>1.304799601147523E-2</c:v>
                </c:pt>
                <c:pt idx="4">
                  <c:v>1.337060343987685E-2</c:v>
                </c:pt>
                <c:pt idx="5">
                  <c:v>1.3255131727717093E-2</c:v>
                </c:pt>
                <c:pt idx="6">
                  <c:v>1.2783505889003444E-2</c:v>
                </c:pt>
                <c:pt idx="7">
                  <c:v>1.2047161650680642E-2</c:v>
                </c:pt>
                <c:pt idx="8">
                  <c:v>1.1134276551152787E-2</c:v>
                </c:pt>
                <c:pt idx="9">
                  <c:v>1.0122157910866229E-2</c:v>
                </c:pt>
                <c:pt idx="10">
                  <c:v>9.0737477955800411E-3</c:v>
                </c:pt>
                <c:pt idx="11">
                  <c:v>8.0369990403848408E-3</c:v>
                </c:pt>
                <c:pt idx="12">
                  <c:v>7.0460051549628569E-3</c:v>
                </c:pt>
                <c:pt idx="13">
                  <c:v>6.1230240136718652E-3</c:v>
                </c:pt>
                <c:pt idx="14">
                  <c:v>5.2808038728821578E-3</c:v>
                </c:pt>
                <c:pt idx="15">
                  <c:v>4.5248469998567702E-3</c:v>
                </c:pt>
                <c:pt idx="16">
                  <c:v>3.8554152638824216E-3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313-E44F-AFEA-20B7DDE63D80}"/>
            </c:ext>
          </c:extLst>
        </c:ser>
        <c:ser>
          <c:idx val="12"/>
          <c:order val="12"/>
          <c:tx>
            <c:strRef>
              <c:f>CallGkTable!$N$26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CallGkTable!$A$27:$A$43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CallGkTable!$N$27:$N$43</c:f>
              <c:numCache>
                <c:formatCode>0.0000</c:formatCode>
                <c:ptCount val="17"/>
                <c:pt idx="0">
                  <c:v>1.0313315500073909E-2</c:v>
                </c:pt>
                <c:pt idx="1">
                  <c:v>1.1346268148064857E-2</c:v>
                </c:pt>
                <c:pt idx="2">
                  <c:v>1.1959970353331821E-2</c:v>
                </c:pt>
                <c:pt idx="3">
                  <c:v>1.2179483699411454E-2</c:v>
                </c:pt>
                <c:pt idx="4">
                  <c:v>1.2059289097501428E-2</c:v>
                </c:pt>
                <c:pt idx="5">
                  <c:v>1.1667493720574828E-2</c:v>
                </c:pt>
                <c:pt idx="6">
                  <c:v>1.1074310697636872E-2</c:v>
                </c:pt>
                <c:pt idx="7">
                  <c:v>1.034474514620942E-2</c:v>
                </c:pt>
                <c:pt idx="8">
                  <c:v>9.5346953865131021E-3</c:v>
                </c:pt>
                <c:pt idx="9">
                  <c:v>8.6895009017126795E-3</c:v>
                </c:pt>
                <c:pt idx="10">
                  <c:v>7.8440625463605997E-3</c:v>
                </c:pt>
                <c:pt idx="11">
                  <c:v>7.0238536178371452E-3</c:v>
                </c:pt>
                <c:pt idx="12">
                  <c:v>6.2463417557349936E-3</c:v>
                </c:pt>
                <c:pt idx="13">
                  <c:v>5.5225119093422646E-3</c:v>
                </c:pt>
                <c:pt idx="14">
                  <c:v>4.8583089812879602E-3</c:v>
                </c:pt>
                <c:pt idx="15">
                  <c:v>4.2559078918170063E-3</c:v>
                </c:pt>
                <c:pt idx="16">
                  <c:v>3.7147763845488601E-3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313-E44F-AFEA-20B7DDE63D80}"/>
            </c:ext>
          </c:extLst>
        </c:ser>
        <c:ser>
          <c:idx val="13"/>
          <c:order val="13"/>
          <c:tx>
            <c:strRef>
              <c:f>CallGkTable!$O$26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CallGkTable!$A$27:$A$43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CallGkTable!$O$27:$O$43</c:f>
              <c:numCache>
                <c:formatCode>0.0000</c:formatCode>
                <c:ptCount val="17"/>
                <c:pt idx="0">
                  <c:v>1.073708151996329E-2</c:v>
                </c:pt>
                <c:pt idx="1">
                  <c:v>1.1268946181697022E-2</c:v>
                </c:pt>
                <c:pt idx="2">
                  <c:v>1.1453027766679769E-2</c:v>
                </c:pt>
                <c:pt idx="3">
                  <c:v>1.1343634002882845E-2</c:v>
                </c:pt>
                <c:pt idx="4">
                  <c:v>1.1002627628314172E-2</c:v>
                </c:pt>
                <c:pt idx="5">
                  <c:v>1.0490736571836448E-2</c:v>
                </c:pt>
                <c:pt idx="6">
                  <c:v>9.8625457284395677E-3</c:v>
                </c:pt>
                <c:pt idx="7">
                  <c:v>9.1641696406864256E-3</c:v>
                </c:pt>
                <c:pt idx="8">
                  <c:v>8.4326874401380626E-3</c:v>
                </c:pt>
                <c:pt idx="9">
                  <c:v>7.6966219777363509E-3</c:v>
                </c:pt>
                <c:pt idx="10">
                  <c:v>6.9769553505238452E-3</c:v>
                </c:pt>
                <c:pt idx="11">
                  <c:v>6.2883493733863092E-3</c:v>
                </c:pt>
                <c:pt idx="12">
                  <c:v>5.6403714114604637E-3</c:v>
                </c:pt>
                <c:pt idx="13">
                  <c:v>5.0386172534840892E-3</c:v>
                </c:pt>
                <c:pt idx="14">
                  <c:v>4.4856819490140852E-3</c:v>
                </c:pt>
                <c:pt idx="15">
                  <c:v>3.9819655859202495E-3</c:v>
                </c:pt>
                <c:pt idx="16">
                  <c:v>3.5263212434632849E-3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313-E44F-AFEA-20B7DDE63D80}"/>
            </c:ext>
          </c:extLst>
        </c:ser>
        <c:bandFmts>
          <c:bandFmt>
            <c:idx val="0"/>
            <c:spPr>
              <a:solidFill>
                <a:schemeClr val="accent1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"/>
                </a:schemeClr>
              </a:solidFill>
              <a:ln/>
              <a:effectLst/>
              <a:sp3d/>
            </c:spPr>
          </c:bandFmt>
        </c:bandFmts>
        <c:axId val="1635539072"/>
        <c:axId val="1635939456"/>
        <c:axId val="1598862336"/>
      </c:surface3DChart>
      <c:catAx>
        <c:axId val="1635539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5939456"/>
        <c:crosses val="autoZero"/>
        <c:auto val="1"/>
        <c:lblAlgn val="ctr"/>
        <c:lblOffset val="100"/>
        <c:noMultiLvlLbl val="0"/>
      </c:catAx>
      <c:valAx>
        <c:axId val="1635939456"/>
        <c:scaling>
          <c:orientation val="minMax"/>
          <c:max val="0.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5539072"/>
        <c:crosses val="autoZero"/>
        <c:crossBetween val="midCat"/>
      </c:valAx>
      <c:serAx>
        <c:axId val="15988623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5939456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</a:t>
            </a:r>
            <a:r>
              <a:rPr lang="en-US" baseline="0"/>
              <a:t> - 30%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CallGkTable!$R$26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CallGkTable!$Q$27:$Q$43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CallGkTable!$R$27:$R$43</c:f>
              <c:numCache>
                <c:formatCode>0.0000</c:formatCode>
                <c:ptCount val="17"/>
                <c:pt idx="0">
                  <c:v>4.8371729163416148E-8</c:v>
                </c:pt>
                <c:pt idx="1">
                  <c:v>2.7992835519207707E-6</c:v>
                </c:pt>
                <c:pt idx="2">
                  <c:v>6.35621151820228E-5</c:v>
                </c:pt>
                <c:pt idx="3">
                  <c:v>6.7225819369320016E-4</c:v>
                </c:pt>
                <c:pt idx="4">
                  <c:v>3.7827836741325771E-3</c:v>
                </c:pt>
                <c:pt idx="5">
                  <c:v>1.257501258451457E-2</c:v>
                </c:pt>
                <c:pt idx="6">
                  <c:v>2.6849994493107553E-2</c:v>
                </c:pt>
                <c:pt idx="7">
                  <c:v>3.9397555493342631E-2</c:v>
                </c:pt>
                <c:pt idx="8">
                  <c:v>4.1981596977461712E-2</c:v>
                </c:pt>
                <c:pt idx="9">
                  <c:v>3.4000529020197345E-2</c:v>
                </c:pt>
                <c:pt idx="10">
                  <c:v>2.1736822486638243E-2</c:v>
                </c:pt>
                <c:pt idx="11">
                  <c:v>1.1323389096223548E-2</c:v>
                </c:pt>
                <c:pt idx="12">
                  <c:v>4.9370130845059271E-3</c:v>
                </c:pt>
                <c:pt idx="13">
                  <c:v>1.843087308399202E-3</c:v>
                </c:pt>
                <c:pt idx="14">
                  <c:v>6.0071558236562614E-4</c:v>
                </c:pt>
                <c:pt idx="15">
                  <c:v>1.738160868120766E-4</c:v>
                </c:pt>
                <c:pt idx="16">
                  <c:v>4.5297412812204583E-5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C1-0C48-8EEA-C35D306E1F8D}"/>
            </c:ext>
          </c:extLst>
        </c:ser>
        <c:ser>
          <c:idx val="1"/>
          <c:order val="1"/>
          <c:tx>
            <c:strRef>
              <c:f>CallGkTable!$S$26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CallGkTable!$Q$27:$Q$43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CallGkTable!$S$27:$S$43</c:f>
              <c:numCache>
                <c:formatCode>0.0000</c:formatCode>
                <c:ptCount val="17"/>
                <c:pt idx="0">
                  <c:v>4.8005602280442924E-5</c:v>
                </c:pt>
                <c:pt idx="1">
                  <c:v>3.4238659642402483E-4</c:v>
                </c:pt>
                <c:pt idx="2">
                  <c:v>1.5369719040112578E-3</c:v>
                </c:pt>
                <c:pt idx="3">
                  <c:v>4.7282210181891797E-3</c:v>
                </c:pt>
                <c:pt idx="4">
                  <c:v>1.0647723775453425E-2</c:v>
                </c:pt>
                <c:pt idx="5">
                  <c:v>1.8488250396356997E-2</c:v>
                </c:pt>
                <c:pt idx="6">
                  <c:v>2.5799834788109946E-2</c:v>
                </c:pt>
                <c:pt idx="7">
                  <c:v>2.9920175402764981E-2</c:v>
                </c:pt>
                <c:pt idx="8">
                  <c:v>2.9635625719445866E-2</c:v>
                </c:pt>
                <c:pt idx="9">
                  <c:v>2.5642378317564649E-2</c:v>
                </c:pt>
                <c:pt idx="10">
                  <c:v>1.9748701502398162E-2</c:v>
                </c:pt>
                <c:pt idx="11">
                  <c:v>1.3752363931184041E-2</c:v>
                </c:pt>
                <c:pt idx="12">
                  <c:v>8.7746917760978451E-3</c:v>
                </c:pt>
                <c:pt idx="13">
                  <c:v>5.1878950118337819E-3</c:v>
                </c:pt>
                <c:pt idx="14">
                  <c:v>2.8696661309163176E-3</c:v>
                </c:pt>
                <c:pt idx="15">
                  <c:v>1.4974023713320017E-3</c:v>
                </c:pt>
                <c:pt idx="16">
                  <c:v>7.4234719458286542E-4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C1-0C48-8EEA-C35D306E1F8D}"/>
            </c:ext>
          </c:extLst>
        </c:ser>
        <c:ser>
          <c:idx val="2"/>
          <c:order val="2"/>
          <c:tx>
            <c:strRef>
              <c:f>CallGkTable!$T$26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CallGkTable!$Q$27:$Q$43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CallGkTable!$T$27:$T$43</c:f>
              <c:numCache>
                <c:formatCode>0.0000</c:formatCode>
                <c:ptCount val="17"/>
                <c:pt idx="0">
                  <c:v>4.3836057898992057E-4</c:v>
                </c:pt>
                <c:pt idx="1">
                  <c:v>1.5558922158995399E-3</c:v>
                </c:pt>
                <c:pt idx="2">
                  <c:v>4.068752351690158E-3</c:v>
                </c:pt>
                <c:pt idx="3">
                  <c:v>8.2932442565351958E-3</c:v>
                </c:pt>
                <c:pt idx="4">
                  <c:v>1.3762943653982109E-2</c:v>
                </c:pt>
                <c:pt idx="5">
                  <c:v>1.9245583173855801E-2</c:v>
                </c:pt>
                <c:pt idx="6">
                  <c:v>2.3306691732956811E-2</c:v>
                </c:pt>
                <c:pt idx="7">
                  <c:v>2.4990132225163459E-2</c:v>
                </c:pt>
                <c:pt idx="8">
                  <c:v>2.4156756171112039E-2</c:v>
                </c:pt>
                <c:pt idx="9">
                  <c:v>2.1367578691690262E-2</c:v>
                </c:pt>
                <c:pt idx="10">
                  <c:v>1.7510243021562299E-2</c:v>
                </c:pt>
                <c:pt idx="11">
                  <c:v>1.3432302518922605E-2</c:v>
                </c:pt>
                <c:pt idx="12">
                  <c:v>9.7303217208305603E-3</c:v>
                </c:pt>
                <c:pt idx="13">
                  <c:v>6.705724926415333E-3</c:v>
                </c:pt>
                <c:pt idx="14">
                  <c:v>4.4244401962093699E-3</c:v>
                </c:pt>
                <c:pt idx="15">
                  <c:v>2.8101370337925164E-3</c:v>
                </c:pt>
                <c:pt idx="16">
                  <c:v>1.7261999326371306E-3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C1-0C48-8EEA-C35D306E1F8D}"/>
            </c:ext>
          </c:extLst>
        </c:ser>
        <c:ser>
          <c:idx val="3"/>
          <c:order val="3"/>
          <c:tx>
            <c:strRef>
              <c:f>CallGkTable!$U$26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CallGkTable!$Q$27:$Q$43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CallGkTable!$U$27:$U$43</c:f>
              <c:numCache>
                <c:formatCode>0.0000</c:formatCode>
                <c:ptCount val="17"/>
                <c:pt idx="0">
                  <c:v>1.2684980236185477E-3</c:v>
                </c:pt>
                <c:pt idx="1">
                  <c:v>3.1761382873591237E-3</c:v>
                </c:pt>
                <c:pt idx="2">
                  <c:v>6.3393895489089096E-3</c:v>
                </c:pt>
                <c:pt idx="3">
                  <c:v>1.0517834159617732E-2</c:v>
                </c:pt>
                <c:pt idx="4">
                  <c:v>1.4983978051139484E-2</c:v>
                </c:pt>
                <c:pt idx="5">
                  <c:v>1.8803436356655608E-2</c:v>
                </c:pt>
                <c:pt idx="6">
                  <c:v>2.1212946857819121E-2</c:v>
                </c:pt>
                <c:pt idx="7">
                  <c:v>2.187052870331763E-2</c:v>
                </c:pt>
                <c:pt idx="8">
                  <c:v>2.0885236208200961E-2</c:v>
                </c:pt>
                <c:pt idx="9">
                  <c:v>1.8678514542129085E-2</c:v>
                </c:pt>
                <c:pt idx="10">
                  <c:v>1.5789104753624824E-2</c:v>
                </c:pt>
                <c:pt idx="11">
                  <c:v>1.2712341075815795E-2</c:v>
                </c:pt>
                <c:pt idx="12">
                  <c:v>9.8121320272589446E-3</c:v>
                </c:pt>
                <c:pt idx="13">
                  <c:v>7.3006500382870026E-3</c:v>
                </c:pt>
                <c:pt idx="14">
                  <c:v>5.2609033868653296E-3</c:v>
                </c:pt>
                <c:pt idx="15">
                  <c:v>3.686468334203065E-3</c:v>
                </c:pt>
                <c:pt idx="16">
                  <c:v>2.5207026945741873E-3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C1-0C48-8EEA-C35D306E1F8D}"/>
            </c:ext>
          </c:extLst>
        </c:ser>
        <c:ser>
          <c:idx val="4"/>
          <c:order val="4"/>
          <c:tx>
            <c:strRef>
              <c:f>CallGkTable!$V$26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CallGkTable!$Q$27:$Q$43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CallGkTable!$V$27:$V$43</c:f>
              <c:numCache>
                <c:formatCode>0.0000</c:formatCode>
                <c:ptCount val="17"/>
                <c:pt idx="0">
                  <c:v>2.3382957957450976E-3</c:v>
                </c:pt>
                <c:pt idx="1">
                  <c:v>4.7488233231175476E-3</c:v>
                </c:pt>
                <c:pt idx="2">
                  <c:v>8.059977346624966E-3</c:v>
                </c:pt>
                <c:pt idx="3">
                  <c:v>1.1819037433225307E-2</c:v>
                </c:pt>
                <c:pt idx="4">
                  <c:v>1.5364246918448026E-2</c:v>
                </c:pt>
                <c:pt idx="5">
                  <c:v>1.8068228988525177E-2</c:v>
                </c:pt>
                <c:pt idx="6">
                  <c:v>1.9534751872486739E-2</c:v>
                </c:pt>
                <c:pt idx="7">
                  <c:v>1.9671994336736279E-2</c:v>
                </c:pt>
                <c:pt idx="8">
                  <c:v>1.8648956198551999E-2</c:v>
                </c:pt>
                <c:pt idx="9">
                  <c:v>1.6789169768697553E-2</c:v>
                </c:pt>
                <c:pt idx="10">
                  <c:v>1.4458770943216178E-2</c:v>
                </c:pt>
                <c:pt idx="11">
                  <c:v>1.1984095247208171E-2</c:v>
                </c:pt>
                <c:pt idx="12">
                  <c:v>9.6090347795308416E-3</c:v>
                </c:pt>
                <c:pt idx="13">
                  <c:v>7.4859286012427398E-3</c:v>
                </c:pt>
                <c:pt idx="14">
                  <c:v>5.6874317310270685E-3</c:v>
                </c:pt>
                <c:pt idx="15">
                  <c:v>4.2274159872265245E-3</c:v>
                </c:pt>
                <c:pt idx="16">
                  <c:v>3.08258184226789E-3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C1-0C48-8EEA-C35D306E1F8D}"/>
            </c:ext>
          </c:extLst>
        </c:ser>
        <c:ser>
          <c:idx val="5"/>
          <c:order val="5"/>
          <c:tx>
            <c:strRef>
              <c:f>CallGkTable!$W$26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CallGkTable!$Q$27:$Q$43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CallGkTable!$W$27:$W$43</c:f>
              <c:numCache>
                <c:formatCode>0.0000</c:formatCode>
                <c:ptCount val="17"/>
                <c:pt idx="0">
                  <c:v>3.4549517028754709E-3</c:v>
                </c:pt>
                <c:pt idx="1">
                  <c:v>6.1025757786037117E-3</c:v>
                </c:pt>
                <c:pt idx="2">
                  <c:v>9.296671919160799E-3</c:v>
                </c:pt>
                <c:pt idx="3">
                  <c:v>1.255515456723554E-2</c:v>
                </c:pt>
                <c:pt idx="4">
                  <c:v>1.5354539900425004E-2</c:v>
                </c:pt>
                <c:pt idx="5">
                  <c:v>1.7291682643531966E-2</c:v>
                </c:pt>
                <c:pt idx="6">
                  <c:v>1.8172524320191754E-2</c:v>
                </c:pt>
                <c:pt idx="7">
                  <c:v>1.8015399304984771E-2</c:v>
                </c:pt>
                <c:pt idx="8">
                  <c:v>1.6995504070964784E-2</c:v>
                </c:pt>
                <c:pt idx="9">
                  <c:v>1.5368208376167368E-2</c:v>
                </c:pt>
                <c:pt idx="10">
                  <c:v>1.3400367884206782E-2</c:v>
                </c:pt>
                <c:pt idx="11">
                  <c:v>1.1323860006353008E-2</c:v>
                </c:pt>
                <c:pt idx="12">
                  <c:v>9.3130824817801022E-3</c:v>
                </c:pt>
                <c:pt idx="13">
                  <c:v>7.4811990466972442E-3</c:v>
                </c:pt>
                <c:pt idx="14">
                  <c:v>5.8878427994134399E-3</c:v>
                </c:pt>
                <c:pt idx="15">
                  <c:v>4.5518443181372789E-3</c:v>
                </c:pt>
                <c:pt idx="16">
                  <c:v>3.4645436604697206E-3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3C1-0C48-8EEA-C35D306E1F8D}"/>
            </c:ext>
          </c:extLst>
        </c:ser>
        <c:ser>
          <c:idx val="6"/>
          <c:order val="6"/>
          <c:tx>
            <c:strRef>
              <c:f>CallGkTable!$X$26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CallGkTable!$Q$27:$Q$43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CallGkTable!$X$27:$X$43</c:f>
              <c:numCache>
                <c:formatCode>0.0000</c:formatCode>
                <c:ptCount val="17"/>
                <c:pt idx="0">
                  <c:v>4.5096296845151063E-3</c:v>
                </c:pt>
                <c:pt idx="1">
                  <c:v>7.2096701015754916E-3</c:v>
                </c:pt>
                <c:pt idx="2">
                  <c:v>1.0167303762997194E-2</c:v>
                </c:pt>
                <c:pt idx="3">
                  <c:v>1.2946786325768763E-2</c:v>
                </c:pt>
                <c:pt idx="4">
                  <c:v>1.5157858484034765E-2</c:v>
                </c:pt>
                <c:pt idx="5">
                  <c:v>1.655034187397918E-2</c:v>
                </c:pt>
                <c:pt idx="6">
                  <c:v>1.7044687194816176E-2</c:v>
                </c:pt>
                <c:pt idx="7">
                  <c:v>1.6709061466729097E-2</c:v>
                </c:pt>
                <c:pt idx="8">
                  <c:v>1.5708358311106813E-2</c:v>
                </c:pt>
                <c:pt idx="9">
                  <c:v>1.4249101786859474E-2</c:v>
                </c:pt>
                <c:pt idx="10">
                  <c:v>1.2535218696786308E-2</c:v>
                </c:pt>
                <c:pt idx="11">
                  <c:v>1.0740202466580619E-2</c:v>
                </c:pt>
                <c:pt idx="12">
                  <c:v>8.9946864621100794E-3</c:v>
                </c:pt>
                <c:pt idx="13">
                  <c:v>7.3853698760191306E-3</c:v>
                </c:pt>
                <c:pt idx="14">
                  <c:v>5.9606848610583791E-3</c:v>
                </c:pt>
                <c:pt idx="15">
                  <c:v>4.7393843504899558E-3</c:v>
                </c:pt>
                <c:pt idx="16">
                  <c:v>3.7194597267081689E-3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C1-0C48-8EEA-C35D306E1F8D}"/>
            </c:ext>
          </c:extLst>
        </c:ser>
        <c:ser>
          <c:idx val="7"/>
          <c:order val="7"/>
          <c:tx>
            <c:strRef>
              <c:f>CallGkTable!$Y$26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CallGkTable!$Q$27:$Q$43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CallGkTable!$Y$27:$Y$43</c:f>
              <c:numCache>
                <c:formatCode>0.0000</c:formatCode>
                <c:ptCount val="17"/>
                <c:pt idx="0">
                  <c:v>5.4555892387964195E-3</c:v>
                </c:pt>
                <c:pt idx="1">
                  <c:v>8.0936358441935641E-3</c:v>
                </c:pt>
                <c:pt idx="2">
                  <c:v>1.0771870609204374E-2</c:v>
                </c:pt>
                <c:pt idx="3">
                  <c:v>1.3124825156577537E-2</c:v>
                </c:pt>
                <c:pt idx="4">
                  <c:v>1.4871858249720593E-2</c:v>
                </c:pt>
                <c:pt idx="5">
                  <c:v>1.5865759347980533E-2</c:v>
                </c:pt>
                <c:pt idx="6">
                  <c:v>1.6093332217008621E-2</c:v>
                </c:pt>
                <c:pt idx="7">
                  <c:v>1.5644431582997612E-2</c:v>
                </c:pt>
                <c:pt idx="8">
                  <c:v>1.4669150678135829E-2</c:v>
                </c:pt>
                <c:pt idx="9">
                  <c:v>1.3337894677823488E-2</c:v>
                </c:pt>
                <c:pt idx="10">
                  <c:v>1.1811904293602779E-2</c:v>
                </c:pt>
                <c:pt idx="11">
                  <c:v>1.0225923975723967E-2</c:v>
                </c:pt>
                <c:pt idx="12">
                  <c:v>8.6812461969082502E-3</c:v>
                </c:pt>
                <c:pt idx="13">
                  <c:v>7.2460218594597317E-3</c:v>
                </c:pt>
                <c:pt idx="14">
                  <c:v>5.9597458042224306E-3</c:v>
                </c:pt>
                <c:pt idx="15">
                  <c:v>4.8394882133299885E-3</c:v>
                </c:pt>
                <c:pt idx="16">
                  <c:v>3.8862598492258598E-3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3C1-0C48-8EEA-C35D306E1F8D}"/>
            </c:ext>
          </c:extLst>
        </c:ser>
        <c:ser>
          <c:idx val="8"/>
          <c:order val="8"/>
          <c:tx>
            <c:strRef>
              <c:f>CallGkTable!$Z$26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CallGkTable!$Q$27:$Q$43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CallGkTable!$Z$27:$Z$43</c:f>
              <c:numCache>
                <c:formatCode>0.0000</c:formatCode>
                <c:ptCount val="17"/>
                <c:pt idx="0">
                  <c:v>6.2802722099484769E-3</c:v>
                </c:pt>
                <c:pt idx="1">
                  <c:v>8.7907122230331206E-3</c:v>
                </c:pt>
                <c:pt idx="2">
                  <c:v>1.1184482954854207E-2</c:v>
                </c:pt>
                <c:pt idx="3">
                  <c:v>1.3168033532704496E-2</c:v>
                </c:pt>
                <c:pt idx="4">
                  <c:v>1.4546046008012571E-2</c:v>
                </c:pt>
                <c:pt idx="5">
                  <c:v>1.524072549459882E-2</c:v>
                </c:pt>
                <c:pt idx="6">
                  <c:v>1.5277763824001957E-2</c:v>
                </c:pt>
                <c:pt idx="7">
                  <c:v>1.4754868041798959E-2</c:v>
                </c:pt>
                <c:pt idx="8">
                  <c:v>1.3806984978133097E-2</c:v>
                </c:pt>
                <c:pt idx="9">
                  <c:v>1.2577052515957669E-2</c:v>
                </c:pt>
                <c:pt idx="10">
                  <c:v>1.1195871235951031E-2</c:v>
                </c:pt>
                <c:pt idx="11">
                  <c:v>9.7710707636894829E-3</c:v>
                </c:pt>
                <c:pt idx="12">
                  <c:v>8.3833035199653554E-3</c:v>
                </c:pt>
                <c:pt idx="13">
                  <c:v>7.0872762215001793E-3</c:v>
                </c:pt>
                <c:pt idx="14">
                  <c:v>5.91545955769436E-3</c:v>
                </c:pt>
                <c:pt idx="15">
                  <c:v>4.882853467973125E-3</c:v>
                </c:pt>
                <c:pt idx="16">
                  <c:v>3.991756222193033E-3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3C1-0C48-8EEA-C35D306E1F8D}"/>
            </c:ext>
          </c:extLst>
        </c:ser>
        <c:ser>
          <c:idx val="9"/>
          <c:order val="9"/>
          <c:tx>
            <c:strRef>
              <c:f>CallGkTable!$AA$26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CallGkTable!$Q$27:$Q$43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CallGkTable!$AA$27:$AA$43</c:f>
              <c:numCache>
                <c:formatCode>0.0000</c:formatCode>
                <c:ptCount val="17"/>
                <c:pt idx="0">
                  <c:v>6.9875383385906891E-3</c:v>
                </c:pt>
                <c:pt idx="1">
                  <c:v>9.336082432746199E-3</c:v>
                </c:pt>
                <c:pt idx="2">
                  <c:v>1.1458084787714838E-2</c:v>
                </c:pt>
                <c:pt idx="3">
                  <c:v>1.3124994619891273E-2</c:v>
                </c:pt>
                <c:pt idx="4">
                  <c:v>1.4206432265572271E-2</c:v>
                </c:pt>
                <c:pt idx="5">
                  <c:v>1.4671609392337213E-2</c:v>
                </c:pt>
                <c:pt idx="6">
                  <c:v>1.4568912566910484E-2</c:v>
                </c:pt>
                <c:pt idx="7">
                  <c:v>1.3996906305568678E-2</c:v>
                </c:pt>
                <c:pt idx="8">
                  <c:v>1.307646184852442E-2</c:v>
                </c:pt>
                <c:pt idx="9">
                  <c:v>1.1929120878360653E-2</c:v>
                </c:pt>
                <c:pt idx="10">
                  <c:v>1.0663126660408759E-2</c:v>
                </c:pt>
                <c:pt idx="11">
                  <c:v>9.366344559542529E-3</c:v>
                </c:pt>
                <c:pt idx="12">
                  <c:v>8.1043460458643246E-3</c:v>
                </c:pt>
                <c:pt idx="13">
                  <c:v>6.921806072432455E-3</c:v>
                </c:pt>
                <c:pt idx="14">
                  <c:v>5.8456577452828994E-3</c:v>
                </c:pt>
                <c:pt idx="15">
                  <c:v>4.8888801197403868E-3</c:v>
                </c:pt>
                <c:pt idx="16">
                  <c:v>4.054208161540623E-3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3C1-0C48-8EEA-C35D306E1F8D}"/>
            </c:ext>
          </c:extLst>
        </c:ser>
        <c:ser>
          <c:idx val="10"/>
          <c:order val="10"/>
          <c:tx>
            <c:strRef>
              <c:f>CallGkTable!$AB$26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CallGkTable!$Q$27:$Q$43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CallGkTable!$AB$27:$AB$43</c:f>
              <c:numCache>
                <c:formatCode>0.0000</c:formatCode>
                <c:ptCount val="17"/>
                <c:pt idx="0">
                  <c:v>1.0030097674802636E-2</c:v>
                </c:pt>
                <c:pt idx="1">
                  <c:v>1.0869825982032191E-2</c:v>
                </c:pt>
                <c:pt idx="2">
                  <c:v>1.1344091423781004E-2</c:v>
                </c:pt>
                <c:pt idx="3">
                  <c:v>1.1484873818246508E-2</c:v>
                </c:pt>
                <c:pt idx="4">
                  <c:v>1.1343327721716878E-2</c:v>
                </c:pt>
                <c:pt idx="5">
                  <c:v>1.0978106060139997E-2</c:v>
                </c:pt>
                <c:pt idx="6">
                  <c:v>1.0447330574272131E-2</c:v>
                </c:pt>
                <c:pt idx="7">
                  <c:v>9.8037554378220936E-3</c:v>
                </c:pt>
                <c:pt idx="8">
                  <c:v>9.092361475410371E-3</c:v>
                </c:pt>
                <c:pt idx="9">
                  <c:v>8.3496184427614955E-3</c:v>
                </c:pt>
                <c:pt idx="10">
                  <c:v>7.603783522576131E-3</c:v>
                </c:pt>
                <c:pt idx="11">
                  <c:v>6.8757669831697619E-3</c:v>
                </c:pt>
                <c:pt idx="12">
                  <c:v>6.1802445927498393E-3</c:v>
                </c:pt>
                <c:pt idx="13">
                  <c:v>5.5268144202571517E-3</c:v>
                </c:pt>
                <c:pt idx="14">
                  <c:v>4.9210815203458427E-3</c:v>
                </c:pt>
                <c:pt idx="15">
                  <c:v>4.3656123603575455E-3</c:v>
                </c:pt>
                <c:pt idx="16">
                  <c:v>3.860738073303574E-3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3C1-0C48-8EEA-C35D306E1F8D}"/>
            </c:ext>
          </c:extLst>
        </c:ser>
        <c:ser>
          <c:idx val="11"/>
          <c:order val="11"/>
          <c:tx>
            <c:strRef>
              <c:f>CallGkTable!$AC$26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CallGkTable!$Q$27:$Q$43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CallGkTable!$AC$27:$AC$43</c:f>
              <c:numCache>
                <c:formatCode>0.0000</c:formatCode>
                <c:ptCount val="17"/>
                <c:pt idx="0">
                  <c:v>1.0253980286650038E-2</c:v>
                </c:pt>
                <c:pt idx="1">
                  <c:v>1.0363399155444453E-2</c:v>
                </c:pt>
                <c:pt idx="2">
                  <c:v>1.0246666696571996E-2</c:v>
                </c:pt>
                <c:pt idx="3">
                  <c:v>9.9554811818721185E-3</c:v>
                </c:pt>
                <c:pt idx="4">
                  <c:v>9.5371649510801199E-3</c:v>
                </c:pt>
                <c:pt idx="5">
                  <c:v>9.0324238181826739E-3</c:v>
                </c:pt>
                <c:pt idx="6">
                  <c:v>8.4747143075524257E-3</c:v>
                </c:pt>
                <c:pt idx="7">
                  <c:v>7.8905317151781781E-3</c:v>
                </c:pt>
                <c:pt idx="8">
                  <c:v>7.300162098009451E-3</c:v>
                </c:pt>
                <c:pt idx="9">
                  <c:v>6.7186139847336453E-3</c:v>
                </c:pt>
                <c:pt idx="10">
                  <c:v>6.1565649557768741E-3</c:v>
                </c:pt>
                <c:pt idx="11">
                  <c:v>5.6212360131347814E-3</c:v>
                </c:pt>
                <c:pt idx="12">
                  <c:v>5.1171548019673793E-3</c:v>
                </c:pt>
                <c:pt idx="13">
                  <c:v>4.6467969605679983E-3</c:v>
                </c:pt>
                <c:pt idx="14">
                  <c:v>4.2111102732515686E-3</c:v>
                </c:pt>
                <c:pt idx="15">
                  <c:v>3.8099337821083396E-3</c:v>
                </c:pt>
                <c:pt idx="16">
                  <c:v>3.4423268142812495E-3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3C1-0C48-8EEA-C35D306E1F8D}"/>
            </c:ext>
          </c:extLst>
        </c:ser>
        <c:ser>
          <c:idx val="12"/>
          <c:order val="12"/>
          <c:tx>
            <c:strRef>
              <c:f>CallGkTable!$AD$26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CallGkTable!$Q$27:$Q$43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CallGkTable!$AD$27:$AD$43</c:f>
              <c:numCache>
                <c:formatCode>0.0000</c:formatCode>
                <c:ptCount val="17"/>
                <c:pt idx="0">
                  <c:v>9.8534950455954461E-3</c:v>
                </c:pt>
                <c:pt idx="1">
                  <c:v>9.6171460019162294E-3</c:v>
                </c:pt>
                <c:pt idx="2">
                  <c:v>9.255358000051405E-3</c:v>
                </c:pt>
                <c:pt idx="3">
                  <c:v>8.8091587418353077E-3</c:v>
                </c:pt>
                <c:pt idx="4">
                  <c:v>8.3111834375704362E-3</c:v>
                </c:pt>
                <c:pt idx="5">
                  <c:v>7.7865829825335148E-3</c:v>
                </c:pt>
                <c:pt idx="6">
                  <c:v>7.2541928646975579E-3</c:v>
                </c:pt>
                <c:pt idx="7">
                  <c:v>6.7277111439822531E-3</c:v>
                </c:pt>
                <c:pt idx="8">
                  <c:v>6.2167667801221425E-3</c:v>
                </c:pt>
                <c:pt idx="9">
                  <c:v>5.7278335105389279E-3</c:v>
                </c:pt>
                <c:pt idx="10">
                  <c:v>5.2649832426331956E-3</c:v>
                </c:pt>
                <c:pt idx="11">
                  <c:v>4.8304914892427558E-3</c:v>
                </c:pt>
                <c:pt idx="12">
                  <c:v>4.4253147744497462E-3</c:v>
                </c:pt>
                <c:pt idx="13">
                  <c:v>4.0494614630788676E-3</c:v>
                </c:pt>
                <c:pt idx="14">
                  <c:v>3.7022761379487913E-3</c:v>
                </c:pt>
                <c:pt idx="15">
                  <c:v>3.3826551294348179E-3</c:v>
                </c:pt>
                <c:pt idx="16">
                  <c:v>3.089207972330324E-3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3C1-0C48-8EEA-C35D306E1F8D}"/>
            </c:ext>
          </c:extLst>
        </c:ser>
        <c:ser>
          <c:idx val="13"/>
          <c:order val="13"/>
          <c:tx>
            <c:strRef>
              <c:f>CallGkTable!$AE$26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CallGkTable!$Q$27:$Q$43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CallGkTable!$AE$27:$AE$43</c:f>
              <c:numCache>
                <c:formatCode>0.0000</c:formatCode>
                <c:ptCount val="17"/>
                <c:pt idx="0">
                  <c:v>9.3178601442685666E-3</c:v>
                </c:pt>
                <c:pt idx="1">
                  <c:v>8.9059405124312912E-3</c:v>
                </c:pt>
                <c:pt idx="2">
                  <c:v>8.4330908674948215E-3</c:v>
                </c:pt>
                <c:pt idx="3">
                  <c:v>7.9280236081079453E-3</c:v>
                </c:pt>
                <c:pt idx="4">
                  <c:v>7.4116721863495584E-3</c:v>
                </c:pt>
                <c:pt idx="5">
                  <c:v>6.8988971767481675E-3</c:v>
                </c:pt>
                <c:pt idx="6">
                  <c:v>6.3999223842824441E-3</c:v>
                </c:pt>
                <c:pt idx="7">
                  <c:v>5.9214922774464777E-3</c:v>
                </c:pt>
                <c:pt idx="8">
                  <c:v>5.4677797056007175E-3</c:v>
                </c:pt>
                <c:pt idx="9">
                  <c:v>5.0410846970877594E-3</c:v>
                </c:pt>
                <c:pt idx="10">
                  <c:v>4.6423651796184996E-3</c:v>
                </c:pt>
                <c:pt idx="11">
                  <c:v>4.2716357498546308E-3</c:v>
                </c:pt>
                <c:pt idx="12">
                  <c:v>3.928264530213923E-3</c:v>
                </c:pt>
                <c:pt idx="13">
                  <c:v>3.6111922111984628E-3</c:v>
                </c:pt>
                <c:pt idx="14">
                  <c:v>3.3190921842812552E-3</c:v>
                </c:pt>
                <c:pt idx="15">
                  <c:v>3.0504863785204561E-3</c:v>
                </c:pt>
                <c:pt idx="16">
                  <c:v>2.8038279821686937E-3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3C1-0C48-8EEA-C35D306E1F8D}"/>
            </c:ext>
          </c:extLst>
        </c:ser>
        <c:bandFmts>
          <c:bandFmt>
            <c:idx val="0"/>
            <c:spPr>
              <a:solidFill>
                <a:schemeClr val="accent1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"/>
                </a:schemeClr>
              </a:solidFill>
              <a:ln/>
              <a:effectLst/>
              <a:sp3d/>
            </c:spPr>
          </c:bandFmt>
        </c:bandFmts>
        <c:axId val="1642040832"/>
        <c:axId val="1642043072"/>
        <c:axId val="1598851584"/>
      </c:surface3DChart>
      <c:catAx>
        <c:axId val="1642040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043072"/>
        <c:crosses val="autoZero"/>
        <c:auto val="1"/>
        <c:lblAlgn val="ctr"/>
        <c:lblOffset val="100"/>
        <c:noMultiLvlLbl val="0"/>
      </c:catAx>
      <c:valAx>
        <c:axId val="1642043072"/>
        <c:scaling>
          <c:orientation val="minMax"/>
          <c:max val="0.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040832"/>
        <c:crosses val="autoZero"/>
        <c:crossBetween val="midCat"/>
      </c:valAx>
      <c:serAx>
        <c:axId val="159885158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04307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</a:t>
            </a:r>
            <a:r>
              <a:rPr lang="en-US" baseline="0"/>
              <a:t> - 10%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CallGkTable!$AH$26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CallGkTable!$AG$27:$AG$43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CallGkTable!$AH$27:$AH$43</c:f>
              <c:numCache>
                <c:formatCode>0.0000</c:formatCode>
                <c:ptCount val="17"/>
                <c:pt idx="0">
                  <c:v>9.8181668070309807E-58</c:v>
                </c:pt>
                <c:pt idx="1">
                  <c:v>1.8675541334492263E-41</c:v>
                </c:pt>
                <c:pt idx="2">
                  <c:v>7.2920970083606943E-29</c:v>
                </c:pt>
                <c:pt idx="3">
                  <c:v>2.7634460319906593E-19</c:v>
                </c:pt>
                <c:pt idx="4">
                  <c:v>3.3905822708430672E-12</c:v>
                </c:pt>
                <c:pt idx="5">
                  <c:v>3.4793158250122273E-7</c:v>
                </c:pt>
                <c:pt idx="6">
                  <c:v>6.3723381042931433E-4</c:v>
                </c:pt>
                <c:pt idx="7">
                  <c:v>3.8441261874572016E-2</c:v>
                </c:pt>
                <c:pt idx="8">
                  <c:v>0.12601477970020517</c:v>
                </c:pt>
                <c:pt idx="9">
                  <c:v>3.3926069444668285E-2</c:v>
                </c:pt>
                <c:pt idx="10">
                  <c:v>1.0577125055269184E-3</c:v>
                </c:pt>
                <c:pt idx="11">
                  <c:v>5.0939285700327113E-6</c:v>
                </c:pt>
                <c:pt idx="12">
                  <c:v>4.8333065983836836E-9</c:v>
                </c:pt>
                <c:pt idx="13">
                  <c:v>1.1110259985098477E-12</c:v>
                </c:pt>
                <c:pt idx="14">
                  <c:v>7.382971539826821E-17</c:v>
                </c:pt>
                <c:pt idx="15">
                  <c:v>1.6508431991277696E-21</c:v>
                </c:pt>
                <c:pt idx="16">
                  <c:v>1.4160803501951788E-26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A-754B-B917-126657169956}"/>
            </c:ext>
          </c:extLst>
        </c:ser>
        <c:ser>
          <c:idx val="1"/>
          <c:order val="1"/>
          <c:tx>
            <c:strRef>
              <c:f>CallGkTable!$AI$26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CallGkTable!$AG$27:$AG$43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CallGkTable!$AI$27:$AI$43</c:f>
              <c:numCache>
                <c:formatCode>0.0000</c:formatCode>
                <c:ptCount val="17"/>
                <c:pt idx="0">
                  <c:v>1.4877614568192042E-29</c:v>
                </c:pt>
                <c:pt idx="1">
                  <c:v>1.8565304082520432E-21</c:v>
                </c:pt>
                <c:pt idx="2">
                  <c:v>3.3439581371571192E-15</c:v>
                </c:pt>
                <c:pt idx="3">
                  <c:v>1.8884525527510622E-10</c:v>
                </c:pt>
                <c:pt idx="4">
                  <c:v>6.1021351588952594E-7</c:v>
                </c:pt>
                <c:pt idx="5">
                  <c:v>1.8120927891742718E-4</c:v>
                </c:pt>
                <c:pt idx="6">
                  <c:v>7.2202698909513219E-3</c:v>
                </c:pt>
                <c:pt idx="7">
                  <c:v>5.2414503254015782E-2</c:v>
                </c:pt>
                <c:pt idx="8">
                  <c:v>8.9005717478522636E-2</c:v>
                </c:pt>
                <c:pt idx="9">
                  <c:v>4.3449753071981678E-2</c:v>
                </c:pt>
                <c:pt idx="10">
                  <c:v>7.2385257929532482E-3</c:v>
                </c:pt>
                <c:pt idx="11">
                  <c:v>4.751834300064429E-4</c:v>
                </c:pt>
                <c:pt idx="12">
                  <c:v>1.3878827508435486E-5</c:v>
                </c:pt>
                <c:pt idx="13">
                  <c:v>1.9995476488667823E-7</c:v>
                </c:pt>
                <c:pt idx="14">
                  <c:v>1.5520066218442016E-9</c:v>
                </c:pt>
                <c:pt idx="15">
                  <c:v>7.0007225305255781E-12</c:v>
                </c:pt>
                <c:pt idx="16">
                  <c:v>1.9592554647687471E-14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A-754B-B917-126657169956}"/>
            </c:ext>
          </c:extLst>
        </c:ser>
        <c:ser>
          <c:idx val="2"/>
          <c:order val="2"/>
          <c:tx>
            <c:strRef>
              <c:f>CallGkTable!$AJ$26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CallGkTable!$AG$27:$AG$43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CallGkTable!$AJ$27:$AJ$43</c:f>
              <c:numCache>
                <c:formatCode>0.0000</c:formatCode>
                <c:ptCount val="17"/>
                <c:pt idx="0">
                  <c:v>3.37158866065404E-20</c:v>
                </c:pt>
                <c:pt idx="1">
                  <c:v>7.8761142092032751E-15</c:v>
                </c:pt>
                <c:pt idx="2">
                  <c:v>1.0961347486332762E-10</c:v>
                </c:pt>
                <c:pt idx="3">
                  <c:v>1.523320979336045E-7</c:v>
                </c:pt>
                <c:pt idx="4">
                  <c:v>3.155135271549592E-5</c:v>
                </c:pt>
                <c:pt idx="5">
                  <c:v>1.3351896003566924E-3</c:v>
                </c:pt>
                <c:pt idx="6">
                  <c:v>1.4851555899595281E-2</c:v>
                </c:pt>
                <c:pt idx="7">
                  <c:v>5.3227540948401576E-2</c:v>
                </c:pt>
                <c:pt idx="8">
                  <c:v>7.2591153003284115E-2</c:v>
                </c:pt>
                <c:pt idx="9">
                  <c:v>4.3212117686085308E-2</c:v>
                </c:pt>
                <c:pt idx="10">
                  <c:v>1.2585716288856257E-2</c:v>
                </c:pt>
                <c:pt idx="11">
                  <c:v>1.9736239926009679E-3</c:v>
                </c:pt>
                <c:pt idx="12">
                  <c:v>1.8065746203269184E-4</c:v>
                </c:pt>
                <c:pt idx="13">
                  <c:v>1.0338747257813659E-5</c:v>
                </c:pt>
                <c:pt idx="14">
                  <c:v>3.9226661156427301E-7</c:v>
                </c:pt>
                <c:pt idx="15">
                  <c:v>1.0377407251949232E-8</c:v>
                </c:pt>
                <c:pt idx="16">
                  <c:v>1.9993666289338756E-10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A-754B-B917-126657169956}"/>
            </c:ext>
          </c:extLst>
        </c:ser>
        <c:ser>
          <c:idx val="3"/>
          <c:order val="3"/>
          <c:tx>
            <c:strRef>
              <c:f>CallGkTable!$AK$26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CallGkTable!$AG$27:$AG$43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CallGkTable!$AK$27:$AK$43</c:f>
              <c:numCache>
                <c:formatCode>0.0000</c:formatCode>
                <c:ptCount val="17"/>
                <c:pt idx="0">
                  <c:v>1.5374265651823466E-15</c:v>
                </c:pt>
                <c:pt idx="1">
                  <c:v>1.553910960400279E-11</c:v>
                </c:pt>
                <c:pt idx="2">
                  <c:v>1.9009673521623239E-8</c:v>
                </c:pt>
                <c:pt idx="3">
                  <c:v>4.1442242901485525E-6</c:v>
                </c:pt>
                <c:pt idx="4">
                  <c:v>2.1731776002153875E-4</c:v>
                </c:pt>
                <c:pt idx="5">
                  <c:v>3.4716293491663342E-3</c:v>
                </c:pt>
                <c:pt idx="6">
                  <c:v>2.0402828136932078E-2</c:v>
                </c:pt>
                <c:pt idx="7">
                  <c:v>5.1379281037838453E-2</c:v>
                </c:pt>
                <c:pt idx="8">
                  <c:v>6.2795098352771264E-2</c:v>
                </c:pt>
                <c:pt idx="9">
                  <c:v>4.1278492158452369E-2</c:v>
                </c:pt>
                <c:pt idx="10">
                  <c:v>1.5896481134192911E-2</c:v>
                </c:pt>
                <c:pt idx="11">
                  <c:v>3.852788206715317E-3</c:v>
                </c:pt>
                <c:pt idx="12">
                  <c:v>6.2433347878451618E-4</c:v>
                </c:pt>
                <c:pt idx="13">
                  <c:v>7.121068360385758E-5</c:v>
                </c:pt>
                <c:pt idx="14">
                  <c:v>5.9735759091088044E-6</c:v>
                </c:pt>
                <c:pt idx="15">
                  <c:v>3.8271106091862608E-7</c:v>
                </c:pt>
                <c:pt idx="16">
                  <c:v>1.9346494359707465E-8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A-754B-B917-126657169956}"/>
            </c:ext>
          </c:extLst>
        </c:ser>
        <c:ser>
          <c:idx val="4"/>
          <c:order val="4"/>
          <c:tx>
            <c:strRef>
              <c:f>CallGkTable!$AL$26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CallGkTable!$AG$27:$AG$43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CallGkTable!$AL$27:$AL$43</c:f>
              <c:numCache>
                <c:formatCode>0.0000</c:formatCode>
                <c:ptCount val="17"/>
                <c:pt idx="0">
                  <c:v>9.3540877738932821E-13</c:v>
                </c:pt>
                <c:pt idx="1">
                  <c:v>1.4365666725428593E-9</c:v>
                </c:pt>
                <c:pt idx="2">
                  <c:v>4.0857545005606403E-7</c:v>
                </c:pt>
                <c:pt idx="3">
                  <c:v>2.931335523260756E-5</c:v>
                </c:pt>
                <c:pt idx="4">
                  <c:v>6.7417515498728673E-4</c:v>
                </c:pt>
                <c:pt idx="5">
                  <c:v>6.0028678035568012E-3</c:v>
                </c:pt>
                <c:pt idx="6">
                  <c:v>2.4058724750173604E-2</c:v>
                </c:pt>
                <c:pt idx="7">
                  <c:v>4.9024161779533067E-2</c:v>
                </c:pt>
                <c:pt idx="8">
                  <c:v>5.6102492608372502E-2</c:v>
                </c:pt>
                <c:pt idx="9">
                  <c:v>3.9140464152421513E-2</c:v>
                </c:pt>
                <c:pt idx="10">
                  <c:v>1.7823213843019738E-2</c:v>
                </c:pt>
                <c:pt idx="11">
                  <c:v>5.6093527215653801E-3</c:v>
                </c:pt>
                <c:pt idx="12">
                  <c:v>1.280513723504407E-3</c:v>
                </c:pt>
                <c:pt idx="13">
                  <c:v>2.2091371478623337E-4</c:v>
                </c:pt>
                <c:pt idx="14">
                  <c:v>2.9830284442140866E-5</c:v>
                </c:pt>
                <c:pt idx="15">
                  <c:v>3.249162919518064E-6</c:v>
                </c:pt>
                <c:pt idx="16">
                  <c:v>2.9299443269233378E-7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CA-754B-B917-126657169956}"/>
            </c:ext>
          </c:extLst>
        </c:ser>
        <c:ser>
          <c:idx val="5"/>
          <c:order val="5"/>
          <c:tx>
            <c:strRef>
              <c:f>CallGkTable!$AM$26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CallGkTable!$AG$27:$AG$43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CallGkTable!$AM$27:$AM$43</c:f>
              <c:numCache>
                <c:formatCode>0.0000</c:formatCode>
                <c:ptCount val="17"/>
                <c:pt idx="0">
                  <c:v>6.60221001258594E-11</c:v>
                </c:pt>
                <c:pt idx="1">
                  <c:v>2.8871903156587547E-8</c:v>
                </c:pt>
                <c:pt idx="2">
                  <c:v>3.1047063387496911E-6</c:v>
                </c:pt>
                <c:pt idx="3">
                  <c:v>1.0617694808839044E-4</c:v>
                </c:pt>
                <c:pt idx="4">
                  <c:v>1.4096380488958426E-3</c:v>
                </c:pt>
                <c:pt idx="5">
                  <c:v>8.5007827825346501E-3</c:v>
                </c:pt>
                <c:pt idx="6">
                  <c:v>2.6396354113062126E-2</c:v>
                </c:pt>
                <c:pt idx="7">
                  <c:v>4.670622857015766E-2</c:v>
                </c:pt>
                <c:pt idx="8">
                  <c:v>5.1156750826999199E-2</c:v>
                </c:pt>
                <c:pt idx="9">
                  <c:v>3.7134472308525492E-2</c:v>
                </c:pt>
                <c:pt idx="10">
                  <c:v>1.8908593172743498E-2</c:v>
                </c:pt>
                <c:pt idx="11">
                  <c:v>7.0830615084530816E-3</c:v>
                </c:pt>
                <c:pt idx="12">
                  <c:v>2.0319475824949755E-3</c:v>
                </c:pt>
                <c:pt idx="13">
                  <c:v>4.6191019586218839E-4</c:v>
                </c:pt>
                <c:pt idx="14">
                  <c:v>8.5668780985105099E-5</c:v>
                </c:pt>
                <c:pt idx="15">
                  <c:v>1.3291938562945938E-5</c:v>
                </c:pt>
                <c:pt idx="16">
                  <c:v>1.762979573893959E-6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CA-754B-B917-126657169956}"/>
            </c:ext>
          </c:extLst>
        </c:ser>
        <c:ser>
          <c:idx val="6"/>
          <c:order val="6"/>
          <c:tx>
            <c:strRef>
              <c:f>CallGkTable!$AN$26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CallGkTable!$AG$27:$AG$43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CallGkTable!$AN$27:$AN$43</c:f>
              <c:numCache>
                <c:formatCode>0.0000</c:formatCode>
                <c:ptCount val="17"/>
                <c:pt idx="0">
                  <c:v>1.3641015888556874E-9</c:v>
                </c:pt>
                <c:pt idx="1">
                  <c:v>2.4319945667214557E-7</c:v>
                </c:pt>
                <c:pt idx="2">
                  <c:v>1.3055468334454288E-5</c:v>
                </c:pt>
                <c:pt idx="3">
                  <c:v>2.630006185665992E-4</c:v>
                </c:pt>
                <c:pt idx="4">
                  <c:v>2.3582196949555518E-3</c:v>
                </c:pt>
                <c:pt idx="5">
                  <c:v>1.0765981199439559E-2</c:v>
                </c:pt>
                <c:pt idx="6">
                  <c:v>2.7859621858699932E-2</c:v>
                </c:pt>
                <c:pt idx="7">
                  <c:v>4.4567221413124185E-2</c:v>
                </c:pt>
                <c:pt idx="8">
                  <c:v>4.7308695923014697E-2</c:v>
                </c:pt>
                <c:pt idx="9">
                  <c:v>3.5328302741473978E-2</c:v>
                </c:pt>
                <c:pt idx="10">
                  <c:v>1.9483332622964509E-2</c:v>
                </c:pt>
                <c:pt idx="11">
                  <c:v>8.2651375479295131E-3</c:v>
                </c:pt>
                <c:pt idx="12">
                  <c:v>2.7913416838140051E-3</c:v>
                </c:pt>
                <c:pt idx="13">
                  <c:v>7.7274142964303336E-4</c:v>
                </c:pt>
                <c:pt idx="14">
                  <c:v>1.797833489515302E-4</c:v>
                </c:pt>
                <c:pt idx="15">
                  <c:v>3.5914215033327016E-5</c:v>
                </c:pt>
                <c:pt idx="16">
                  <c:v>6.275075552985542E-6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CA-754B-B917-126657169956}"/>
            </c:ext>
          </c:extLst>
        </c:ser>
        <c:ser>
          <c:idx val="7"/>
          <c:order val="7"/>
          <c:tx>
            <c:strRef>
              <c:f>CallGkTable!$AO$26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CallGkTable!$AG$27:$AG$43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CallGkTable!$AO$27:$AO$43</c:f>
              <c:numCache>
                <c:formatCode>0.0000</c:formatCode>
                <c:ptCount val="17"/>
                <c:pt idx="0">
                  <c:v>1.309790020055326E-8</c:v>
                </c:pt>
                <c:pt idx="1">
                  <c:v>1.1914200891051552E-6</c:v>
                </c:pt>
                <c:pt idx="2">
                  <c:v>3.7984667450688666E-5</c:v>
                </c:pt>
                <c:pt idx="3">
                  <c:v>5.1450381124671068E-4</c:v>
                </c:pt>
                <c:pt idx="4">
                  <c:v>3.4369932223750682E-3</c:v>
                </c:pt>
                <c:pt idx="5">
                  <c:v>1.2734636942227625E-2</c:v>
                </c:pt>
                <c:pt idx="6">
                  <c:v>2.8743231871235127E-2</c:v>
                </c:pt>
                <c:pt idx="7">
                  <c:v>4.2631739576590874E-2</c:v>
                </c:pt>
                <c:pt idx="8">
                  <c:v>4.4203475996246966E-2</c:v>
                </c:pt>
                <c:pt idx="9">
                  <c:v>3.3718545937390328E-2</c:v>
                </c:pt>
                <c:pt idx="10">
                  <c:v>1.9742547542846395E-2</c:v>
                </c:pt>
                <c:pt idx="11">
                  <c:v>9.19409140342148E-3</c:v>
                </c:pt>
                <c:pt idx="12">
                  <c:v>3.5093388466936421E-3</c:v>
                </c:pt>
                <c:pt idx="13">
                  <c:v>1.1262339391078598E-3</c:v>
                </c:pt>
                <c:pt idx="14">
                  <c:v>3.105857690040662E-4</c:v>
                </c:pt>
                <c:pt idx="15">
                  <c:v>7.4991466396696723E-5</c:v>
                </c:pt>
                <c:pt idx="16">
                  <c:v>1.6111450652008537E-5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4CA-754B-B917-126657169956}"/>
            </c:ext>
          </c:extLst>
        </c:ser>
        <c:ser>
          <c:idx val="8"/>
          <c:order val="8"/>
          <c:tx>
            <c:strRef>
              <c:f>CallGkTable!$AP$26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CallGkTable!$AG$27:$AG$43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CallGkTable!$AP$27:$AP$43</c:f>
              <c:numCache>
                <c:formatCode>0.0000</c:formatCode>
                <c:ptCount val="17"/>
                <c:pt idx="0">
                  <c:v>7.5530633187758507E-8</c:v>
                </c:pt>
                <c:pt idx="1">
                  <c:v>4.070790527191798E-6</c:v>
                </c:pt>
                <c:pt idx="2">
                  <c:v>8.6540937665519226E-5</c:v>
                </c:pt>
                <c:pt idx="3">
                  <c:v>8.6084583659867787E-4</c:v>
                </c:pt>
                <c:pt idx="4">
                  <c:v>4.5738968285542487E-3</c:v>
                </c:pt>
                <c:pt idx="5">
                  <c:v>1.4407206646598534E-2</c:v>
                </c:pt>
                <c:pt idx="6">
                  <c:v>2.9238167534758403E-2</c:v>
                </c:pt>
                <c:pt idx="7">
                  <c:v>4.0888684659269085E-2</c:v>
                </c:pt>
                <c:pt idx="8">
                  <c:v>4.1628578335024279E-2</c:v>
                </c:pt>
                <c:pt idx="9">
                  <c:v>3.2283704705699044E-2</c:v>
                </c:pt>
                <c:pt idx="10">
                  <c:v>1.9803191408745979E-2</c:v>
                </c:pt>
                <c:pt idx="11">
                  <c:v>9.9164315716425786E-3</c:v>
                </c:pt>
                <c:pt idx="12">
                  <c:v>4.1630686520652089E-3</c:v>
                </c:pt>
                <c:pt idx="13">
                  <c:v>1.4987745127806543E-3</c:v>
                </c:pt>
                <c:pt idx="14">
                  <c:v>4.7175720539731353E-4</c:v>
                </c:pt>
                <c:pt idx="15">
                  <c:v>1.3199891273585568E-4</c:v>
                </c:pt>
                <c:pt idx="16">
                  <c:v>3.3305383198972805E-5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4CA-754B-B917-126657169956}"/>
            </c:ext>
          </c:extLst>
        </c:ser>
        <c:ser>
          <c:idx val="9"/>
          <c:order val="9"/>
          <c:tx>
            <c:strRef>
              <c:f>CallGkTable!$AQ$26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CallGkTable!$AG$27:$AG$43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CallGkTable!$AQ$27:$AQ$43</c:f>
              <c:numCache>
                <c:formatCode>0.0000</c:formatCode>
                <c:ptCount val="17"/>
                <c:pt idx="0">
                  <c:v>3.0503159925846771E-7</c:v>
                </c:pt>
                <c:pt idx="1">
                  <c:v>1.0815693509621757E-5</c:v>
                </c:pt>
                <c:pt idx="2">
                  <c:v>1.6626343859570762E-4</c:v>
                </c:pt>
                <c:pt idx="3">
                  <c:v>1.2919311227899846E-3</c:v>
                </c:pt>
                <c:pt idx="4">
                  <c:v>5.7155372876400061E-3</c:v>
                </c:pt>
                <c:pt idx="5">
                  <c:v>1.5810256172317044E-2</c:v>
                </c:pt>
                <c:pt idx="6">
                  <c:v>2.9469063817634214E-2</c:v>
                </c:pt>
                <c:pt idx="7">
                  <c:v>3.931730631905752E-2</c:v>
                </c:pt>
                <c:pt idx="8">
                  <c:v>3.9447933090788895E-2</c:v>
                </c:pt>
                <c:pt idx="9">
                  <c:v>3.0999845988993836E-2</c:v>
                </c:pt>
                <c:pt idx="10">
                  <c:v>1.9737190221859435E-2</c:v>
                </c:pt>
                <c:pt idx="11">
                  <c:v>1.0474112849205516E-2</c:v>
                </c:pt>
                <c:pt idx="12">
                  <c:v>4.7451367772989445E-3</c:v>
                </c:pt>
                <c:pt idx="13">
                  <c:v>1.8728672584138739E-3</c:v>
                </c:pt>
                <c:pt idx="14">
                  <c:v>6.5528870342850616E-4</c:v>
                </c:pt>
                <c:pt idx="15">
                  <c:v>2.063011779914903E-4</c:v>
                </c:pt>
                <c:pt idx="16">
                  <c:v>5.9197424706742854E-5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4CA-754B-B917-126657169956}"/>
            </c:ext>
          </c:extLst>
        </c:ser>
        <c:ser>
          <c:idx val="10"/>
          <c:order val="10"/>
          <c:tx>
            <c:strRef>
              <c:f>CallGkTable!$AR$26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CallGkTable!$AG$27:$AG$43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CallGkTable!$AR$27:$AR$43</c:f>
              <c:numCache>
                <c:formatCode>0.0000</c:formatCode>
                <c:ptCount val="17"/>
                <c:pt idx="0">
                  <c:v>1.4524281869372614E-4</c:v>
                </c:pt>
                <c:pt idx="1">
                  <c:v>7.8252244975754123E-4</c:v>
                </c:pt>
                <c:pt idx="2">
                  <c:v>2.7966437332461501E-3</c:v>
                </c:pt>
                <c:pt idx="3">
                  <c:v>7.1516197776597054E-3</c:v>
                </c:pt>
                <c:pt idx="4">
                  <c:v>1.3876417664915324E-2</c:v>
                </c:pt>
                <c:pt idx="5">
                  <c:v>2.139474487152776E-2</c:v>
                </c:pt>
                <c:pt idx="6">
                  <c:v>2.7195143108108635E-2</c:v>
                </c:pt>
                <c:pt idx="7">
                  <c:v>2.9359502161316497E-2</c:v>
                </c:pt>
                <c:pt idx="8">
                  <c:v>2.7581853166270598E-2</c:v>
                </c:pt>
                <c:pt idx="9">
                  <c:v>2.3004058320651034E-2</c:v>
                </c:pt>
                <c:pt idx="10">
                  <c:v>1.7318613598151577E-2</c:v>
                </c:pt>
                <c:pt idx="11">
                  <c:v>1.1934318929118741E-2</c:v>
                </c:pt>
                <c:pt idx="12">
                  <c:v>7.6165645282489083E-3</c:v>
                </c:pt>
                <c:pt idx="13">
                  <c:v>4.5470245404394495E-3</c:v>
                </c:pt>
                <c:pt idx="14">
                  <c:v>2.5609344709387875E-3</c:v>
                </c:pt>
                <c:pt idx="15">
                  <c:v>1.3707080362701776E-3</c:v>
                </c:pt>
                <c:pt idx="16">
                  <c:v>7.016211594893701E-4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4CA-754B-B917-126657169956}"/>
            </c:ext>
          </c:extLst>
        </c:ser>
        <c:ser>
          <c:idx val="11"/>
          <c:order val="11"/>
          <c:tx>
            <c:strRef>
              <c:f>CallGkTable!$AS$26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CallGkTable!$AG$27:$AG$43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CallGkTable!$AS$27:$AS$43</c:f>
              <c:numCache>
                <c:formatCode>0.0000</c:formatCode>
                <c:ptCount val="17"/>
                <c:pt idx="0">
                  <c:v>1.0316841901525139E-3</c:v>
                </c:pt>
                <c:pt idx="1">
                  <c:v>2.9660589498737315E-3</c:v>
                </c:pt>
                <c:pt idx="2">
                  <c:v>6.5180762218454997E-3</c:v>
                </c:pt>
                <c:pt idx="3">
                  <c:v>1.1507869542832888E-2</c:v>
                </c:pt>
                <c:pt idx="4">
                  <c:v>1.6964964604488354E-2</c:v>
                </c:pt>
                <c:pt idx="5">
                  <c:v>2.1526099405862077E-2</c:v>
                </c:pt>
                <c:pt idx="6">
                  <c:v>2.4084363839664263E-2</c:v>
                </c:pt>
                <c:pt idx="7">
                  <c:v>2.422920467390802E-2</c:v>
                </c:pt>
                <c:pt idx="8">
                  <c:v>2.2268553102305574E-2</c:v>
                </c:pt>
                <c:pt idx="9">
                  <c:v>1.8944723118837964E-2</c:v>
                </c:pt>
                <c:pt idx="10">
                  <c:v>1.5081963394812057E-2</c:v>
                </c:pt>
                <c:pt idx="11">
                  <c:v>1.1338612960202374E-2</c:v>
                </c:pt>
                <c:pt idx="12">
                  <c:v>8.1120649104783824E-3</c:v>
                </c:pt>
                <c:pt idx="13">
                  <c:v>5.5590796015987428E-3</c:v>
                </c:pt>
                <c:pt idx="14">
                  <c:v>3.6693507025244649E-3</c:v>
                </c:pt>
                <c:pt idx="15">
                  <c:v>2.3440212104340022E-3</c:v>
                </c:pt>
                <c:pt idx="16">
                  <c:v>1.4551400495073856E-3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4CA-754B-B917-126657169956}"/>
            </c:ext>
          </c:extLst>
        </c:ser>
        <c:ser>
          <c:idx val="12"/>
          <c:order val="12"/>
          <c:tx>
            <c:strRef>
              <c:f>CallGkTable!$AT$26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CallGkTable!$AG$27:$AG$43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CallGkTable!$AT$27:$AT$43</c:f>
              <c:numCache>
                <c:formatCode>0.0000</c:formatCode>
                <c:ptCount val="17"/>
                <c:pt idx="0">
                  <c:v>2.6204952010288863E-3</c:v>
                </c:pt>
                <c:pt idx="1">
                  <c:v>5.5034091875470377E-3</c:v>
                </c:pt>
                <c:pt idx="2">
                  <c:v>9.4835539632301003E-3</c:v>
                </c:pt>
                <c:pt idx="3">
                  <c:v>1.3912357420204602E-2</c:v>
                </c:pt>
                <c:pt idx="4">
                  <c:v>1.7877273947675215E-2</c:v>
                </c:pt>
                <c:pt idx="5">
                  <c:v>2.0578086869191908E-2</c:v>
                </c:pt>
                <c:pt idx="6">
                  <c:v>2.1600690529166151E-2</c:v>
                </c:pt>
                <c:pt idx="7">
                  <c:v>2.0977075164115507E-2</c:v>
                </c:pt>
                <c:pt idx="8">
                  <c:v>1.9069390773026208E-2</c:v>
                </c:pt>
                <c:pt idx="9">
                  <c:v>1.6384783361470954E-2</c:v>
                </c:pt>
                <c:pt idx="10">
                  <c:v>1.3413459498534529E-2</c:v>
                </c:pt>
                <c:pt idx="11">
                  <c:v>1.053298866360371E-2</c:v>
                </c:pt>
                <c:pt idx="12">
                  <c:v>7.9786259054980633E-3</c:v>
                </c:pt>
                <c:pt idx="13">
                  <c:v>5.8580251271742132E-3</c:v>
                </c:pt>
                <c:pt idx="14">
                  <c:v>4.1859606357164706E-3</c:v>
                </c:pt>
                <c:pt idx="15">
                  <c:v>2.9213283025393976E-3</c:v>
                </c:pt>
                <c:pt idx="16">
                  <c:v>1.9971762450752021E-3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4CA-754B-B917-126657169956}"/>
            </c:ext>
          </c:extLst>
        </c:ser>
        <c:ser>
          <c:idx val="13"/>
          <c:order val="13"/>
          <c:tx>
            <c:strRef>
              <c:f>CallGkTable!$AU$26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CallGkTable!$AG$27:$AG$43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CallGkTable!$AU$27:$AU$43</c:f>
              <c:numCache>
                <c:formatCode>0.0000</c:formatCode>
                <c:ptCount val="17"/>
                <c:pt idx="0">
                  <c:v>4.4499754398238511E-3</c:v>
                </c:pt>
                <c:pt idx="1">
                  <c:v>7.7406121902881759E-3</c:v>
                </c:pt>
                <c:pt idx="2">
                  <c:v>1.1528012005023357E-2</c:v>
                </c:pt>
                <c:pt idx="3">
                  <c:v>1.5132702486471092E-2</c:v>
                </c:pt>
                <c:pt idx="4">
                  <c:v>1.7906989830010486E-2</c:v>
                </c:pt>
                <c:pt idx="5">
                  <c:v>1.9442006249843848E-2</c:v>
                </c:pt>
                <c:pt idx="6">
                  <c:v>1.9641714650531644E-2</c:v>
                </c:pt>
                <c:pt idx="7">
                  <c:v>1.8675003380643759E-2</c:v>
                </c:pt>
                <c:pt idx="8">
                  <c:v>1.6865374880276125E-2</c:v>
                </c:pt>
                <c:pt idx="9">
                  <c:v>1.457754724330231E-2</c:v>
                </c:pt>
                <c:pt idx="10">
                  <c:v>1.2135644435772964E-2</c:v>
                </c:pt>
                <c:pt idx="11">
                  <c:v>9.7818031211006854E-3</c:v>
                </c:pt>
                <c:pt idx="12">
                  <c:v>7.6679346587994893E-3</c:v>
                </c:pt>
                <c:pt idx="13">
                  <c:v>5.8677624274978352E-3</c:v>
                </c:pt>
                <c:pt idx="14">
                  <c:v>4.3973494544828021E-3</c:v>
                </c:pt>
                <c:pt idx="15">
                  <c:v>3.2361150487909911E-3</c:v>
                </c:pt>
                <c:pt idx="16">
                  <c:v>2.3442052804045392E-3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4CA-754B-B917-126657169956}"/>
            </c:ext>
          </c:extLst>
        </c:ser>
        <c:bandFmts>
          <c:bandFmt>
            <c:idx val="0"/>
            <c:spPr>
              <a:solidFill>
                <a:schemeClr val="accent1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"/>
                </a:schemeClr>
              </a:solidFill>
              <a:ln/>
              <a:effectLst/>
              <a:sp3d/>
            </c:spPr>
          </c:bandFmt>
        </c:bandFmts>
        <c:axId val="1643147520"/>
        <c:axId val="1643138560"/>
        <c:axId val="1636395520"/>
      </c:surface3DChart>
      <c:catAx>
        <c:axId val="1643147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138560"/>
        <c:crosses val="autoZero"/>
        <c:auto val="1"/>
        <c:lblAlgn val="ctr"/>
        <c:lblOffset val="100"/>
        <c:noMultiLvlLbl val="0"/>
      </c:catAx>
      <c:valAx>
        <c:axId val="1643138560"/>
        <c:scaling>
          <c:orientation val="minMax"/>
          <c:max val="0.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147520"/>
        <c:crosses val="autoZero"/>
        <c:crossBetween val="midCat"/>
      </c:valAx>
      <c:serAx>
        <c:axId val="163639552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138560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</a:t>
            </a:r>
            <a:r>
              <a:rPr lang="en-US" baseline="0"/>
              <a:t> - 20%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CallGkTable!$B$46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CallGkTable!$A$47:$A$63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CallGkTable!$B$47:$B$63</c:f>
              <c:numCache>
                <c:formatCode>0.0000</c:formatCode>
                <c:ptCount val="17"/>
                <c:pt idx="0">
                  <c:v>-2.0824866053344973E-16</c:v>
                </c:pt>
                <c:pt idx="1">
                  <c:v>-2.6248667904048782E-12</c:v>
                </c:pt>
                <c:pt idx="2">
                  <c:v>-3.9404830525703291E-9</c:v>
                </c:pt>
                <c:pt idx="3">
                  <c:v>-1.0397680648206159E-6</c:v>
                </c:pt>
                <c:pt idx="4">
                  <c:v>-6.5223093214192003E-5</c:v>
                </c:pt>
                <c:pt idx="5">
                  <c:v>-1.2340908727128783E-3</c:v>
                </c:pt>
                <c:pt idx="6">
                  <c:v>-8.5225200993906177E-3</c:v>
                </c:pt>
                <c:pt idx="7">
                  <c:v>-2.5090681011235433E-2</c:v>
                </c:pt>
                <c:pt idx="8">
                  <c:v>-3.5875827276340713E-2</c:v>
                </c:pt>
                <c:pt idx="9">
                  <c:v>-2.8074920944821145E-2</c:v>
                </c:pt>
                <c:pt idx="10">
                  <c:v>-1.390982216942876E-2</c:v>
                </c:pt>
                <c:pt idx="11">
                  <c:v>-5.8093284971568572E-3</c:v>
                </c:pt>
                <c:pt idx="12">
                  <c:v>-3.2980350877409507E-3</c:v>
                </c:pt>
                <c:pt idx="13">
                  <c:v>-2.8086986391150509E-3</c:v>
                </c:pt>
                <c:pt idx="14">
                  <c:v>-2.7436959995603759E-3</c:v>
                </c:pt>
                <c:pt idx="15">
                  <c:v>-2.7374648639591839E-3</c:v>
                </c:pt>
                <c:pt idx="16">
                  <c:v>-2.7370143482358727E-3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66-CC4F-8414-34D5DD90797C}"/>
            </c:ext>
          </c:extLst>
        </c:ser>
        <c:ser>
          <c:idx val="1"/>
          <c:order val="1"/>
          <c:tx>
            <c:strRef>
              <c:f>CallGkTable!$C$46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CallGkTable!$A$47:$A$63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CallGkTable!$C$47:$C$63</c:f>
              <c:numCache>
                <c:formatCode>0.0000</c:formatCode>
                <c:ptCount val="17"/>
                <c:pt idx="0">
                  <c:v>-1.7867609363612641E-9</c:v>
                </c:pt>
                <c:pt idx="1">
                  <c:v>-2.0280984836933173E-7</c:v>
                </c:pt>
                <c:pt idx="2">
                  <c:v>-7.9406924481039188E-6</c:v>
                </c:pt>
                <c:pt idx="3">
                  <c:v>-1.3031085671558085E-4</c:v>
                </c:pt>
                <c:pt idx="4">
                  <c:v>-1.04263926294409E-3</c:v>
                </c:pt>
                <c:pt idx="5">
                  <c:v>-4.5832538113903584E-3</c:v>
                </c:pt>
                <c:pt idx="6">
                  <c:v>-1.2182280442978789E-2</c:v>
                </c:pt>
                <c:pt idx="7">
                  <c:v>-2.1177711703521652E-2</c:v>
                </c:pt>
                <c:pt idx="8">
                  <c:v>-2.5727864909208493E-2</c:v>
                </c:pt>
                <c:pt idx="9">
                  <c:v>-2.3184753682297981E-2</c:v>
                </c:pt>
                <c:pt idx="10">
                  <c:v>-1.648317141010695E-2</c:v>
                </c:pt>
                <c:pt idx="11">
                  <c:v>-1.0014379216774616E-2</c:v>
                </c:pt>
                <c:pt idx="12">
                  <c:v>-5.8706418488279595E-3</c:v>
                </c:pt>
                <c:pt idx="13">
                  <c:v>-3.8635314166789309E-3</c:v>
                </c:pt>
                <c:pt idx="14">
                  <c:v>-3.0818546636658525E-3</c:v>
                </c:pt>
                <c:pt idx="15">
                  <c:v>-2.8275045728677456E-3</c:v>
                </c:pt>
                <c:pt idx="16">
                  <c:v>-2.7564210044982709E-3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66-CC4F-8414-34D5DD90797C}"/>
            </c:ext>
          </c:extLst>
        </c:ser>
        <c:ser>
          <c:idx val="2"/>
          <c:order val="2"/>
          <c:tx>
            <c:strRef>
              <c:f>CallGkTable!$D$46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CallGkTable!$A$47:$A$63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CallGkTable!$D$47:$D$63</c:f>
              <c:numCache>
                <c:formatCode>0.0000</c:formatCode>
                <c:ptCount val="17"/>
                <c:pt idx="0">
                  <c:v>-3.3577670640289775E-7</c:v>
                </c:pt>
                <c:pt idx="1">
                  <c:v>-7.9321511715336071E-6</c:v>
                </c:pt>
                <c:pt idx="2">
                  <c:v>-9.2140485212822363E-5</c:v>
                </c:pt>
                <c:pt idx="3">
                  <c:v>-5.993780673149658E-4</c:v>
                </c:pt>
                <c:pt idx="4">
                  <c:v>-2.4154996273794377E-3</c:v>
                </c:pt>
                <c:pt idx="5">
                  <c:v>-6.5319029442229863E-3</c:v>
                </c:pt>
                <c:pt idx="6">
                  <c:v>-1.2638171987152169E-2</c:v>
                </c:pt>
                <c:pt idx="7">
                  <c:v>-1.8442912923839441E-2</c:v>
                </c:pt>
                <c:pt idx="8">
                  <c:v>-2.1223907267268489E-2</c:v>
                </c:pt>
                <c:pt idx="9">
                  <c:v>-2.0039403437062873E-2</c:v>
                </c:pt>
                <c:pt idx="10">
                  <c:v>-1.6135498223984423E-2</c:v>
                </c:pt>
                <c:pt idx="11">
                  <c:v>-1.156850523739634E-2</c:v>
                </c:pt>
                <c:pt idx="12">
                  <c:v>-7.8030659645640281E-3</c:v>
                </c:pt>
                <c:pt idx="13">
                  <c:v>-5.3118725073616826E-3</c:v>
                </c:pt>
                <c:pt idx="14">
                  <c:v>-3.9133995405080764E-3</c:v>
                </c:pt>
                <c:pt idx="15">
                  <c:v>-3.2252351948221249E-3</c:v>
                </c:pt>
                <c:pt idx="16">
                  <c:v>-2.9217319094192152E-3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66-CC4F-8414-34D5DD90797C}"/>
            </c:ext>
          </c:extLst>
        </c:ser>
        <c:ser>
          <c:idx val="3"/>
          <c:order val="3"/>
          <c:tx>
            <c:strRef>
              <c:f>CallGkTable!$E$46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CallGkTable!$A$47:$A$63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CallGkTable!$E$47:$E$63</c:f>
              <c:numCache>
                <c:formatCode>0.0000</c:formatCode>
                <c:ptCount val="17"/>
                <c:pt idx="0">
                  <c:v>-4.4165655198783056E-6</c:v>
                </c:pt>
                <c:pt idx="1">
                  <c:v>-4.7608365958502972E-5</c:v>
                </c:pt>
                <c:pt idx="2">
                  <c:v>-3.0130195547792748E-4</c:v>
                </c:pt>
                <c:pt idx="3">
                  <c:v>-1.234372742904436E-3</c:v>
                </c:pt>
                <c:pt idx="4">
                  <c:v>-3.5316160394163161E-3</c:v>
                </c:pt>
                <c:pt idx="5">
                  <c:v>-7.4930015931228408E-3</c:v>
                </c:pt>
                <c:pt idx="6">
                  <c:v>-1.2373426930014801E-2</c:v>
                </c:pt>
                <c:pt idx="7">
                  <c:v>-1.6547567498754214E-2</c:v>
                </c:pt>
                <c:pt idx="8">
                  <c:v>-1.8534111296167922E-2</c:v>
                </c:pt>
                <c:pt idx="9">
                  <c:v>-1.7908730655282385E-2</c:v>
                </c:pt>
                <c:pt idx="10">
                  <c:v>-1.5351647729673085E-2</c:v>
                </c:pt>
                <c:pt idx="11">
                  <c:v>-1.2018696753959566E-2</c:v>
                </c:pt>
                <c:pt idx="12">
                  <c:v>-8.8845768479806544E-3</c:v>
                </c:pt>
                <c:pt idx="13">
                  <c:v>-6.4531026694396396E-3</c:v>
                </c:pt>
                <c:pt idx="14">
                  <c:v>-4.810237743250987E-3</c:v>
                </c:pt>
                <c:pt idx="15">
                  <c:v>-3.81404713846089E-3</c:v>
                </c:pt>
                <c:pt idx="16">
                  <c:v>-3.2611666304648876E-3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66-CC4F-8414-34D5DD90797C}"/>
            </c:ext>
          </c:extLst>
        </c:ser>
        <c:ser>
          <c:idx val="4"/>
          <c:order val="4"/>
          <c:tx>
            <c:strRef>
              <c:f>CallGkTable!$F$46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CallGkTable!$A$47:$A$63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CallGkTable!$F$47:$F$63</c:f>
              <c:numCache>
                <c:formatCode>0.0000</c:formatCode>
                <c:ptCount val="17"/>
                <c:pt idx="0">
                  <c:v>-2.0225469566983438E-5</c:v>
                </c:pt>
                <c:pt idx="1">
                  <c:v>-1.3618275715220169E-4</c:v>
                </c:pt>
                <c:pt idx="2">
                  <c:v>-5.9878975718341467E-4</c:v>
                </c:pt>
                <c:pt idx="3">
                  <c:v>-1.8591772491187446E-3</c:v>
                </c:pt>
                <c:pt idx="4">
                  <c:v>-4.3318309302801308E-3</c:v>
                </c:pt>
                <c:pt idx="5">
                  <c:v>-7.9475655930915743E-3</c:v>
                </c:pt>
                <c:pt idx="6">
                  <c:v>-1.1936056934393839E-2</c:v>
                </c:pt>
                <c:pt idx="7">
                  <c:v>-1.514999977264072E-2</c:v>
                </c:pt>
                <c:pt idx="8">
                  <c:v>-1.669513433372764E-2</c:v>
                </c:pt>
                <c:pt idx="9">
                  <c:v>-1.6354709222323478E-2</c:v>
                </c:pt>
                <c:pt idx="10">
                  <c:v>-1.4556288444781545E-2</c:v>
                </c:pt>
                <c:pt idx="11">
                  <c:v>-1.2029245712727305E-2</c:v>
                </c:pt>
                <c:pt idx="12">
                  <c:v>-9.447633656340923E-3</c:v>
                </c:pt>
                <c:pt idx="13">
                  <c:v>-7.2390136516966219E-3</c:v>
                </c:pt>
                <c:pt idx="14">
                  <c:v>-5.5686625985322188E-3</c:v>
                </c:pt>
                <c:pt idx="15">
                  <c:v>-4.4192724971741145E-3</c:v>
                </c:pt>
                <c:pt idx="16">
                  <c:v>-3.686374204713105E-3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66-CC4F-8414-34D5DD90797C}"/>
            </c:ext>
          </c:extLst>
        </c:ser>
        <c:ser>
          <c:idx val="5"/>
          <c:order val="5"/>
          <c:tx>
            <c:strRef>
              <c:f>CallGkTable!$G$46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CallGkTable!$A$47:$A$63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CallGkTable!$G$47:$G$63</c:f>
              <c:numCache>
                <c:formatCode>0.0000</c:formatCode>
                <c:ptCount val="17"/>
                <c:pt idx="0">
                  <c:v>-5.4883488636290314E-5</c:v>
                </c:pt>
                <c:pt idx="1">
                  <c:v>-2.7006423463393574E-4</c:v>
                </c:pt>
                <c:pt idx="2">
                  <c:v>-9.3160424169297287E-4</c:v>
                </c:pt>
                <c:pt idx="3">
                  <c:v>-2.4047647486842693E-3</c:v>
                </c:pt>
                <c:pt idx="4">
                  <c:v>-4.886901600014427E-3</c:v>
                </c:pt>
                <c:pt idx="5">
                  <c:v>-8.1390639478204456E-3</c:v>
                </c:pt>
                <c:pt idx="6">
                  <c:v>-1.147563848433512E-2</c:v>
                </c:pt>
                <c:pt idx="7">
                  <c:v>-1.4067784566544894E-2</c:v>
                </c:pt>
                <c:pt idx="8">
                  <c:v>-1.5335148941544155E-2</c:v>
                </c:pt>
                <c:pt idx="9">
                  <c:v>-1.5159089366178049E-2</c:v>
                </c:pt>
                <c:pt idx="10">
                  <c:v>-1.3833641759089228E-2</c:v>
                </c:pt>
                <c:pt idx="11">
                  <c:v>-1.1856769750037936E-2</c:v>
                </c:pt>
                <c:pt idx="12">
                  <c:v>-9.7151881833420998E-3</c:v>
                </c:pt>
                <c:pt idx="13">
                  <c:v>-7.7560265365973144E-3</c:v>
                </c:pt>
                <c:pt idx="14">
                  <c:v>-6.1568434917161751E-3</c:v>
                </c:pt>
                <c:pt idx="15">
                  <c:v>-4.9586398490184137E-3</c:v>
                </c:pt>
                <c:pt idx="16">
                  <c:v>-4.1200040547638827E-3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66-CC4F-8414-34D5DD90797C}"/>
            </c:ext>
          </c:extLst>
        </c:ser>
        <c:ser>
          <c:idx val="6"/>
          <c:order val="6"/>
          <c:tx>
            <c:strRef>
              <c:f>CallGkTable!$H$46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CallGkTable!$A$47:$A$63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CallGkTable!$H$47:$H$63</c:f>
              <c:numCache>
                <c:formatCode>0.0000</c:formatCode>
                <c:ptCount val="17"/>
                <c:pt idx="0">
                  <c:v>-1.1070154935860708E-4</c:v>
                </c:pt>
                <c:pt idx="1">
                  <c:v>-4.3544627319080459E-4</c:v>
                </c:pt>
                <c:pt idx="2">
                  <c:v>-1.2631773869274511E-3</c:v>
                </c:pt>
                <c:pt idx="3">
                  <c:v>-2.8579845943357499E-3</c:v>
                </c:pt>
                <c:pt idx="4">
                  <c:v>-5.2679667427073381E-3</c:v>
                </c:pt>
                <c:pt idx="5">
                  <c:v>-8.1885639235653052E-3</c:v>
                </c:pt>
                <c:pt idx="6">
                  <c:v>-1.1037011543744302E-2</c:v>
                </c:pt>
                <c:pt idx="7">
                  <c:v>-1.3198563756395726E-2</c:v>
                </c:pt>
                <c:pt idx="8">
                  <c:v>-1.4276203035492702E-2</c:v>
                </c:pt>
                <c:pt idx="9">
                  <c:v>-1.420289106003131E-2</c:v>
                </c:pt>
                <c:pt idx="10">
                  <c:v>-1.3193788050821954E-2</c:v>
                </c:pt>
                <c:pt idx="11">
                  <c:v>-1.1608721153305197E-2</c:v>
                </c:pt>
                <c:pt idx="12">
                  <c:v>-9.8125531154694967E-3</c:v>
                </c:pt>
                <c:pt idx="13">
                  <c:v>-8.0860834412880053E-3</c:v>
                </c:pt>
                <c:pt idx="14">
                  <c:v>-6.5964348968812194E-3</c:v>
                </c:pt>
                <c:pt idx="15">
                  <c:v>-5.4095217113988795E-3</c:v>
                </c:pt>
                <c:pt idx="16">
                  <c:v>-4.5211713226629988E-3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66-CC4F-8414-34D5DD90797C}"/>
            </c:ext>
          </c:extLst>
        </c:ser>
        <c:ser>
          <c:idx val="7"/>
          <c:order val="7"/>
          <c:tx>
            <c:strRef>
              <c:f>CallGkTable!$I$46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CallGkTable!$A$47:$A$63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CallGkTable!$I$47:$I$63</c:f>
              <c:numCache>
                <c:formatCode>0.0000</c:formatCode>
                <c:ptCount val="17"/>
                <c:pt idx="0">
                  <c:v>-1.8577586836861511E-4</c:v>
                </c:pt>
                <c:pt idx="1">
                  <c:v>-6.1782905440109861E-4</c:v>
                </c:pt>
                <c:pt idx="2">
                  <c:v>-1.5740008656708259E-3</c:v>
                </c:pt>
                <c:pt idx="3">
                  <c:v>-3.2262609285481081E-3</c:v>
                </c:pt>
                <c:pt idx="4">
                  <c:v>-5.5275294956448687E-3</c:v>
                </c:pt>
                <c:pt idx="5">
                  <c:v>-8.1590863415906198E-3</c:v>
                </c:pt>
                <c:pt idx="6">
                  <c:v>-1.0632526316781011E-2</c:v>
                </c:pt>
                <c:pt idx="7">
                  <c:v>-1.2480713076671431E-2</c:v>
                </c:pt>
                <c:pt idx="8">
                  <c:v>-1.3421014724204781E-2</c:v>
                </c:pt>
                <c:pt idx="9">
                  <c:v>-1.3415625508928622E-2</c:v>
                </c:pt>
                <c:pt idx="10">
                  <c:v>-1.2629283718799435E-2</c:v>
                </c:pt>
                <c:pt idx="11">
                  <c:v>-1.1333353730275371E-2</c:v>
                </c:pt>
                <c:pt idx="12">
                  <c:v>-9.810007551742092E-3</c:v>
                </c:pt>
                <c:pt idx="13">
                  <c:v>-8.2882651691811981E-3</c:v>
                </c:pt>
                <c:pt idx="14">
                  <c:v>-6.9182826327776259E-3</c:v>
                </c:pt>
                <c:pt idx="15">
                  <c:v>-5.7745305581735906E-3</c:v>
                </c:pt>
                <c:pt idx="16">
                  <c:v>-4.8739454367226027E-3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66-CC4F-8414-34D5DD90797C}"/>
            </c:ext>
          </c:extLst>
        </c:ser>
        <c:ser>
          <c:idx val="8"/>
          <c:order val="8"/>
          <c:tx>
            <c:strRef>
              <c:f>CallGkTable!$J$46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CallGkTable!$A$47:$A$63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CallGkTable!$J$47:$J$63</c:f>
              <c:numCache>
                <c:formatCode>0.0000</c:formatCode>
                <c:ptCount val="17"/>
                <c:pt idx="0">
                  <c:v>-2.7605758779448086E-4</c:v>
                </c:pt>
                <c:pt idx="1">
                  <c:v>-8.05754417427621E-4</c:v>
                </c:pt>
                <c:pt idx="2">
                  <c:v>-1.8556840243722011E-3</c:v>
                </c:pt>
                <c:pt idx="3">
                  <c:v>-3.5225471584751748E-3</c:v>
                </c:pt>
                <c:pt idx="4">
                  <c:v>-5.7018629445087735E-3</c:v>
                </c:pt>
                <c:pt idx="5">
                  <c:v>-8.0850577561104031E-3</c:v>
                </c:pt>
                <c:pt idx="6">
                  <c:v>-1.026357015616315E-2</c:v>
                </c:pt>
                <c:pt idx="7">
                  <c:v>-1.187483186946591E-2</c:v>
                </c:pt>
                <c:pt idx="8">
                  <c:v>-1.2711318100461775E-2</c:v>
                </c:pt>
                <c:pt idx="9">
                  <c:v>-1.2752687748023357E-2</c:v>
                </c:pt>
                <c:pt idx="10">
                  <c:v>-1.2129489096126657E-2</c:v>
                </c:pt>
                <c:pt idx="11">
                  <c:v>-1.1053299709237146E-2</c:v>
                </c:pt>
                <c:pt idx="12">
                  <c:v>-9.7480496592227111E-3</c:v>
                </c:pt>
                <c:pt idx="13">
                  <c:v>-8.4027176497207048E-3</c:v>
                </c:pt>
                <c:pt idx="14">
                  <c:v>-7.1498751882786288E-3</c:v>
                </c:pt>
                <c:pt idx="15">
                  <c:v>-6.0646568044938082E-3</c:v>
                </c:pt>
                <c:pt idx="16">
                  <c:v>-5.1754408148985426E-3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66-CC4F-8414-34D5DD90797C}"/>
            </c:ext>
          </c:extLst>
        </c:ser>
        <c:ser>
          <c:idx val="9"/>
          <c:order val="9"/>
          <c:tx>
            <c:strRef>
              <c:f>CallGkTable!$K$46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CallGkTable!$A$47:$A$63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CallGkTable!$K$47:$K$63</c:f>
              <c:numCache>
                <c:formatCode>0.0000</c:formatCode>
                <c:ptCount val="17"/>
                <c:pt idx="0">
                  <c:v>-3.769889628874361E-4</c:v>
                </c:pt>
                <c:pt idx="1">
                  <c:v>-9.9131500388700139E-4</c:v>
                </c:pt>
                <c:pt idx="2">
                  <c:v>-2.1060358663825911E-3</c:v>
                </c:pt>
                <c:pt idx="3">
                  <c:v>-3.759806700945569E-3</c:v>
                </c:pt>
                <c:pt idx="4">
                  <c:v>-5.8157635441449815E-3</c:v>
                </c:pt>
                <c:pt idx="5">
                  <c:v>-7.9860677844929145E-3</c:v>
                </c:pt>
                <c:pt idx="6">
                  <c:v>-9.9278329449124271E-3</c:v>
                </c:pt>
                <c:pt idx="7">
                  <c:v>-1.135446597700572E-2</c:v>
                </c:pt>
                <c:pt idx="8">
                  <c:v>-1.2109802231638456E-2</c:v>
                </c:pt>
                <c:pt idx="9">
                  <c:v>-1.2184345158928892E-2</c:v>
                </c:pt>
                <c:pt idx="10">
                  <c:v>-1.1684376613609134E-2</c:v>
                </c:pt>
                <c:pt idx="11">
                  <c:v>-1.0779311000986972E-2</c:v>
                </c:pt>
                <c:pt idx="12">
                  <c:v>-9.6507315410033576E-3</c:v>
                </c:pt>
                <c:pt idx="13">
                  <c:v>-8.4564873480231853E-3</c:v>
                </c:pt>
                <c:pt idx="14">
                  <c:v>-7.3129897318548022E-3</c:v>
                </c:pt>
                <c:pt idx="15">
                  <c:v>-6.2923558653274125E-3</c:v>
                </c:pt>
                <c:pt idx="16">
                  <c:v>-5.4286855774456962E-3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66-CC4F-8414-34D5DD90797C}"/>
            </c:ext>
          </c:extLst>
        </c:ser>
        <c:ser>
          <c:idx val="10"/>
          <c:order val="10"/>
          <c:tx>
            <c:strRef>
              <c:f>CallGkTable!$L$46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CallGkTable!$A$47:$A$63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CallGkTable!$L$47:$L$63</c:f>
              <c:numCache>
                <c:formatCode>0.0000</c:formatCode>
                <c:ptCount val="17"/>
                <c:pt idx="0">
                  <c:v>-1.3832148881930423E-3</c:v>
                </c:pt>
                <c:pt idx="1">
                  <c:v>-2.2764255882806923E-3</c:v>
                </c:pt>
                <c:pt idx="2">
                  <c:v>-3.3666522687759771E-3</c:v>
                </c:pt>
                <c:pt idx="3">
                  <c:v>-4.5638212258901963E-3</c:v>
                </c:pt>
                <c:pt idx="4">
                  <c:v>-5.7590243652999194E-3</c:v>
                </c:pt>
                <c:pt idx="5">
                  <c:v>-6.8481909180574509E-3</c:v>
                </c:pt>
                <c:pt idx="6">
                  <c:v>-7.7498814871130887E-3</c:v>
                </c:pt>
                <c:pt idx="7">
                  <c:v>-8.4142414389325373E-3</c:v>
                </c:pt>
                <c:pt idx="8">
                  <c:v>-8.8237172174144684E-3</c:v>
                </c:pt>
                <c:pt idx="9">
                  <c:v>-8.988044959698278E-3</c:v>
                </c:pt>
                <c:pt idx="10">
                  <c:v>-8.9364167225769418E-3</c:v>
                </c:pt>
                <c:pt idx="11">
                  <c:v>-8.7092091503845927E-3</c:v>
                </c:pt>
                <c:pt idx="12">
                  <c:v>-8.350801728961613E-3</c:v>
                </c:pt>
                <c:pt idx="13">
                  <c:v>-7.9041967874178519E-3</c:v>
                </c:pt>
                <c:pt idx="14">
                  <c:v>-7.4075538194628169E-3</c:v>
                </c:pt>
                <c:pt idx="15">
                  <c:v>-6.8923957750537902E-3</c:v>
                </c:pt>
                <c:pt idx="16">
                  <c:v>-6.383090959449147E-3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66-CC4F-8414-34D5DD90797C}"/>
            </c:ext>
          </c:extLst>
        </c:ser>
        <c:ser>
          <c:idx val="11"/>
          <c:order val="11"/>
          <c:tx>
            <c:strRef>
              <c:f>CallGkTable!$M$46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CallGkTable!$A$47:$A$63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CallGkTable!$M$47:$M$63</c:f>
              <c:numCache>
                <c:formatCode>0.0000</c:formatCode>
                <c:ptCount val="17"/>
                <c:pt idx="0">
                  <c:v>-1.9677685366328093E-3</c:v>
                </c:pt>
                <c:pt idx="1">
                  <c:v>-2.7721439412935855E-3</c:v>
                </c:pt>
                <c:pt idx="2">
                  <c:v>-3.635864637664292E-3</c:v>
                </c:pt>
                <c:pt idx="3">
                  <c:v>-4.4990305615206011E-3</c:v>
                </c:pt>
                <c:pt idx="4">
                  <c:v>-5.3069289492333055E-3</c:v>
                </c:pt>
                <c:pt idx="5">
                  <c:v>-6.0164633372898138E-3</c:v>
                </c:pt>
                <c:pt idx="6">
                  <c:v>-6.5989959231561226E-3</c:v>
                </c:pt>
                <c:pt idx="7">
                  <c:v>-7.0402965731493055E-3</c:v>
                </c:pt>
                <c:pt idx="8">
                  <c:v>-7.3386071640610647E-3</c:v>
                </c:pt>
                <c:pt idx="9">
                  <c:v>-7.5017763946196806E-3</c:v>
                </c:pt>
                <c:pt idx="10">
                  <c:v>-7.5441944644311183E-3</c:v>
                </c:pt>
                <c:pt idx="11">
                  <c:v>-7.4839946665865523E-3</c:v>
                </c:pt>
                <c:pt idx="12">
                  <c:v>-7.3407620671237187E-3</c:v>
                </c:pt>
                <c:pt idx="13">
                  <c:v>-7.133824230908652E-3</c:v>
                </c:pt>
                <c:pt idx="14">
                  <c:v>-6.8810951640177172E-3</c:v>
                </c:pt>
                <c:pt idx="15">
                  <c:v>-6.5983892910574807E-3</c:v>
                </c:pt>
                <c:pt idx="16">
                  <c:v>-6.2991025416910826E-3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66-CC4F-8414-34D5DD90797C}"/>
            </c:ext>
          </c:extLst>
        </c:ser>
        <c:ser>
          <c:idx val="12"/>
          <c:order val="12"/>
          <c:tx>
            <c:strRef>
              <c:f>CallGkTable!$N$46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CallGkTable!$A$47:$A$63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CallGkTable!$N$47:$N$63</c:f>
              <c:numCache>
                <c:formatCode>0.0000</c:formatCode>
                <c:ptCount val="17"/>
                <c:pt idx="0">
                  <c:v>-2.2561687563191169E-3</c:v>
                </c:pt>
                <c:pt idx="1">
                  <c:v>-2.941578372976773E-3</c:v>
                </c:pt>
                <c:pt idx="2">
                  <c:v>-3.6341149755855307E-3</c:v>
                </c:pt>
                <c:pt idx="3">
                  <c:v>-4.2970851982288083E-3</c:v>
                </c:pt>
                <c:pt idx="4">
                  <c:v>-4.9010750454576753E-3</c:v>
                </c:pt>
                <c:pt idx="5">
                  <c:v>-5.425385421020462E-3</c:v>
                </c:pt>
                <c:pt idx="6">
                  <c:v>-5.8579384639842105E-3</c:v>
                </c:pt>
                <c:pt idx="7">
                  <c:v>-6.194227730312701E-3</c:v>
                </c:pt>
                <c:pt idx="8">
                  <c:v>-6.4358017299691378E-3</c:v>
                </c:pt>
                <c:pt idx="9">
                  <c:v>-6.5886360410569323E-3</c:v>
                </c:pt>
                <c:pt idx="10">
                  <c:v>-6.6616174157512111E-3</c:v>
                </c:pt>
                <c:pt idx="11">
                  <c:v>-6.6652572065179555E-3</c:v>
                </c:pt>
                <c:pt idx="12">
                  <c:v>-6.6106764762045777E-3</c:v>
                </c:pt>
                <c:pt idx="13">
                  <c:v>-6.5088579908130937E-3</c:v>
                </c:pt>
                <c:pt idx="14">
                  <c:v>-6.3701345022254621E-3</c:v>
                </c:pt>
                <c:pt idx="15">
                  <c:v>-6.2038717217347446E-3</c:v>
                </c:pt>
                <c:pt idx="16">
                  <c:v>-6.0183026684676438E-3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466-CC4F-8414-34D5DD90797C}"/>
            </c:ext>
          </c:extLst>
        </c:ser>
        <c:ser>
          <c:idx val="13"/>
          <c:order val="13"/>
          <c:tx>
            <c:strRef>
              <c:f>CallGkTable!$O$46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CallGkTable!$A$47:$A$63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CallGkTable!$O$47:$O$63</c:f>
              <c:numCache>
                <c:formatCode>0.0000</c:formatCode>
                <c:ptCount val="17"/>
                <c:pt idx="0">
                  <c:v>-2.3914141658243899E-3</c:v>
                </c:pt>
                <c:pt idx="1">
                  <c:v>-2.9767508290865787E-3</c:v>
                </c:pt>
                <c:pt idx="2">
                  <c:v>-3.5482817080170629E-3</c:v>
                </c:pt>
                <c:pt idx="3">
                  <c:v>-4.0829616890457558E-3</c:v>
                </c:pt>
                <c:pt idx="4">
                  <c:v>-4.5638685371750436E-3</c:v>
                </c:pt>
                <c:pt idx="5">
                  <c:v>-4.9801516860839574E-3</c:v>
                </c:pt>
                <c:pt idx="6">
                  <c:v>-5.3263546065456507E-3</c:v>
                </c:pt>
                <c:pt idx="7">
                  <c:v>-5.6014346113472564E-3</c:v>
                </c:pt>
                <c:pt idx="8">
                  <c:v>-5.8077058687701147E-3</c:v>
                </c:pt>
                <c:pt idx="9">
                  <c:v>-5.9498445110405746E-3</c:v>
                </c:pt>
                <c:pt idx="10">
                  <c:v>-6.0340286019448528E-3</c:v>
                </c:pt>
                <c:pt idx="11">
                  <c:v>-6.0672405076638474E-3</c:v>
                </c:pt>
                <c:pt idx="12">
                  <c:v>-6.0567311998251843E-3</c:v>
                </c:pt>
                <c:pt idx="13">
                  <c:v>-6.0096306381540324E-3</c:v>
                </c:pt>
                <c:pt idx="14">
                  <c:v>-5.93268151671765E-3</c:v>
                </c:pt>
                <c:pt idx="15">
                  <c:v>-5.8320720963131508E-3</c:v>
                </c:pt>
                <c:pt idx="16">
                  <c:v>-5.7133452857681503E-3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66-CC4F-8414-34D5DD90797C}"/>
            </c:ext>
          </c:extLst>
        </c:ser>
        <c:bandFmts>
          <c:bandFmt>
            <c:idx val="0"/>
            <c:spPr>
              <a:solidFill>
                <a:schemeClr val="accent1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"/>
                </a:schemeClr>
              </a:solidFill>
              <a:ln/>
              <a:effectLst/>
              <a:sp3d/>
            </c:spPr>
          </c:bandFmt>
        </c:bandFmts>
        <c:axId val="1637242560"/>
        <c:axId val="1637244352"/>
        <c:axId val="1627157504"/>
      </c:surface3DChart>
      <c:catAx>
        <c:axId val="1637242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244352"/>
        <c:crosses val="autoZero"/>
        <c:auto val="1"/>
        <c:lblAlgn val="ctr"/>
        <c:lblOffset val="100"/>
        <c:noMultiLvlLbl val="0"/>
      </c:catAx>
      <c:valAx>
        <c:axId val="1637244352"/>
        <c:scaling>
          <c:orientation val="minMax"/>
          <c:max val="0"/>
          <c:min val="-0.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242560"/>
        <c:crosses val="autoZero"/>
        <c:crossBetween val="midCat"/>
      </c:valAx>
      <c:serAx>
        <c:axId val="16271575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24435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</a:t>
            </a:r>
            <a:r>
              <a:rPr lang="en-US" baseline="0"/>
              <a:t> - 30%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CallGkTable!$R$46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CallGkTable!$R$47:$R$63</c:f>
              <c:numCache>
                <c:formatCode>0.0000</c:formatCode>
                <c:ptCount val="17"/>
                <c:pt idx="0">
                  <c:v>-2.1549990018490181E-8</c:v>
                </c:pt>
                <c:pt idx="1">
                  <c:v>-1.464552122579643E-6</c:v>
                </c:pt>
                <c:pt idx="2">
                  <c:v>-3.8599251798747767E-5</c:v>
                </c:pt>
                <c:pt idx="3">
                  <c:v>-4.6914242652264476E-4</c:v>
                </c:pt>
                <c:pt idx="4">
                  <c:v>-3.0078894605649665E-3</c:v>
                </c:pt>
                <c:pt idx="5">
                  <c:v>-1.1310878555330526E-2</c:v>
                </c:pt>
                <c:pt idx="6">
                  <c:v>-2.7156950482848469E-2</c:v>
                </c:pt>
                <c:pt idx="7">
                  <c:v>-4.4607745574303262E-2</c:v>
                </c:pt>
                <c:pt idx="8">
                  <c:v>-5.308635249998659E-2</c:v>
                </c:pt>
                <c:pt idx="9">
                  <c:v>-4.8085728141050353E-2</c:v>
                </c:pt>
                <c:pt idx="10">
                  <c:v>-3.4707632288424835E-2</c:v>
                </c:pt>
                <c:pt idx="11">
                  <c:v>-2.099302244824482E-2</c:v>
                </c:pt>
                <c:pt idx="12">
                  <c:v>-1.1420537071774154E-2</c:v>
                </c:pt>
                <c:pt idx="13">
                  <c:v>-6.2592652884108004E-3</c:v>
                </c:pt>
                <c:pt idx="14">
                  <c:v>-3.9799132950344585E-3</c:v>
                </c:pt>
                <c:pt idx="15">
                  <c:v>-3.1251171514154962E-3</c:v>
                </c:pt>
                <c:pt idx="16">
                  <c:v>-2.8458324659119817E-3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2F-5C4F-B829-E23ACF6D64CA}"/>
            </c:ext>
          </c:extLst>
        </c:ser>
        <c:ser>
          <c:idx val="1"/>
          <c:order val="1"/>
          <c:tx>
            <c:strRef>
              <c:f>CallGkTable!$S$46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CallGkTable!$S$47:$S$63</c:f>
              <c:numCache>
                <c:formatCode>0.0000</c:formatCode>
                <c:ptCount val="17"/>
                <c:pt idx="0">
                  <c:v>-2.1461836222321897E-5</c:v>
                </c:pt>
                <c:pt idx="1">
                  <c:v>-1.7985278900348094E-4</c:v>
                </c:pt>
                <c:pt idx="2">
                  <c:v>-9.3767928080001135E-4</c:v>
                </c:pt>
                <c:pt idx="3">
                  <c:v>-3.3173520135102042E-3</c:v>
                </c:pt>
                <c:pt idx="4">
                  <c:v>-8.5194390350108885E-3</c:v>
                </c:pt>
                <c:pt idx="5">
                  <c:v>-1.6750650645336353E-2</c:v>
                </c:pt>
                <c:pt idx="6">
                  <c:v>-2.631451405539716E-2</c:v>
                </c:pt>
                <c:pt idx="7">
                  <c:v>-3.4198995521248339E-2</c:v>
                </c:pt>
                <c:pt idx="8">
                  <c:v>-3.7847311782787982E-2</c:v>
                </c:pt>
                <c:pt idx="9">
                  <c:v>-3.655579680342088E-2</c:v>
                </c:pt>
                <c:pt idx="10">
                  <c:v>-3.1497214078068235E-2</c:v>
                </c:pt>
                <c:pt idx="11">
                  <c:v>-2.4716444860907759E-2</c:v>
                </c:pt>
                <c:pt idx="12">
                  <c:v>-1.8050816178209569E-2</c:v>
                </c:pt>
                <c:pt idx="13">
                  <c:v>-1.2581540060979455E-2</c:v>
                </c:pt>
                <c:pt idx="14">
                  <c:v>-8.6354632068481995E-3</c:v>
                </c:pt>
                <c:pt idx="15">
                  <c:v>-6.05926458561364E-3</c:v>
                </c:pt>
                <c:pt idx="16">
                  <c:v>-4.5088672563004771E-3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2F-5C4F-B829-E23ACF6D64CA}"/>
            </c:ext>
          </c:extLst>
        </c:ser>
        <c:ser>
          <c:idx val="2"/>
          <c:order val="2"/>
          <c:tx>
            <c:strRef>
              <c:f>CallGkTable!$T$46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CallGkTable!$T$47:$T$63</c:f>
              <c:numCache>
                <c:formatCode>0.0000</c:formatCode>
                <c:ptCount val="17"/>
                <c:pt idx="0">
                  <c:v>-1.9662281836474338E-4</c:v>
                </c:pt>
                <c:pt idx="1">
                  <c:v>-8.2033851045462854E-4</c:v>
                </c:pt>
                <c:pt idx="2">
                  <c:v>-2.4927261695394526E-3</c:v>
                </c:pt>
                <c:pt idx="3">
                  <c:v>-5.8463285736070382E-3</c:v>
                </c:pt>
                <c:pt idx="4">
                  <c:v>-1.1071292666040013E-2</c:v>
                </c:pt>
                <c:pt idx="5">
                  <c:v>-1.7542361876317813E-2</c:v>
                </c:pt>
                <c:pt idx="6">
                  <c:v>-2.393134700814065E-2</c:v>
                </c:pt>
                <c:pt idx="7">
                  <c:v>-2.8771216792948952E-2</c:v>
                </c:pt>
                <c:pt idx="8">
                  <c:v>-3.1078475009673048E-2</c:v>
                </c:pt>
                <c:pt idx="9">
                  <c:v>-3.0661221492058438E-2</c:v>
                </c:pt>
                <c:pt idx="10">
                  <c:v>-2.80256443620811E-2</c:v>
                </c:pt>
                <c:pt idx="11">
                  <c:v>-2.4043315710470522E-2</c:v>
                </c:pt>
                <c:pt idx="12">
                  <c:v>-1.9602300787189136E-2</c:v>
                </c:pt>
                <c:pt idx="13">
                  <c:v>-1.5382044332691502E-2</c:v>
                </c:pt>
                <c:pt idx="14">
                  <c:v>-1.1778948066319057E-2</c:v>
                </c:pt>
                <c:pt idx="15">
                  <c:v>-8.9391523402815882E-3</c:v>
                </c:pt>
                <c:pt idx="16">
                  <c:v>-6.8382049078783763E-3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2F-5C4F-B829-E23ACF6D64CA}"/>
            </c:ext>
          </c:extLst>
        </c:ser>
        <c:ser>
          <c:idx val="3"/>
          <c:order val="3"/>
          <c:tx>
            <c:strRef>
              <c:f>CallGkTable!$U$46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CallGkTable!$U$47:$U$63</c:f>
              <c:numCache>
                <c:formatCode>0.0000</c:formatCode>
                <c:ptCount val="17"/>
                <c:pt idx="0">
                  <c:v>-5.7074558651204531E-4</c:v>
                </c:pt>
                <c:pt idx="1">
                  <c:v>-1.6804353520095856E-3</c:v>
                </c:pt>
                <c:pt idx="2">
                  <c:v>-3.8989224445752516E-3</c:v>
                </c:pt>
                <c:pt idx="3">
                  <c:v>-7.4466314730471401E-3</c:v>
                </c:pt>
                <c:pt idx="4">
                  <c:v>-1.2111342052952888E-2</c:v>
                </c:pt>
                <c:pt idx="5">
                  <c:v>-1.7229760863557635E-2</c:v>
                </c:pt>
                <c:pt idx="6">
                  <c:v>-2.1906052910039862E-2</c:v>
                </c:pt>
                <c:pt idx="7">
                  <c:v>-2.5331741635614542E-2</c:v>
                </c:pt>
                <c:pt idx="8">
                  <c:v>-2.7033062564040262E-2</c:v>
                </c:pt>
                <c:pt idx="9">
                  <c:v>-2.6951599885263414E-2</c:v>
                </c:pt>
                <c:pt idx="10">
                  <c:v>-2.5370907369909487E-2</c:v>
                </c:pt>
                <c:pt idx="11">
                  <c:v>-2.2763646779957413E-2</c:v>
                </c:pt>
                <c:pt idx="12">
                  <c:v>-1.9637025412135738E-2</c:v>
                </c:pt>
                <c:pt idx="13">
                  <c:v>-1.6423692824762751E-2</c:v>
                </c:pt>
                <c:pt idx="14">
                  <c:v>-1.3430239007566951E-2</c:v>
                </c:pt>
                <c:pt idx="15">
                  <c:v>-1.083245442299496E-2</c:v>
                </c:pt>
                <c:pt idx="16">
                  <c:v>-8.6981935800516056E-3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2F-5C4F-B829-E23ACF6D64CA}"/>
            </c:ext>
          </c:extLst>
        </c:ser>
        <c:ser>
          <c:idx val="4"/>
          <c:order val="4"/>
          <c:tx>
            <c:strRef>
              <c:f>CallGkTable!$V$46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CallGkTable!$V$47:$V$63</c:f>
              <c:numCache>
                <c:formatCode>0.0000</c:formatCode>
                <c:ptCount val="17"/>
                <c:pt idx="0">
                  <c:v>-1.0552037640840729E-3</c:v>
                </c:pt>
                <c:pt idx="1">
                  <c:v>-2.5207520927682334E-3</c:v>
                </c:pt>
                <c:pt idx="2">
                  <c:v>-4.9750887751915203E-3</c:v>
                </c:pt>
                <c:pt idx="3">
                  <c:v>-8.4012195500086009E-3</c:v>
                </c:pt>
                <c:pt idx="4">
                  <c:v>-1.2472809838283586E-2</c:v>
                </c:pt>
                <c:pt idx="5">
                  <c:v>-1.6634225491545768E-2</c:v>
                </c:pt>
                <c:pt idx="6">
                  <c:v>-2.0274661940088014E-2</c:v>
                </c:pt>
                <c:pt idx="7">
                  <c:v>-2.2904894607282324E-2</c:v>
                </c:pt>
                <c:pt idx="8">
                  <c:v>-2.4265278685206906E-2</c:v>
                </c:pt>
                <c:pt idx="9">
                  <c:v>-2.4343488361313663E-2</c:v>
                </c:pt>
                <c:pt idx="10">
                  <c:v>-2.3322491459122675E-2</c:v>
                </c:pt>
                <c:pt idx="11">
                  <c:v>-2.1496615638537202E-2</c:v>
                </c:pt>
                <c:pt idx="12">
                  <c:v>-1.9189509137111756E-2</c:v>
                </c:pt>
                <c:pt idx="13">
                  <c:v>-1.6693740318528959E-2</c:v>
                </c:pt>
                <c:pt idx="14">
                  <c:v>-1.423763110362297E-2</c:v>
                </c:pt>
                <c:pt idx="15">
                  <c:v>-1.1975568197908664E-2</c:v>
                </c:pt>
                <c:pt idx="16">
                  <c:v>-9.9940950730608488E-3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2F-5C4F-B829-E23ACF6D64CA}"/>
            </c:ext>
          </c:extLst>
        </c:ser>
        <c:ser>
          <c:idx val="5"/>
          <c:order val="5"/>
          <c:tx>
            <c:strRef>
              <c:f>CallGkTable!$W$46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CallGkTable!$W$47:$W$63</c:f>
              <c:numCache>
                <c:formatCode>0.0000</c:formatCode>
                <c:ptCount val="17"/>
                <c:pt idx="0">
                  <c:v>-1.5635260002588602E-3</c:v>
                </c:pt>
                <c:pt idx="1">
                  <c:v>-3.2494106581974483E-3</c:v>
                </c:pt>
                <c:pt idx="2">
                  <c:v>-5.757969787493899E-3</c:v>
                </c:pt>
                <c:pt idx="3">
                  <c:v>-8.9575430478272319E-3</c:v>
                </c:pt>
                <c:pt idx="4">
                  <c:v>-1.2514917545781391E-2</c:v>
                </c:pt>
                <c:pt idx="5">
                  <c:v>-1.5987706934550008E-2</c:v>
                </c:pt>
                <c:pt idx="6">
                  <c:v>-1.8946385688934309E-2</c:v>
                </c:pt>
                <c:pt idx="7">
                  <c:v>-2.1074262063025324E-2</c:v>
                </c:pt>
                <c:pt idx="8">
                  <c:v>-2.2216980654532557E-2</c:v>
                </c:pt>
                <c:pt idx="9">
                  <c:v>-2.238047288208864E-2</c:v>
                </c:pt>
                <c:pt idx="10">
                  <c:v>-2.1693675166703747E-2</c:v>
                </c:pt>
                <c:pt idx="11">
                  <c:v>-2.0356990609438238E-2</c:v>
                </c:pt>
                <c:pt idx="12">
                  <c:v>-1.8593371902651753E-2</c:v>
                </c:pt>
                <c:pt idx="13">
                  <c:v>-1.6611519700124928E-2</c:v>
                </c:pt>
                <c:pt idx="14">
                  <c:v>-1.4583936041926969E-2</c:v>
                </c:pt>
                <c:pt idx="15">
                  <c:v>-1.2638151562723944E-2</c:v>
                </c:pt>
                <c:pt idx="16">
                  <c:v>-1.0857448283959788E-2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2F-5C4F-B829-E23ACF6D64CA}"/>
            </c:ext>
          </c:extLst>
        </c:ser>
        <c:ser>
          <c:idx val="6"/>
          <c:order val="6"/>
          <c:tx>
            <c:strRef>
              <c:f>CallGkTable!$X$46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CallGkTable!$X$47:$X$63</c:f>
              <c:numCache>
                <c:formatCode>0.0000</c:formatCode>
                <c:ptCount val="17"/>
                <c:pt idx="0">
                  <c:v>-2.0463456463499924E-3</c:v>
                </c:pt>
                <c:pt idx="1">
                  <c:v>-3.850254074906865E-3</c:v>
                </c:pt>
                <c:pt idx="2">
                  <c:v>-6.3174464964430178E-3</c:v>
                </c:pt>
                <c:pt idx="3">
                  <c:v>-9.2690512851180233E-3</c:v>
                </c:pt>
                <c:pt idx="4">
                  <c:v>-1.2400669864055774E-2</c:v>
                </c:pt>
                <c:pt idx="5">
                  <c:v>-1.5362860266520348E-2</c:v>
                </c:pt>
                <c:pt idx="6">
                  <c:v>-1.7844179087973727E-2</c:v>
                </c:pt>
                <c:pt idx="7">
                  <c:v>-1.9629166791495723E-2</c:v>
                </c:pt>
                <c:pt idx="8">
                  <c:v>-2.0621001433829625E-2</c:v>
                </c:pt>
                <c:pt idx="9">
                  <c:v>-2.083322233571781E-2</c:v>
                </c:pt>
                <c:pt idx="10">
                  <c:v>-2.0362290842882595E-2</c:v>
                </c:pt>
                <c:pt idx="11">
                  <c:v>-1.9353426783239921E-2</c:v>
                </c:pt>
                <c:pt idx="12">
                  <c:v>-1.7968986904518688E-2</c:v>
                </c:pt>
                <c:pt idx="13">
                  <c:v>-1.6364402414983967E-2</c:v>
                </c:pt>
                <c:pt idx="14">
                  <c:v>-1.467308185158127E-2</c:v>
                </c:pt>
                <c:pt idx="15">
                  <c:v>-1.2999360990032759E-2</c:v>
                </c:pt>
                <c:pt idx="16">
                  <c:v>-1.1417497527996139E-2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2F-5C4F-B829-E23ACF6D64CA}"/>
            </c:ext>
          </c:extLst>
        </c:ser>
        <c:ser>
          <c:idx val="7"/>
          <c:order val="7"/>
          <c:tx>
            <c:strRef>
              <c:f>CallGkTable!$Y$46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CallGkTable!$Y$47:$Y$63</c:f>
              <c:numCache>
                <c:formatCode>0.0000</c:formatCode>
                <c:ptCount val="17"/>
                <c:pt idx="0">
                  <c:v>-2.4820405101908011E-3</c:v>
                </c:pt>
                <c:pt idx="1">
                  <c:v>-4.3345416160164426E-3</c:v>
                </c:pt>
                <c:pt idx="2">
                  <c:v>-6.713524727213779E-3</c:v>
                </c:pt>
                <c:pt idx="3">
                  <c:v>-9.427313990530423E-3</c:v>
                </c:pt>
                <c:pt idx="4">
                  <c:v>-1.2209181629855972E-2</c:v>
                </c:pt>
                <c:pt idx="5">
                  <c:v>-1.478163582439752E-2</c:v>
                </c:pt>
                <c:pt idx="6">
                  <c:v>-1.6912727096520957E-2</c:v>
                </c:pt>
                <c:pt idx="7">
                  <c:v>-1.845024458345422E-2</c:v>
                </c:pt>
                <c:pt idx="8">
                  <c:v>-1.933126228348668E-2</c:v>
                </c:pt>
                <c:pt idx="9">
                  <c:v>-1.9572362194803957E-2</c:v>
                </c:pt>
                <c:pt idx="10">
                  <c:v>-1.9248887049009483E-2</c:v>
                </c:pt>
                <c:pt idx="11">
                  <c:v>-1.8470998973509553E-2</c:v>
                </c:pt>
                <c:pt idx="12">
                  <c:v>-1.7361991874474965E-2</c:v>
                </c:pt>
                <c:pt idx="13">
                  <c:v>-1.6041692087433352E-2</c:v>
                </c:pt>
                <c:pt idx="14">
                  <c:v>-1.4615688299595741E-2</c:v>
                </c:pt>
                <c:pt idx="15">
                  <c:v>-1.3169810095521121E-2</c:v>
                </c:pt>
                <c:pt idx="16">
                  <c:v>-1.1768651175255076E-2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2F-5C4F-B829-E23ACF6D64CA}"/>
            </c:ext>
          </c:extLst>
        </c:ser>
        <c:ser>
          <c:idx val="8"/>
          <c:order val="8"/>
          <c:tx>
            <c:strRef>
              <c:f>CallGkTable!$Z$46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CallGkTable!$Z$47:$Z$63</c:f>
              <c:numCache>
                <c:formatCode>0.0000</c:formatCode>
                <c:ptCount val="17"/>
                <c:pt idx="0">
                  <c:v>-2.8643976252613942E-3</c:v>
                </c:pt>
                <c:pt idx="1">
                  <c:v>-4.7206112946230226E-3</c:v>
                </c:pt>
                <c:pt idx="2">
                  <c:v>-6.9909687558181227E-3</c:v>
                </c:pt>
                <c:pt idx="3">
                  <c:v>-9.4877363884708094E-3</c:v>
                </c:pt>
                <c:pt idx="4">
                  <c:v>-1.1981003461584481E-2</c:v>
                </c:pt>
                <c:pt idx="5">
                  <c:v>-1.4248306028145799E-2</c:v>
                </c:pt>
                <c:pt idx="6">
                  <c:v>-1.6112934908725982E-2</c:v>
                </c:pt>
                <c:pt idx="7">
                  <c:v>-1.7464186054534727E-2</c:v>
                </c:pt>
                <c:pt idx="8">
                  <c:v>-1.8260255886732128E-2</c:v>
                </c:pt>
                <c:pt idx="9">
                  <c:v>-1.851867061312177E-2</c:v>
                </c:pt>
                <c:pt idx="10">
                  <c:v>-1.830021611928747E-2</c:v>
                </c:pt>
                <c:pt idx="11">
                  <c:v>-1.769143699034063E-2</c:v>
                </c:pt>
                <c:pt idx="12">
                  <c:v>-1.678907539949432E-2</c:v>
                </c:pt>
                <c:pt idx="13">
                  <c:v>-1.5688130393826306E-2</c:v>
                </c:pt>
                <c:pt idx="14">
                  <c:v>-1.4473928393117156E-2</c:v>
                </c:pt>
                <c:pt idx="15">
                  <c:v>-1.3217798413972104E-2</c:v>
                </c:pt>
                <c:pt idx="16">
                  <c:v>-1.1975570207334519E-2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2F-5C4F-B829-E23ACF6D64CA}"/>
            </c:ext>
          </c:extLst>
        </c:ser>
        <c:ser>
          <c:idx val="9"/>
          <c:order val="9"/>
          <c:tx>
            <c:strRef>
              <c:f>CallGkTable!$AA$46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CallGkTable!$AA$47:$AA$63</c:f>
              <c:numCache>
                <c:formatCode>0.0000</c:formatCode>
                <c:ptCount val="17"/>
                <c:pt idx="0">
                  <c:v>-3.1946917066473721E-3</c:v>
                </c:pt>
                <c:pt idx="1">
                  <c:v>-5.026524094306325E-3</c:v>
                </c:pt>
                <c:pt idx="2">
                  <c:v>-7.1819210348500759E-3</c:v>
                </c:pt>
                <c:pt idx="3">
                  <c:v>-9.4846913015921505E-3</c:v>
                </c:pt>
                <c:pt idx="4">
                  <c:v>-1.1737745850549727E-2</c:v>
                </c:pt>
                <c:pt idx="5">
                  <c:v>-1.3760849356365784E-2</c:v>
                </c:pt>
                <c:pt idx="6">
                  <c:v>-1.5416779554245641E-2</c:v>
                </c:pt>
                <c:pt idx="7">
                  <c:v>-1.6623162367735617E-2</c:v>
                </c:pt>
                <c:pt idx="8">
                  <c:v>-1.7351936757537503E-2</c:v>
                </c:pt>
                <c:pt idx="9">
                  <c:v>-1.7620573745771147E-2</c:v>
                </c:pt>
                <c:pt idx="10">
                  <c:v>-1.747936628223529E-2</c:v>
                </c:pt>
                <c:pt idx="11">
                  <c:v>-1.6998205603962133E-2</c:v>
                </c:pt>
                <c:pt idx="12">
                  <c:v>-1.6255012613347664E-2</c:v>
                </c:pt>
                <c:pt idx="13">
                  <c:v>-1.5326855586158964E-2</c:v>
                </c:pt>
                <c:pt idx="14">
                  <c:v>-1.4283952976631936E-2</c:v>
                </c:pt>
                <c:pt idx="15">
                  <c:v>-1.3186256532811455E-2</c:v>
                </c:pt>
                <c:pt idx="16">
                  <c:v>-1.2082075574953962E-2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22F-5C4F-B829-E23ACF6D64CA}"/>
            </c:ext>
          </c:extLst>
        </c:ser>
        <c:ser>
          <c:idx val="10"/>
          <c:order val="10"/>
          <c:tx>
            <c:strRef>
              <c:f>CallGkTable!$AB$46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CallGkTable!$AB$47:$AB$63</c:f>
              <c:numCache>
                <c:formatCode>0.0000</c:formatCode>
                <c:ptCount val="17"/>
                <c:pt idx="0">
                  <c:v>-4.6813137664605499E-3</c:v>
                </c:pt>
                <c:pt idx="1">
                  <c:v>-5.9813696060692558E-3</c:v>
                </c:pt>
                <c:pt idx="2">
                  <c:v>-7.2754572296498624E-3</c:v>
                </c:pt>
                <c:pt idx="3">
                  <c:v>-8.5006918870688866E-3</c:v>
                </c:pt>
                <c:pt idx="4">
                  <c:v>-9.6077555339189324E-3</c:v>
                </c:pt>
                <c:pt idx="5">
                  <c:v>-1.0562482528402098E-2</c:v>
                </c:pt>
                <c:pt idx="6">
                  <c:v>-1.1345229383883111E-2</c:v>
                </c:pt>
                <c:pt idx="7">
                  <c:v>-1.1948926939863769E-2</c:v>
                </c:pt>
                <c:pt idx="8">
                  <c:v>-1.2376533644701881E-2</c:v>
                </c:pt>
                <c:pt idx="9">
                  <c:v>-1.2638391494715467E-2</c:v>
                </c:pt>
                <c:pt idx="10">
                  <c:v>-1.2749791611446966E-2</c:v>
                </c:pt>
                <c:pt idx="11">
                  <c:v>-1.2728906636104681E-2</c:v>
                </c:pt>
                <c:pt idx="12">
                  <c:v>-1.2595143753280942E-2</c:v>
                </c:pt>
                <c:pt idx="13">
                  <c:v>-1.236790787697707E-2</c:v>
                </c:pt>
                <c:pt idx="14">
                  <c:v>-1.2065729467039186E-2</c:v>
                </c:pt>
                <c:pt idx="15">
                  <c:v>-1.1705696345390515E-2</c:v>
                </c:pt>
                <c:pt idx="16">
                  <c:v>-1.1303126320450827E-2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22F-5C4F-B829-E23ACF6D64CA}"/>
            </c:ext>
          </c:extLst>
        </c:ser>
        <c:ser>
          <c:idx val="11"/>
          <c:order val="11"/>
          <c:tx>
            <c:strRef>
              <c:f>CallGkTable!$AC$46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CallGkTable!$AC$47:$AC$63</c:f>
              <c:numCache>
                <c:formatCode>0.0000</c:formatCode>
                <c:ptCount val="17"/>
                <c:pt idx="0">
                  <c:v>-4.8647554364029642E-3</c:v>
                </c:pt>
                <c:pt idx="1">
                  <c:v>-5.8003146846059223E-3</c:v>
                </c:pt>
                <c:pt idx="2">
                  <c:v>-6.6876625701143017E-3</c:v>
                </c:pt>
                <c:pt idx="3">
                  <c:v>-7.5020370957601138E-3</c:v>
                </c:pt>
                <c:pt idx="4">
                  <c:v>-8.2267347934791759E-3</c:v>
                </c:pt>
                <c:pt idx="5">
                  <c:v>-8.852148601048446E-3</c:v>
                </c:pt>
                <c:pt idx="6">
                  <c:v>-9.3745207793801116E-3</c:v>
                </c:pt>
                <c:pt idx="7">
                  <c:v>-9.7946500084342865E-3</c:v>
                </c:pt>
                <c:pt idx="8">
                  <c:v>-1.0116690749816607E-2</c:v>
                </c:pt>
                <c:pt idx="9">
                  <c:v>-1.0347112839222855E-2</c:v>
                </c:pt>
                <c:pt idx="10">
                  <c:v>-1.049384430549196E-2</c:v>
                </c:pt>
                <c:pt idx="11">
                  <c:v>-1.056559385875621E-2</c:v>
                </c:pt>
                <c:pt idx="12">
                  <c:v>-1.0571335466653781E-2</c:v>
                </c:pt>
                <c:pt idx="13">
                  <c:v>-1.0519931433064565E-2</c:v>
                </c:pt>
                <c:pt idx="14">
                  <c:v>-1.0419869202588826E-2</c:v>
                </c:pt>
                <c:pt idx="15">
                  <c:v>-1.0279088582546081E-2</c:v>
                </c:pt>
                <c:pt idx="16">
                  <c:v>-1.0104878825265184E-2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22F-5C4F-B829-E23ACF6D64CA}"/>
            </c:ext>
          </c:extLst>
        </c:ser>
        <c:ser>
          <c:idx val="12"/>
          <c:order val="12"/>
          <c:tx>
            <c:strRef>
              <c:f>CallGkTable!$AD$46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CallGkTable!$AD$47:$AD$63</c:f>
              <c:numCache>
                <c:formatCode>0.0000</c:formatCode>
                <c:ptCount val="17"/>
                <c:pt idx="0">
                  <c:v>-4.7392880521538129E-3</c:v>
                </c:pt>
                <c:pt idx="1">
                  <c:v>-5.4588780490776694E-3</c:v>
                </c:pt>
                <c:pt idx="2">
                  <c:v>-6.1279613810610624E-3</c:v>
                </c:pt>
                <c:pt idx="3">
                  <c:v>-6.7355356887253467E-3</c:v>
                </c:pt>
                <c:pt idx="4">
                  <c:v>-7.2751933658265393E-3</c:v>
                </c:pt>
                <c:pt idx="5">
                  <c:v>-7.7442022009995039E-3</c:v>
                </c:pt>
                <c:pt idx="6">
                  <c:v>-8.1426436947306634E-3</c:v>
                </c:pt>
                <c:pt idx="7">
                  <c:v>-8.4726606396136588E-3</c:v>
                </c:pt>
                <c:pt idx="8">
                  <c:v>-8.737830637401028E-3</c:v>
                </c:pt>
                <c:pt idx="9">
                  <c:v>-8.9426628782225525E-3</c:v>
                </c:pt>
                <c:pt idx="10">
                  <c:v>-9.092205914330239E-3</c:v>
                </c:pt>
                <c:pt idx="11">
                  <c:v>-9.1917503785103709E-3</c:v>
                </c:pt>
                <c:pt idx="12">
                  <c:v>-9.2466100796593544E-3</c:v>
                </c:pt>
                <c:pt idx="13">
                  <c:v>-9.2619660764550766E-3</c:v>
                </c:pt>
                <c:pt idx="14">
                  <c:v>-9.2427602438595949E-3</c:v>
                </c:pt>
                <c:pt idx="15">
                  <c:v>-9.1936269711699152E-3</c:v>
                </c:pt>
                <c:pt idx="16">
                  <c:v>-9.1188536792843871E-3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22F-5C4F-B829-E23ACF6D64CA}"/>
            </c:ext>
          </c:extLst>
        </c:ser>
        <c:ser>
          <c:idx val="13"/>
          <c:order val="13"/>
          <c:tx>
            <c:strRef>
              <c:f>CallGkTable!$AE$46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CallGkTable!$AE$47:$AE$63</c:f>
              <c:numCache>
                <c:formatCode>0.0000</c:formatCode>
                <c:ptCount val="17"/>
                <c:pt idx="0">
                  <c:v>-4.5351230739948635E-3</c:v>
                </c:pt>
                <c:pt idx="1">
                  <c:v>-5.1165889558534737E-3</c:v>
                </c:pt>
                <c:pt idx="2">
                  <c:v>-5.6522519726966928E-3</c:v>
                </c:pt>
                <c:pt idx="3">
                  <c:v>-6.1370043560337343E-3</c:v>
                </c:pt>
                <c:pt idx="4">
                  <c:v>-6.5684877615526747E-3</c:v>
                </c:pt>
                <c:pt idx="5">
                  <c:v>-6.9464164713146882E-3</c:v>
                </c:pt>
                <c:pt idx="6">
                  <c:v>-7.2720111968502211E-3</c:v>
                </c:pt>
                <c:pt idx="7">
                  <c:v>-7.5475420683820656E-3</c:v>
                </c:pt>
                <c:pt idx="8">
                  <c:v>-7.7759697055117694E-3</c:v>
                </c:pt>
                <c:pt idx="9">
                  <c:v>-7.9606697661857833E-3</c:v>
                </c:pt>
                <c:pt idx="10">
                  <c:v>-8.1052261007705795E-3</c:v>
                </c:pt>
                <c:pt idx="11">
                  <c:v>-8.2132789019653159E-3</c:v>
                </c:pt>
                <c:pt idx="12">
                  <c:v>-8.2884161040901651E-3</c:v>
                </c:pt>
                <c:pt idx="13">
                  <c:v>-8.33409825556858E-3</c:v>
                </c:pt>
                <c:pt idx="14">
                  <c:v>-8.3536089273122671E-3</c:v>
                </c:pt>
                <c:pt idx="15">
                  <c:v>-8.3500243280010995E-3</c:v>
                </c:pt>
                <c:pt idx="16">
                  <c:v>-8.3261971497866141E-3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22F-5C4F-B829-E23ACF6D64CA}"/>
            </c:ext>
          </c:extLst>
        </c:ser>
        <c:bandFmts>
          <c:bandFmt>
            <c:idx val="0"/>
            <c:spPr>
              <a:solidFill>
                <a:schemeClr val="accent1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"/>
                </a:schemeClr>
              </a:solidFill>
              <a:ln/>
              <a:effectLst/>
              <a:sp3d/>
            </c:spPr>
          </c:bandFmt>
        </c:bandFmts>
        <c:axId val="1645565184"/>
        <c:axId val="1645566976"/>
        <c:axId val="1644461568"/>
      </c:surface3DChart>
      <c:catAx>
        <c:axId val="1645565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566976"/>
        <c:crosses val="autoZero"/>
        <c:auto val="1"/>
        <c:lblAlgn val="ctr"/>
        <c:lblOffset val="100"/>
        <c:noMultiLvlLbl val="0"/>
      </c:catAx>
      <c:valAx>
        <c:axId val="1645566976"/>
        <c:scaling>
          <c:orientation val="minMax"/>
          <c:max val="0"/>
          <c:min val="-0.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565184"/>
        <c:crosses val="autoZero"/>
        <c:crossBetween val="midCat"/>
      </c:valAx>
      <c:serAx>
        <c:axId val="16444615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566976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</a:t>
            </a:r>
            <a:r>
              <a:rPr lang="en-US" baseline="0"/>
              <a:t> - 10%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CallGkTable!$AH$46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CallGkTable!$AH$47:$AH$63</c:f>
              <c:numCache>
                <c:formatCode>0.0000</c:formatCode>
                <c:ptCount val="17"/>
                <c:pt idx="0">
                  <c:v>-4.8607391233108838E-59</c:v>
                </c:pt>
                <c:pt idx="1">
                  <c:v>-1.08587626406211E-42</c:v>
                </c:pt>
                <c:pt idx="2">
                  <c:v>-4.9219683121509843E-30</c:v>
                </c:pt>
                <c:pt idx="3">
                  <c:v>-2.1440234195109654E-20</c:v>
                </c:pt>
                <c:pt idx="4">
                  <c:v>-2.9987587661495556E-13</c:v>
                </c:pt>
                <c:pt idx="5">
                  <c:v>-3.484615224356023E-8</c:v>
                </c:pt>
                <c:pt idx="6">
                  <c:v>-7.1956503233977506E-5</c:v>
                </c:pt>
                <c:pt idx="7">
                  <c:v>-4.9006030079422874E-3</c:v>
                </c:pt>
                <c:pt idx="8">
                  <c:v>-1.8648056161643268E-2</c:v>
                </c:pt>
                <c:pt idx="9">
                  <c:v>-7.6978079919565396E-3</c:v>
                </c:pt>
                <c:pt idx="10">
                  <c:v>-2.9089580427955277E-3</c:v>
                </c:pt>
                <c:pt idx="11">
                  <c:v>-2.7378979367510933E-3</c:v>
                </c:pt>
                <c:pt idx="12">
                  <c:v>-2.7369886140532376E-3</c:v>
                </c:pt>
                <c:pt idx="13">
                  <c:v>-2.736987671012089E-3</c:v>
                </c:pt>
                <c:pt idx="14">
                  <c:v>-2.7369876707763869E-3</c:v>
                </c:pt>
                <c:pt idx="15">
                  <c:v>-2.73698767077637E-3</c:v>
                </c:pt>
                <c:pt idx="16">
                  <c:v>-2.73698767077637E-3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EC-114E-90FD-4D1C241F4437}"/>
            </c:ext>
          </c:extLst>
        </c:ser>
        <c:ser>
          <c:idx val="1"/>
          <c:order val="1"/>
          <c:tx>
            <c:strRef>
              <c:f>CallGkTable!$AI$46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CallGkTable!$AI$47:$AI$63</c:f>
              <c:numCache>
                <c:formatCode>0.0000</c:formatCode>
                <c:ptCount val="17"/>
                <c:pt idx="0">
                  <c:v>-7.394036773880533E-31</c:v>
                </c:pt>
                <c:pt idx="1">
                  <c:v>-1.084394209613217E-22</c:v>
                </c:pt>
                <c:pt idx="2">
                  <c:v>-2.2694361220867503E-16</c:v>
                </c:pt>
                <c:pt idx="3">
                  <c:v>-1.4749846893202475E-11</c:v>
                </c:pt>
                <c:pt idx="4">
                  <c:v>-5.4426425665660641E-8</c:v>
                </c:pt>
                <c:pt idx="5">
                  <c:v>-1.8350671934921964E-5</c:v>
                </c:pt>
                <c:pt idx="6">
                  <c:v>-8.2797370478681622E-4</c:v>
                </c:pt>
                <c:pt idx="7">
                  <c:v>-6.8365065413363742E-3</c:v>
                </c:pt>
                <c:pt idx="8">
                  <c:v>-1.3584079256396245E-2</c:v>
                </c:pt>
                <c:pt idx="9">
                  <c:v>-8.9332989803460796E-3</c:v>
                </c:pt>
                <c:pt idx="10">
                  <c:v>-3.8913061596230723E-3</c:v>
                </c:pt>
                <c:pt idx="11">
                  <c:v>-2.818087327364811E-3</c:v>
                </c:pt>
                <c:pt idx="12">
                  <c:v>-2.7369331127422283E-3</c:v>
                </c:pt>
                <c:pt idx="13">
                  <c:v>-2.7342941132561414E-3</c:v>
                </c:pt>
                <c:pt idx="14">
                  <c:v>-2.7342524051318456E-3</c:v>
                </c:pt>
                <c:pt idx="15">
                  <c:v>-2.7342520528684244E-3</c:v>
                </c:pt>
                <c:pt idx="16">
                  <c:v>-2.7342520511485771E-3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EC-114E-90FD-4D1C241F4437}"/>
            </c:ext>
          </c:extLst>
        </c:ser>
        <c:ser>
          <c:idx val="2"/>
          <c:order val="2"/>
          <c:tx>
            <c:strRef>
              <c:f>CallGkTable!$AJ$46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CallGkTable!$AJ$47:$AJ$63</c:f>
              <c:numCache>
                <c:formatCode>0.0000</c:formatCode>
                <c:ptCount val="17"/>
                <c:pt idx="0">
                  <c:v>-1.6820692697282178E-21</c:v>
                </c:pt>
                <c:pt idx="1">
                  <c:v>-4.6211580497308818E-16</c:v>
                </c:pt>
                <c:pt idx="2">
                  <c:v>-7.479143057101752E-12</c:v>
                </c:pt>
                <c:pt idx="3">
                  <c:v>-1.1975842083892231E-8</c:v>
                </c:pt>
                <c:pt idx="4">
                  <c:v>-2.8371084775912316E-6</c:v>
                </c:pt>
                <c:pt idx="5">
                  <c:v>-1.3663281919535541E-4</c:v>
                </c:pt>
                <c:pt idx="6">
                  <c:v>-1.7270312440617174E-3</c:v>
                </c:pt>
                <c:pt idx="7">
                  <c:v>-7.0767071554018405E-3</c:v>
                </c:pt>
                <c:pt idx="8">
                  <c:v>-1.1339592584775319E-2</c:v>
                </c:pt>
                <c:pt idx="9">
                  <c:v>-8.7680662048319081E-3</c:v>
                </c:pt>
                <c:pt idx="10">
                  <c:v>-4.7122847712180206E-3</c:v>
                </c:pt>
                <c:pt idx="11">
                  <c:v>-3.0755397384419733E-3</c:v>
                </c:pt>
                <c:pt idx="12">
                  <c:v>-2.7660761012858214E-3</c:v>
                </c:pt>
                <c:pt idx="13">
                  <c:v>-2.7336759993008739E-3</c:v>
                </c:pt>
                <c:pt idx="14">
                  <c:v>-2.7316079925956542E-3</c:v>
                </c:pt>
                <c:pt idx="15">
                  <c:v>-2.7315217065746297E-3</c:v>
                </c:pt>
                <c:pt idx="16">
                  <c:v>-2.7315192185145614E-3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EC-114E-90FD-4D1C241F4437}"/>
            </c:ext>
          </c:extLst>
        </c:ser>
        <c:ser>
          <c:idx val="3"/>
          <c:order val="3"/>
          <c:tx>
            <c:strRef>
              <c:f>CallGkTable!$AK$46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CallGkTable!$AK$47:$AK$63</c:f>
              <c:numCache>
                <c:formatCode>0.0000</c:formatCode>
                <c:ptCount val="17"/>
                <c:pt idx="0">
                  <c:v>-7.6992724938714478E-17</c:v>
                </c:pt>
                <c:pt idx="1">
                  <c:v>-9.1578871538016226E-13</c:v>
                </c:pt>
                <c:pt idx="2">
                  <c:v>-1.3039335518015704E-9</c:v>
                </c:pt>
                <c:pt idx="3">
                  <c:v>-3.278888743849616E-7</c:v>
                </c:pt>
                <c:pt idx="4">
                  <c:v>-1.9695489009571748E-5</c:v>
                </c:pt>
                <c:pt idx="5">
                  <c:v>-3.5880637288301833E-4</c:v>
                </c:pt>
                <c:pt idx="6">
                  <c:v>-2.4033185999368196E-3</c:v>
                </c:pt>
                <c:pt idx="7">
                  <c:v>-6.9465581228966731E-3</c:v>
                </c:pt>
                <c:pt idx="8">
                  <c:v>-1.0000882518242169E-2</c:v>
                </c:pt>
                <c:pt idx="9">
                  <c:v>-8.3872819229696503E-3</c:v>
                </c:pt>
                <c:pt idx="10">
                  <c:v>-5.1946370335550825E-3</c:v>
                </c:pt>
                <c:pt idx="11">
                  <c:v>-3.3926715988255767E-3</c:v>
                </c:pt>
                <c:pt idx="12">
                  <c:v>-2.8470825557422789E-3</c:v>
                </c:pt>
                <c:pt idx="13">
                  <c:v>-2.743524708830351E-3</c:v>
                </c:pt>
                <c:pt idx="14">
                  <c:v>-2.7301321563579272E-3</c:v>
                </c:pt>
                <c:pt idx="15">
                  <c:v>-2.7288821272296883E-3</c:v>
                </c:pt>
                <c:pt idx="16">
                  <c:v>-2.7287940874309588E-3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EC-114E-90FD-4D1C241F4437}"/>
            </c:ext>
          </c:extLst>
        </c:ser>
        <c:ser>
          <c:idx val="4"/>
          <c:order val="4"/>
          <c:tx>
            <c:strRef>
              <c:f>CallGkTable!$AL$46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CallGkTable!$AL$47:$AL$63</c:f>
              <c:numCache>
                <c:formatCode>0.0000</c:formatCode>
                <c:ptCount val="17"/>
                <c:pt idx="0">
                  <c:v>-4.7020604293671606E-14</c:v>
                </c:pt>
                <c:pt idx="1">
                  <c:v>-8.503599422603399E-11</c:v>
                </c:pt>
                <c:pt idx="2">
                  <c:v>-2.8171504015769907E-8</c:v>
                </c:pt>
                <c:pt idx="3">
                  <c:v>-2.333768996237393E-6</c:v>
                </c:pt>
                <c:pt idx="4">
                  <c:v>-6.1567719232975506E-5</c:v>
                </c:pt>
                <c:pt idx="5">
                  <c:v>-6.2633483265583673E-4</c:v>
                </c:pt>
                <c:pt idx="6">
                  <c:v>-2.86820697129312E-3</c:v>
                </c:pt>
                <c:pt idx="7">
                  <c:v>-6.728978133982327E-3</c:v>
                </c:pt>
                <c:pt idx="8">
                  <c:v>-9.0867461332547108E-3</c:v>
                </c:pt>
                <c:pt idx="9">
                  <c:v>-7.9991241585501693E-3</c:v>
                </c:pt>
                <c:pt idx="10">
                  <c:v>-5.4532532806975649E-3</c:v>
                </c:pt>
                <c:pt idx="11">
                  <c:v>-3.6819872392782455E-3</c:v>
                </c:pt>
                <c:pt idx="12">
                  <c:v>-2.9664502842081759E-3</c:v>
                </c:pt>
                <c:pt idx="13">
                  <c:v>-2.7714142243693103E-3</c:v>
                </c:pt>
                <c:pt idx="14">
                  <c:v>-2.732722349661286E-3</c:v>
                </c:pt>
                <c:pt idx="15">
                  <c:v>-2.7268472305600894E-3</c:v>
                </c:pt>
                <c:pt idx="16">
                  <c:v>-2.7261380231119355E-3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EC-114E-90FD-4D1C241F4437}"/>
            </c:ext>
          </c:extLst>
        </c:ser>
        <c:ser>
          <c:idx val="5"/>
          <c:order val="5"/>
          <c:tx>
            <c:strRef>
              <c:f>CallGkTable!$AM$46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CallGkTable!$AM$47:$AM$63</c:f>
              <c:numCache>
                <c:formatCode>0.0000</c:formatCode>
                <c:ptCount val="17"/>
                <c:pt idx="0">
                  <c:v>-3.3311438102539531E-12</c:v>
                </c:pt>
                <c:pt idx="1">
                  <c:v>-1.7164793217520013E-9</c:v>
                </c:pt>
                <c:pt idx="2">
                  <c:v>-2.1516966274240728E-7</c:v>
                </c:pt>
                <c:pt idx="3">
                  <c:v>-8.5050236349412034E-6</c:v>
                </c:pt>
                <c:pt idx="4">
                  <c:v>-1.2968848286531006E-4</c:v>
                </c:pt>
                <c:pt idx="5">
                  <c:v>-8.9507303836912431E-4</c:v>
                </c:pt>
                <c:pt idx="6">
                  <c:v>-3.1826508680168749E-3</c:v>
                </c:pt>
                <c:pt idx="7">
                  <c:v>-6.5000392338948861E-3</c:v>
                </c:pt>
                <c:pt idx="8">
                  <c:v>-8.4115102039457497E-3</c:v>
                </c:pt>
                <c:pt idx="9">
                  <c:v>-7.6457252709511521E-3</c:v>
                </c:pt>
                <c:pt idx="10">
                  <c:v>-5.5792069205201321E-3</c:v>
                </c:pt>
                <c:pt idx="11">
                  <c:v>-3.9175885994299749E-3</c:v>
                </c:pt>
                <c:pt idx="12">
                  <c:v>-3.1013726684467648E-3</c:v>
                </c:pt>
                <c:pt idx="13">
                  <c:v>-2.8174307433527055E-3</c:v>
                </c:pt>
                <c:pt idx="14">
                  <c:v>-2.7423352226375757E-3</c:v>
                </c:pt>
                <c:pt idx="15">
                  <c:v>-2.7265312280787012E-3</c:v>
                </c:pt>
                <c:pt idx="16">
                  <c:v>-2.7237942649291774E-3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EC-114E-90FD-4D1C241F4437}"/>
            </c:ext>
          </c:extLst>
        </c:ser>
        <c:ser>
          <c:idx val="6"/>
          <c:order val="6"/>
          <c:tx>
            <c:strRef>
              <c:f>CallGkTable!$AN$46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CallGkTable!$AN$47:$AN$63</c:f>
              <c:numCache>
                <c:formatCode>0.0000</c:formatCode>
                <c:ptCount val="17"/>
                <c:pt idx="0">
                  <c:v>-6.9080303501675939E-11</c:v>
                </c:pt>
                <c:pt idx="1">
                  <c:v>-1.45208142927398E-8</c:v>
                </c:pt>
                <c:pt idx="2">
                  <c:v>-9.0937510122591536E-7</c:v>
                </c:pt>
                <c:pt idx="3">
                  <c:v>-2.119349141272701E-5</c:v>
                </c:pt>
                <c:pt idx="4">
                  <c:v>-2.1852655736779805E-4</c:v>
                </c:pt>
                <c:pt idx="5">
                  <c:v>-1.1435497472532126E-3</c:v>
                </c:pt>
                <c:pt idx="6">
                  <c:v>-3.3952024638746522E-3</c:v>
                </c:pt>
                <c:pt idx="7">
                  <c:v>-6.2822853527534283E-3</c:v>
                </c:pt>
                <c:pt idx="8">
                  <c:v>-7.8863417080290536E-3</c:v>
                </c:pt>
                <c:pt idx="9">
                  <c:v>-7.3325007234308383E-3</c:v>
                </c:pt>
                <c:pt idx="10">
                  <c:v>-5.6268353354807675E-3</c:v>
                </c:pt>
                <c:pt idx="11">
                  <c:v>-4.0998343963390216E-3</c:v>
                </c:pt>
                <c:pt idx="12">
                  <c:v>-3.2353896287977686E-3</c:v>
                </c:pt>
                <c:pt idx="13">
                  <c:v>-2.876830587230414E-3</c:v>
                </c:pt>
                <c:pt idx="14">
                  <c:v>-2.7602165367608218E-3</c:v>
                </c:pt>
                <c:pt idx="15">
                  <c:v>-2.7291937836389614E-3</c:v>
                </c:pt>
                <c:pt idx="16">
                  <c:v>-2.7222339511491331E-3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EC-114E-90FD-4D1C241F4437}"/>
            </c:ext>
          </c:extLst>
        </c:ser>
        <c:ser>
          <c:idx val="7"/>
          <c:order val="7"/>
          <c:tx>
            <c:strRef>
              <c:f>CallGkTable!$AO$46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CallGkTable!$AO$47:$AO$63</c:f>
              <c:numCache>
                <c:formatCode>0.0000</c:formatCode>
                <c:ptCount val="17"/>
                <c:pt idx="0">
                  <c:v>-6.6573166634795337E-10</c:v>
                </c:pt>
                <c:pt idx="1">
                  <c:v>-7.1439472848684185E-8</c:v>
                </c:pt>
                <c:pt idx="2">
                  <c:v>-2.6589967230020451E-6</c:v>
                </c:pt>
                <c:pt idx="3">
                  <c:v>-4.1704733289099119E-5</c:v>
                </c:pt>
                <c:pt idx="4">
                  <c:v>-3.2073348954253554E-4</c:v>
                </c:pt>
                <c:pt idx="5">
                  <c:v>-1.36412973646698E-3</c:v>
                </c:pt>
                <c:pt idx="6">
                  <c:v>-3.538718453343772E-3</c:v>
                </c:pt>
                <c:pt idx="7">
                  <c:v>-6.0818261522560787E-3</c:v>
                </c:pt>
                <c:pt idx="8">
                  <c:v>-7.4626929861352385E-3</c:v>
                </c:pt>
                <c:pt idx="9">
                  <c:v>-7.0560378776292655E-3</c:v>
                </c:pt>
                <c:pt idx="10">
                  <c:v>-5.6276410487643477E-3</c:v>
                </c:pt>
                <c:pt idx="11">
                  <c:v>-4.2367889185774615E-3</c:v>
                </c:pt>
                <c:pt idx="12">
                  <c:v>-3.3595434629207685E-3</c:v>
                </c:pt>
                <c:pt idx="13">
                  <c:v>-2.9438719975859004E-3</c:v>
                </c:pt>
                <c:pt idx="14">
                  <c:v>-2.7858561465016387E-3</c:v>
                </c:pt>
                <c:pt idx="15">
                  <c:v>-2.735702078658283E-3</c:v>
                </c:pt>
                <c:pt idx="16">
                  <c:v>-2.7220300049986446E-3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EC-114E-90FD-4D1C241F4437}"/>
            </c:ext>
          </c:extLst>
        </c:ser>
        <c:ser>
          <c:idx val="8"/>
          <c:order val="8"/>
          <c:tx>
            <c:strRef>
              <c:f>CallGkTable!$AP$46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CallGkTable!$AP$47:$AP$63</c:f>
              <c:numCache>
                <c:formatCode>0.0000</c:formatCode>
                <c:ptCount val="17"/>
                <c:pt idx="0">
                  <c:v>-3.8529870723675087E-9</c:v>
                </c:pt>
                <c:pt idx="1">
                  <c:v>-2.4511925227671841E-7</c:v>
                </c:pt>
                <c:pt idx="2">
                  <c:v>-6.0877951498852109E-6</c:v>
                </c:pt>
                <c:pt idx="3">
                  <c:v>-7.0182114445786235E-5</c:v>
                </c:pt>
                <c:pt idx="4">
                  <c:v>-4.2975710045097974E-4</c:v>
                </c:pt>
                <c:pt idx="5">
                  <c:v>-1.5559486729817653E-3</c:v>
                </c:pt>
                <c:pt idx="6">
                  <c:v>-3.6348243433050815E-3</c:v>
                </c:pt>
                <c:pt idx="7">
                  <c:v>-5.899276831986414E-3</c:v>
                </c:pt>
                <c:pt idx="8">
                  <c:v>-7.1114959516656931E-3</c:v>
                </c:pt>
                <c:pt idx="9">
                  <c:v>-6.8112371711487648E-3</c:v>
                </c:pt>
                <c:pt idx="10">
                  <c:v>-5.6001813999779493E-3</c:v>
                </c:pt>
                <c:pt idx="11">
                  <c:v>-4.3374413426835959E-3</c:v>
                </c:pt>
                <c:pt idx="12">
                  <c:v>-3.4699713884223408E-3</c:v>
                </c:pt>
                <c:pt idx="13">
                  <c:v>-3.0136947476325578E-3</c:v>
                </c:pt>
                <c:pt idx="14">
                  <c:v>-2.8177307946140435E-3</c:v>
                </c:pt>
                <c:pt idx="15">
                  <c:v>-2.7463367452608455E-3</c:v>
                </c:pt>
                <c:pt idx="16">
                  <c:v>-2.7236795785183059E-3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EEC-114E-90FD-4D1C241F4437}"/>
            </c:ext>
          </c:extLst>
        </c:ser>
        <c:ser>
          <c:idx val="9"/>
          <c:order val="9"/>
          <c:tx>
            <c:strRef>
              <c:f>CallGkTable!$AQ$46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CallGkTable!$AQ$47:$AQ$63</c:f>
              <c:numCache>
                <c:formatCode>0.0000</c:formatCode>
                <c:ptCount val="17"/>
                <c:pt idx="0">
                  <c:v>-1.5616486625209436E-8</c:v>
                </c:pt>
                <c:pt idx="1">
                  <c:v>-6.5397235258806203E-7</c:v>
                </c:pt>
                <c:pt idx="2">
                  <c:v>-1.1752640499261456E-5</c:v>
                </c:pt>
                <c:pt idx="3">
                  <c:v>-1.0592549484760884E-4</c:v>
                </c:pt>
                <c:pt idx="4">
                  <c:v>-5.4062403596464171E-4</c:v>
                </c:pt>
                <c:pt idx="5">
                  <c:v>-1.7210375065471284E-3</c:v>
                </c:pt>
                <c:pt idx="6">
                  <c:v>-3.6978399638639171E-3</c:v>
                </c:pt>
                <c:pt idx="7">
                  <c:v>-5.7334209143317175E-3</c:v>
                </c:pt>
                <c:pt idx="8">
                  <c:v>-6.8141424186834694E-3</c:v>
                </c:pt>
                <c:pt idx="9">
                  <c:v>-6.5932393812371632E-3</c:v>
                </c:pt>
                <c:pt idx="10">
                  <c:v>-5.5556579677754564E-3</c:v>
                </c:pt>
                <c:pt idx="11">
                  <c:v>-4.4096540404070178E-3</c:v>
                </c:pt>
                <c:pt idx="12">
                  <c:v>-3.5657097047538796E-3</c:v>
                </c:pt>
                <c:pt idx="13">
                  <c:v>-3.082789852781783E-3</c:v>
                </c:pt>
                <c:pt idx="14">
                  <c:v>-2.8539929876243157E-3</c:v>
                </c:pt>
                <c:pt idx="15">
                  <c:v>-2.7608771112304633E-3</c:v>
                </c:pt>
                <c:pt idx="16">
                  <c:v>-2.7274934864203472E-3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EEC-114E-90FD-4D1C241F4437}"/>
            </c:ext>
          </c:extLst>
        </c:ser>
        <c:ser>
          <c:idx val="10"/>
          <c:order val="10"/>
          <c:tx>
            <c:strRef>
              <c:f>CallGkTable!$AR$46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CallGkTable!$AR$47:$AR$63</c:f>
              <c:numCache>
                <c:formatCode>0.0000</c:formatCode>
                <c:ptCount val="17"/>
                <c:pt idx="0">
                  <c:v>-7.6971390871607689E-6</c:v>
                </c:pt>
                <c:pt idx="1">
                  <c:v>-4.9218966358370517E-5</c:v>
                </c:pt>
                <c:pt idx="2">
                  <c:v>-2.0682932881957742E-4</c:v>
                </c:pt>
                <c:pt idx="3">
                  <c:v>-6.1764905407730704E-4</c:v>
                </c:pt>
                <c:pt idx="4">
                  <c:v>-1.393497328409217E-3</c:v>
                </c:pt>
                <c:pt idx="5">
                  <c:v>-2.494565685701439E-3</c:v>
                </c:pt>
                <c:pt idx="6">
                  <c:v>-3.6890735961092476E-3</c:v>
                </c:pt>
                <c:pt idx="7">
                  <c:v>-4.6640249678363745E-3</c:v>
                </c:pt>
                <c:pt idx="8">
                  <c:v>-5.1967667503864771E-3</c:v>
                </c:pt>
                <c:pt idx="9">
                  <c:v>-5.2498490762077979E-3</c:v>
                </c:pt>
                <c:pt idx="10">
                  <c:v>-4.9431622584815253E-3</c:v>
                </c:pt>
                <c:pt idx="11">
                  <c:v>-4.4586785901714167E-3</c:v>
                </c:pt>
                <c:pt idx="12">
                  <c:v>-3.9544788770340747E-3</c:v>
                </c:pt>
                <c:pt idx="13">
                  <c:v>-3.5254793804016605E-3</c:v>
                </c:pt>
                <c:pt idx="14">
                  <c:v>-3.2056859635034209E-3</c:v>
                </c:pt>
                <c:pt idx="15">
                  <c:v>-2.9896518167240559E-3</c:v>
                </c:pt>
                <c:pt idx="16">
                  <c:v>-2.8546706477409903E-3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EEC-114E-90FD-4D1C241F4437}"/>
            </c:ext>
          </c:extLst>
        </c:ser>
        <c:ser>
          <c:idx val="11"/>
          <c:order val="11"/>
          <c:tx>
            <c:strRef>
              <c:f>CallGkTable!$AS$46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CallGkTable!$AS$47:$AS$63</c:f>
              <c:numCache>
                <c:formatCode>0.0000</c:formatCode>
                <c:ptCount val="17"/>
                <c:pt idx="0">
                  <c:v>-5.6462471820863367E-5</c:v>
                </c:pt>
                <c:pt idx="1">
                  <c:v>-1.9342981188610103E-4</c:v>
                </c:pt>
                <c:pt idx="2">
                  <c:v>-5.0203494188602073E-4</c:v>
                </c:pt>
                <c:pt idx="3">
                  <c:v>-1.0401613305351378E-3</c:v>
                </c:pt>
                <c:pt idx="4">
                  <c:v>-1.7923956660358823E-3</c:v>
                </c:pt>
                <c:pt idx="5">
                  <c:v>-2.6547740949320045E-3</c:v>
                </c:pt>
                <c:pt idx="6">
                  <c:v>-3.4725023557419634E-3</c:v>
                </c:pt>
                <c:pt idx="7">
                  <c:v>-4.1041967805758922E-3</c:v>
                </c:pt>
                <c:pt idx="8">
                  <c:v>-4.4716079014028923E-3</c:v>
                </c:pt>
                <c:pt idx="9">
                  <c:v>-4.5725396202247869E-3</c:v>
                </c:pt>
                <c:pt idx="10">
                  <c:v>-4.4617749510637277E-3</c:v>
                </c:pt>
                <c:pt idx="11">
                  <c:v>-4.218938209286577E-3</c:v>
                </c:pt>
                <c:pt idx="12">
                  <c:v>-3.9204775417341292E-3</c:v>
                </c:pt>
                <c:pt idx="13">
                  <c:v>-3.6237548794847097E-3</c:v>
                </c:pt>
                <c:pt idx="14">
                  <c:v>-3.3629384444224812E-3</c:v>
                </c:pt>
                <c:pt idx="15">
                  <c:v>-3.1524002957230659E-3</c:v>
                </c:pt>
                <c:pt idx="16">
                  <c:v>-2.9930375106576039E-3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EEC-114E-90FD-4D1C241F4437}"/>
            </c:ext>
          </c:extLst>
        </c:ser>
        <c:ser>
          <c:idx val="12"/>
          <c:order val="12"/>
          <c:tx>
            <c:strRef>
              <c:f>CallGkTable!$AT$46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CallGkTable!$AT$47:$AT$63</c:f>
              <c:numCache>
                <c:formatCode>0.0000</c:formatCode>
                <c:ptCount val="17"/>
                <c:pt idx="0">
                  <c:v>-1.4781744530698417E-4</c:v>
                </c:pt>
                <c:pt idx="1">
                  <c:v>-3.7114411583880649E-4</c:v>
                </c:pt>
                <c:pt idx="2">
                  <c:v>-7.5805134587510507E-4</c:v>
                </c:pt>
                <c:pt idx="3">
                  <c:v>-1.309924658576698E-3</c:v>
                </c:pt>
                <c:pt idx="4">
                  <c:v>-1.9750182600096898E-3</c:v>
                </c:pt>
                <c:pt idx="5">
                  <c:v>-2.6632813499454658E-3</c:v>
                </c:pt>
                <c:pt idx="6">
                  <c:v>-3.2779817587708549E-3</c:v>
                </c:pt>
                <c:pt idx="7">
                  <c:v>-3.7459055472475462E-3</c:v>
                </c:pt>
                <c:pt idx="8">
                  <c:v>-4.0332340374452562E-3</c:v>
                </c:pt>
                <c:pt idx="9">
                  <c:v>-4.1448990624083325E-3</c:v>
                </c:pt>
                <c:pt idx="10">
                  <c:v>-4.1129984667138764E-3</c:v>
                </c:pt>
                <c:pt idx="11">
                  <c:v>-3.9819272089589375E-3</c:v>
                </c:pt>
                <c:pt idx="12">
                  <c:v>-3.7958881130957635E-3</c:v>
                </c:pt>
                <c:pt idx="13">
                  <c:v>-3.5912186818333729E-3</c:v>
                </c:pt>
                <c:pt idx="14">
                  <c:v>-3.3934233108399718E-3</c:v>
                </c:pt>
                <c:pt idx="15">
                  <c:v>-3.2175359166484005E-3</c:v>
                </c:pt>
                <c:pt idx="16">
                  <c:v>-3.0702242762499269E-3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EEC-114E-90FD-4D1C241F4437}"/>
            </c:ext>
          </c:extLst>
        </c:ser>
        <c:ser>
          <c:idx val="13"/>
          <c:order val="13"/>
          <c:tx>
            <c:strRef>
              <c:f>CallGkTable!$AU$46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CallGkTable!$AU$47:$AU$63</c:f>
              <c:numCache>
                <c:formatCode>0.0000</c:formatCode>
                <c:ptCount val="17"/>
                <c:pt idx="0">
                  <c:v>-2.5828777230125691E-4</c:v>
                </c:pt>
                <c:pt idx="1">
                  <c:v>-5.3865140524796259E-4</c:v>
                </c:pt>
                <c:pt idx="2">
                  <c:v>-9.5361421913977456E-4</c:v>
                </c:pt>
                <c:pt idx="3">
                  <c:v>-1.4789037362070371E-3</c:v>
                </c:pt>
                <c:pt idx="4">
                  <c:v>-2.0592901027797783E-3</c:v>
                </c:pt>
                <c:pt idx="5">
                  <c:v>-2.6259889649814889E-3</c:v>
                </c:pt>
                <c:pt idx="6">
                  <c:v>-3.1167209253369476E-3</c:v>
                </c:pt>
                <c:pt idx="7">
                  <c:v>-3.4898745462750205E-3</c:v>
                </c:pt>
                <c:pt idx="8">
                  <c:v>-3.729378121756278E-3</c:v>
                </c:pt>
                <c:pt idx="9">
                  <c:v>-3.8416324918737858E-3</c:v>
                </c:pt>
                <c:pt idx="10">
                  <c:v>-3.8481179638850107E-3</c:v>
                </c:pt>
                <c:pt idx="11">
                  <c:v>-3.7772264873450105E-3</c:v>
                </c:pt>
                <c:pt idx="12">
                  <c:v>-3.6576166478524815E-3</c:v>
                </c:pt>
                <c:pt idx="13">
                  <c:v>-3.5139854855894383E-3</c:v>
                </c:pt>
                <c:pt idx="14">
                  <c:v>-3.3651475756269395E-3</c:v>
                </c:pt>
                <c:pt idx="15">
                  <c:v>-3.2238207807185359E-3</c:v>
                </c:pt>
                <c:pt idx="16">
                  <c:v>-3.0974201768739838E-3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EEC-114E-90FD-4D1C241F4437}"/>
            </c:ext>
          </c:extLst>
        </c:ser>
        <c:bandFmts>
          <c:bandFmt>
            <c:idx val="0"/>
            <c:spPr>
              <a:solidFill>
                <a:schemeClr val="accent1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"/>
                </a:schemeClr>
              </a:solidFill>
              <a:ln/>
              <a:effectLst/>
              <a:sp3d/>
            </c:spPr>
          </c:bandFmt>
        </c:bandFmts>
        <c:axId val="1646795328"/>
        <c:axId val="1646793088"/>
        <c:axId val="1636477440"/>
      </c:surface3DChart>
      <c:catAx>
        <c:axId val="1646795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6793088"/>
        <c:crosses val="autoZero"/>
        <c:auto val="1"/>
        <c:lblAlgn val="ctr"/>
        <c:lblOffset val="100"/>
        <c:noMultiLvlLbl val="0"/>
      </c:catAx>
      <c:valAx>
        <c:axId val="1646793088"/>
        <c:scaling>
          <c:orientation val="minMax"/>
          <c:max val="0"/>
          <c:min val="-0.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6795328"/>
        <c:crosses val="autoZero"/>
        <c:crossBetween val="midCat"/>
      </c:valAx>
      <c:serAx>
        <c:axId val="163647744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679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VEGA</a:t>
            </a:r>
            <a:r>
              <a:rPr lang="en-US" baseline="0"/>
              <a:t> - 20%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CallGkTable!$B$66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CallGkTable!$A$67:$A$83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CallGkTable!$B$67:$B$83</c:f>
              <c:numCache>
                <c:formatCode>0.0000</c:formatCode>
                <c:ptCount val="17"/>
                <c:pt idx="0">
                  <c:v>7.5719207361531473E-16</c:v>
                </c:pt>
                <c:pt idx="1">
                  <c:v>9.537479121990602E-12</c:v>
                </c:pt>
                <c:pt idx="2">
                  <c:v>1.4305070674681112E-8</c:v>
                </c:pt>
                <c:pt idx="3">
                  <c:v>3.7701398975718429E-6</c:v>
                </c:pt>
                <c:pt idx="4">
                  <c:v>2.3609588828415678E-4</c:v>
                </c:pt>
                <c:pt idx="5">
                  <c:v>4.4558558892443621E-3</c:v>
                </c:pt>
                <c:pt idx="6">
                  <c:v>3.0644533309865177E-2</c:v>
                </c:pt>
                <c:pt idx="7">
                  <c:v>8.9541358039279734E-2</c:v>
                </c:pt>
                <c:pt idx="8">
                  <c:v>0.12601477970020519</c:v>
                </c:pt>
                <c:pt idx="9">
                  <c:v>9.4730567005775854E-2</c:v>
                </c:pt>
                <c:pt idx="10">
                  <c:v>4.1459744625109485E-2</c:v>
                </c:pt>
                <c:pt idx="11">
                  <c:v>1.1355073152064601E-2</c:v>
                </c:pt>
                <c:pt idx="12">
                  <c:v>2.0685250757256838E-3</c:v>
                </c:pt>
                <c:pt idx="13">
                  <c:v>2.6396322770578433E-4</c:v>
                </c:pt>
                <c:pt idx="14">
                  <c:v>2.4664615253611665E-5</c:v>
                </c:pt>
                <c:pt idx="15">
                  <c:v>1.7530109023145037E-6</c:v>
                </c:pt>
                <c:pt idx="16">
                  <c:v>9.7937749170318661E-8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34-C94D-B343-3A86BC25B093}"/>
            </c:ext>
          </c:extLst>
        </c:ser>
        <c:ser>
          <c:idx val="1"/>
          <c:order val="1"/>
          <c:tx>
            <c:strRef>
              <c:f>CallGkTable!$C$66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CallGkTable!$A$67:$A$83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CallGkTable!$C$67:$C$83</c:f>
              <c:numCache>
                <c:formatCode>0.0000</c:formatCode>
                <c:ptCount val="17"/>
                <c:pt idx="0">
                  <c:v>1.29452098386633E-8</c:v>
                </c:pt>
                <c:pt idx="1">
                  <c:v>1.4674662728048755E-6</c:v>
                </c:pt>
                <c:pt idx="2">
                  <c:v>5.7361357105493493E-5</c:v>
                </c:pt>
                <c:pt idx="3">
                  <c:v>9.3928751471449772E-4</c:v>
                </c:pt>
                <c:pt idx="4">
                  <c:v>7.4932050826936915E-3</c:v>
                </c:pt>
                <c:pt idx="5">
                  <c:v>3.2800471961839522E-2</c:v>
                </c:pt>
                <c:pt idx="6">
                  <c:v>8.6635119422354204E-2</c:v>
                </c:pt>
                <c:pt idx="7">
                  <c:v>0.14909546983266303</c:v>
                </c:pt>
                <c:pt idx="8">
                  <c:v>0.1780114349570453</c:v>
                </c:pt>
                <c:pt idx="9">
                  <c:v>0.15528549456541477</c:v>
                </c:pt>
                <c:pt idx="10">
                  <c:v>0.10332955422391688</c:v>
                </c:pt>
                <c:pt idx="11">
                  <c:v>5.4377515022381848E-2</c:v>
                </c:pt>
                <c:pt idx="12">
                  <c:v>2.3332711412433971E-2</c:v>
                </c:pt>
                <c:pt idx="13">
                  <c:v>8.3776579671249966E-3</c:v>
                </c:pt>
                <c:pt idx="14">
                  <c:v>2.5734589818730601E-3</c:v>
                </c:pt>
                <c:pt idx="15">
                  <c:v>6.89320490541164E-4</c:v>
                </c:pt>
                <c:pt idx="16">
                  <c:v>1.6367344465552193E-4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34-C94D-B343-3A86BC25B093}"/>
            </c:ext>
          </c:extLst>
        </c:ser>
        <c:ser>
          <c:idx val="2"/>
          <c:order val="2"/>
          <c:tx>
            <c:strRef>
              <c:f>CallGkTable!$D$66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CallGkTable!$A$67:$A$83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CallGkTable!$D$67:$D$83</c:f>
              <c:numCache>
                <c:formatCode>0.0000</c:formatCode>
                <c:ptCount val="17"/>
                <c:pt idx="0">
                  <c:v>3.6360095554575554E-6</c:v>
                </c:pt>
                <c:pt idx="1">
                  <c:v>8.5735604439262305E-5</c:v>
                </c:pt>
                <c:pt idx="2">
                  <c:v>9.9359820227649877E-4</c:v>
                </c:pt>
                <c:pt idx="3">
                  <c:v>6.4440735249376054E-3</c:v>
                </c:pt>
                <c:pt idx="4">
                  <c:v>2.5866773497556825E-2</c:v>
                </c:pt>
                <c:pt idx="5">
                  <c:v>6.9568288790958291E-2</c:v>
                </c:pt>
                <c:pt idx="6">
                  <c:v>0.13356393635672964</c:v>
                </c:pt>
                <c:pt idx="7">
                  <c:v>0.19267540519079143</c:v>
                </c:pt>
                <c:pt idx="8">
                  <c:v>0.21777345900985229</c:v>
                </c:pt>
                <c:pt idx="9">
                  <c:v>0.19963011175668893</c:v>
                </c:pt>
                <c:pt idx="10">
                  <c:v>0.15274679608962338</c:v>
                </c:pt>
                <c:pt idx="11">
                  <c:v>9.9933417595957988E-2</c:v>
                </c:pt>
                <c:pt idx="12">
                  <c:v>5.7053408088958327E-2</c:v>
                </c:pt>
                <c:pt idx="13">
                  <c:v>2.8919931949563497E-2</c:v>
                </c:pt>
                <c:pt idx="14">
                  <c:v>1.3209299733984305E-2</c:v>
                </c:pt>
                <c:pt idx="15">
                  <c:v>5.5061531676659147E-3</c:v>
                </c:pt>
                <c:pt idx="16">
                  <c:v>2.1177230646577411E-3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34-C94D-B343-3A86BC25B093}"/>
            </c:ext>
          </c:extLst>
        </c:ser>
        <c:ser>
          <c:idx val="3"/>
          <c:order val="3"/>
          <c:tx>
            <c:strRef>
              <c:f>CallGkTable!$E$66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CallGkTable!$A$67:$A$83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CallGkTable!$E$67:$E$83</c:f>
              <c:numCache>
                <c:formatCode>0.0000</c:formatCode>
                <c:ptCount val="17"/>
                <c:pt idx="0">
                  <c:v>6.3545564110513227E-5</c:v>
                </c:pt>
                <c:pt idx="1">
                  <c:v>6.8337646766849906E-4</c:v>
                </c:pt>
                <c:pt idx="2">
                  <c:v>4.3122978474392235E-3</c:v>
                </c:pt>
                <c:pt idx="3">
                  <c:v>1.7601258389828199E-2</c:v>
                </c:pt>
                <c:pt idx="4">
                  <c:v>5.0116628118720127E-2</c:v>
                </c:pt>
                <c:pt idx="5">
                  <c:v>0.10565235887329337</c:v>
                </c:pt>
                <c:pt idx="6">
                  <c:v>0.17293746502576168</c:v>
                </c:pt>
                <c:pt idx="7">
                  <c:v>0.22840702670307461</c:v>
                </c:pt>
                <c:pt idx="8">
                  <c:v>0.25118039341108511</c:v>
                </c:pt>
                <c:pt idx="9">
                  <c:v>0.2360347210135211</c:v>
                </c:pt>
                <c:pt idx="10">
                  <c:v>0.19366366629160026</c:v>
                </c:pt>
                <c:pt idx="11">
                  <c:v>0.14127284601816148</c:v>
                </c:pt>
                <c:pt idx="12">
                  <c:v>9.3034075502440541E-2</c:v>
                </c:pt>
                <c:pt idx="13">
                  <c:v>5.6032093638267749E-2</c:v>
                </c:pt>
                <c:pt idx="14">
                  <c:v>3.1207812645797247E-2</c:v>
                </c:pt>
                <c:pt idx="15">
                  <c:v>1.6227966445448341E-2</c:v>
                </c:pt>
                <c:pt idx="16">
                  <c:v>7.9435914841497826E-3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34-C94D-B343-3A86BC25B093}"/>
            </c:ext>
          </c:extLst>
        </c:ser>
        <c:ser>
          <c:idx val="4"/>
          <c:order val="4"/>
          <c:tx>
            <c:strRef>
              <c:f>CallGkTable!$F$66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CallGkTable!$A$67:$A$83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CallGkTable!$F$67:$F$83</c:f>
              <c:numCache>
                <c:formatCode>0.0000</c:formatCode>
                <c:ptCount val="17"/>
                <c:pt idx="0">
                  <c:v>3.625261396739315E-4</c:v>
                </c:pt>
                <c:pt idx="1">
                  <c:v>2.4340934965576379E-3</c:v>
                </c:pt>
                <c:pt idx="2">
                  <c:v>1.0665604474636936E-2</c:v>
                </c:pt>
                <c:pt idx="3">
                  <c:v>3.2972479768503961E-2</c:v>
                </c:pt>
                <c:pt idx="4">
                  <c:v>7.6401792301498683E-2</c:v>
                </c:pt>
                <c:pt idx="5">
                  <c:v>0.13916751647279249</c:v>
                </c:pt>
                <c:pt idx="6">
                  <c:v>0.20700792345453845</c:v>
                </c:pt>
                <c:pt idx="7">
                  <c:v>0.25930883920219033</c:v>
                </c:pt>
                <c:pt idx="8">
                  <c:v>0.28051246304186256</c:v>
                </c:pt>
                <c:pt idx="9">
                  <c:v>0.26754925856393441</c:v>
                </c:pt>
                <c:pt idx="10">
                  <c:v>0.22891366897286511</c:v>
                </c:pt>
                <c:pt idx="11">
                  <c:v>0.17825651843380041</c:v>
                </c:pt>
                <c:pt idx="12">
                  <c:v>0.12788990708238193</c:v>
                </c:pt>
                <c:pt idx="13">
                  <c:v>8.5419800594485493E-2</c:v>
                </c:pt>
                <c:pt idx="14">
                  <c:v>5.3588475727461456E-2</c:v>
                </c:pt>
                <c:pt idx="15">
                  <c:v>3.1819367439192565E-2</c:v>
                </c:pt>
                <c:pt idx="16">
                  <c:v>1.8000455519786449E-2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34-C94D-B343-3A86BC25B093}"/>
            </c:ext>
          </c:extLst>
        </c:ser>
        <c:ser>
          <c:idx val="5"/>
          <c:order val="5"/>
          <c:tx>
            <c:strRef>
              <c:f>CallGkTable!$G$66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CallGkTable!$A$67:$A$83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CallGkTable!$G$67:$G$83</c:f>
              <c:numCache>
                <c:formatCode>0.0000</c:formatCode>
                <c:ptCount val="17"/>
                <c:pt idx="0">
                  <c:v>1.1766116464443557E-3</c:v>
                </c:pt>
                <c:pt idx="1">
                  <c:v>5.7709392847973577E-3</c:v>
                </c:pt>
                <c:pt idx="2">
                  <c:v>1.9828706392671893E-2</c:v>
                </c:pt>
                <c:pt idx="3">
                  <c:v>5.0934802908825044E-2</c:v>
                </c:pt>
                <c:pt idx="4">
                  <c:v>0.10287482444006045</c:v>
                </c:pt>
                <c:pt idx="5">
                  <c:v>0.16999445472389771</c:v>
                </c:pt>
                <c:pt idx="6">
                  <c:v>0.23723384471393921</c:v>
                </c:pt>
                <c:pt idx="7">
                  <c:v>0.28686682039024303</c:v>
                </c:pt>
                <c:pt idx="8">
                  <c:v>0.30694050496199521</c:v>
                </c:pt>
                <c:pt idx="9">
                  <c:v>0.29567419013929408</c:v>
                </c:pt>
                <c:pt idx="10">
                  <c:v>0.26014283512817948</c:v>
                </c:pt>
                <c:pt idx="11">
                  <c:v>0.21158960540408661</c:v>
                </c:pt>
                <c:pt idx="12">
                  <c:v>0.16072749659884919</c:v>
                </c:pt>
                <c:pt idx="13">
                  <c:v>0.11501755031066585</c:v>
                </c:pt>
                <c:pt idx="14">
                  <c:v>7.8115019427058494E-2</c:v>
                </c:pt>
                <c:pt idx="15">
                  <c:v>5.0671947233936789E-2</c:v>
                </c:pt>
                <c:pt idx="16">
                  <c:v>3.1568381504252202E-2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834-C94D-B343-3A86BC25B093}"/>
            </c:ext>
          </c:extLst>
        </c:ser>
        <c:ser>
          <c:idx val="6"/>
          <c:order val="6"/>
          <c:tx>
            <c:strRef>
              <c:f>CallGkTable!$H$66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CallGkTable!$A$67:$A$83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CallGkTable!$H$67:$H$83</c:f>
              <c:numCache>
                <c:formatCode>0.0000</c:formatCode>
                <c:ptCount val="17"/>
                <c:pt idx="0">
                  <c:v>2.7599282724645067E-3</c:v>
                </c:pt>
                <c:pt idx="1">
                  <c:v>1.0816670734477618E-2</c:v>
                </c:pt>
                <c:pt idx="2">
                  <c:v>3.1240118425491598E-2</c:v>
                </c:pt>
                <c:pt idx="3">
                  <c:v>7.0302629740001565E-2</c:v>
                </c:pt>
                <c:pt idx="4">
                  <c:v>0.12872223646374942</c:v>
                </c:pt>
                <c:pt idx="5">
                  <c:v>0.19840779785263229</c:v>
                </c:pt>
                <c:pt idx="6">
                  <c:v>0.26455122246358703</c:v>
                </c:pt>
                <c:pt idx="7">
                  <c:v>0.31193622839956392</c:v>
                </c:pt>
                <c:pt idx="8">
                  <c:v>0.3311608714611029</c:v>
                </c:pt>
                <c:pt idx="9">
                  <c:v>0.32127364650068385</c:v>
                </c:pt>
                <c:pt idx="10">
                  <c:v>0.28836210247206256</c:v>
                </c:pt>
                <c:pt idx="11">
                  <c:v>0.24195071188978151</c:v>
                </c:pt>
                <c:pt idx="12">
                  <c:v>0.19144349454685666</c:v>
                </c:pt>
                <c:pt idx="13">
                  <c:v>0.14391583547437295</c:v>
                </c:pt>
                <c:pt idx="14">
                  <c:v>0.1034407289521341</c:v>
                </c:pt>
                <c:pt idx="15">
                  <c:v>7.1476357882319846E-2</c:v>
                </c:pt>
                <c:pt idx="16">
                  <c:v>4.7705729750376957E-2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834-C94D-B343-3A86BC25B093}"/>
            </c:ext>
          </c:extLst>
        </c:ser>
        <c:ser>
          <c:idx val="7"/>
          <c:order val="7"/>
          <c:tx>
            <c:strRef>
              <c:f>CallGkTable!$I$66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CallGkTable!$A$67:$A$83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CallGkTable!$I$67:$I$83</c:f>
              <c:numCache>
                <c:formatCode>0.0000</c:formatCode>
                <c:ptCount val="17"/>
                <c:pt idx="0">
                  <c:v>5.2767323580423285E-3</c:v>
                </c:pt>
                <c:pt idx="1">
                  <c:v>1.7478240873614229E-2</c:v>
                </c:pt>
                <c:pt idx="2">
                  <c:v>4.431443031965894E-2</c:v>
                </c:pt>
                <c:pt idx="3">
                  <c:v>9.0304222542602272E-2</c:v>
                </c:pt>
                <c:pt idx="4">
                  <c:v>0.15361396923011619</c:v>
                </c:pt>
                <c:pt idx="5">
                  <c:v>0.22473489195639598</c:v>
                </c:pt>
                <c:pt idx="6">
                  <c:v>0.28958655791598931</c:v>
                </c:pt>
                <c:pt idx="7">
                  <c:v>0.33506087760385839</c:v>
                </c:pt>
                <c:pt idx="8">
                  <c:v>0.35362780796997578</c:v>
                </c:pt>
                <c:pt idx="9">
                  <c:v>0.34489758203526322</c:v>
                </c:pt>
                <c:pt idx="10">
                  <c:v>0.31423293448931328</c:v>
                </c:pt>
                <c:pt idx="11">
                  <c:v>0.2698796374360215</c:v>
                </c:pt>
                <c:pt idx="12">
                  <c:v>0.22017713675499853</c:v>
                </c:pt>
                <c:pt idx="13">
                  <c:v>0.17174563874605031</c:v>
                </c:pt>
                <c:pt idx="14">
                  <c:v>0.12880363658795951</c:v>
                </c:pt>
                <c:pt idx="15">
                  <c:v>9.3320554875542944E-2</c:v>
                </c:pt>
                <c:pt idx="16">
                  <c:v>6.5588544899120943E-2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834-C94D-B343-3A86BC25B093}"/>
            </c:ext>
          </c:extLst>
        </c:ser>
        <c:ser>
          <c:idx val="8"/>
          <c:order val="8"/>
          <c:tx>
            <c:strRef>
              <c:f>CallGkTable!$J$66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CallGkTable!$A$67:$A$83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CallGkTable!$J$67:$J$83</c:f>
              <c:numCache>
                <c:formatCode>0.0000</c:formatCode>
                <c:ptCount val="17"/>
                <c:pt idx="0">
                  <c:v>8.7942603690305717E-3</c:v>
                </c:pt>
                <c:pt idx="1">
                  <c:v>2.5556717355709923E-2</c:v>
                </c:pt>
                <c:pt idx="2">
                  <c:v>5.855343505406032E-2</c:v>
                </c:pt>
                <c:pt idx="3">
                  <c:v>0.11045773801093517</c:v>
                </c:pt>
                <c:pt idx="4">
                  <c:v>0.17744408367129641</c:v>
                </c:pt>
                <c:pt idx="5">
                  <c:v>0.24927154208382693</c:v>
                </c:pt>
                <c:pt idx="6">
                  <c:v>0.3127778048750498</c:v>
                </c:pt>
                <c:pt idx="7">
                  <c:v>0.35661132714949467</c:v>
                </c:pt>
                <c:pt idx="8">
                  <c:v>0.37465720501521849</c:v>
                </c:pt>
                <c:pt idx="9">
                  <c:v>0.36692108772311305</c:v>
                </c:pt>
                <c:pt idx="10">
                  <c:v>0.33821167077407693</c:v>
                </c:pt>
                <c:pt idx="11">
                  <c:v>0.29579147918734405</c:v>
                </c:pt>
                <c:pt idx="12">
                  <c:v>0.24712869597243461</c:v>
                </c:pt>
                <c:pt idx="13">
                  <c:v>0.19838851664708948</c:v>
                </c:pt>
                <c:pt idx="14">
                  <c:v>0.15378580943041786</c:v>
                </c:pt>
                <c:pt idx="15">
                  <c:v>0.11560345928134989</c:v>
                </c:pt>
                <c:pt idx="16">
                  <c:v>8.4581782621465387E-2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34-C94D-B343-3A86BC25B093}"/>
            </c:ext>
          </c:extLst>
        </c:ser>
        <c:ser>
          <c:idx val="9"/>
          <c:order val="9"/>
          <c:tx>
            <c:strRef>
              <c:f>CallGkTable!$K$66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CallGkTable!$A$67:$A$83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CallGkTable!$K$67:$K$83</c:f>
              <c:numCache>
                <c:formatCode>0.0000</c:formatCode>
                <c:ptCount val="17"/>
                <c:pt idx="0">
                  <c:v>1.3304138019690321E-2</c:v>
                </c:pt>
                <c:pt idx="1">
                  <c:v>3.4820176623168372E-2</c:v>
                </c:pt>
                <c:pt idx="2">
                  <c:v>7.3566173019582473E-2</c:v>
                </c:pt>
                <c:pt idx="3">
                  <c:v>0.13046879019121693</c:v>
                </c:pt>
                <c:pt idx="4">
                  <c:v>0.20021019742744606</c:v>
                </c:pt>
                <c:pt idx="5">
                  <c:v>0.27226666793458265</c:v>
                </c:pt>
                <c:pt idx="6">
                  <c:v>0.33444289202725913</c:v>
                </c:pt>
                <c:pt idx="7">
                  <c:v>0.37685326590063861</c:v>
                </c:pt>
                <c:pt idx="8">
                  <c:v>0.39447933090788895</c:v>
                </c:pt>
                <c:pt idx="9">
                  <c:v>0.38761333572648299</c:v>
                </c:pt>
                <c:pt idx="10">
                  <c:v>0.36062690186445989</c:v>
                </c:pt>
                <c:pt idx="11">
                  <c:v>0.32000599329500923</c:v>
                </c:pt>
                <c:pt idx="12">
                  <c:v>0.27249840451049845</c:v>
                </c:pt>
                <c:pt idx="13">
                  <c:v>0.22384180561821135</c:v>
                </c:pt>
                <c:pt idx="14">
                  <c:v>0.17816680549913186</c:v>
                </c:pt>
                <c:pt idx="15">
                  <c:v>0.13793855243276576</c:v>
                </c:pt>
                <c:pt idx="16">
                  <c:v>0.10422116521119737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834-C94D-B343-3A86BC25B093}"/>
            </c:ext>
          </c:extLst>
        </c:ser>
        <c:ser>
          <c:idx val="10"/>
          <c:order val="10"/>
          <c:tx>
            <c:strRef>
              <c:f>CallGkTable!$L$66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CallGkTable!$A$67:$A$83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CallGkTable!$L$67:$L$83</c:f>
              <c:numCache>
                <c:formatCode>0.0000</c:formatCode>
                <c:ptCount val="17"/>
                <c:pt idx="0">
                  <c:v>9.5039378692490781E-2</c:v>
                </c:pt>
                <c:pt idx="1">
                  <c:v>0.15529982480581037</c:v>
                </c:pt>
                <c:pt idx="2">
                  <c:v>0.22783353493544931</c:v>
                </c:pt>
                <c:pt idx="3">
                  <c:v>0.30603936130050935</c:v>
                </c:pt>
                <c:pt idx="4">
                  <c:v>0.3821823765301533</c:v>
                </c:pt>
                <c:pt idx="5">
                  <c:v>0.44907193585775429</c:v>
                </c:pt>
                <c:pt idx="6">
                  <c:v>0.50128257699490841</c:v>
                </c:pt>
                <c:pt idx="7">
                  <c:v>0.53572622142458148</c:v>
                </c:pt>
                <c:pt idx="8">
                  <c:v>0.55163706332541196</c:v>
                </c:pt>
                <c:pt idx="9">
                  <c:v>0.5501604023542791</c:v>
                </c:pt>
                <c:pt idx="10">
                  <c:v>0.53375807389774843</c:v>
                </c:pt>
                <c:pt idx="11">
                  <c:v>0.50560061959578539</c:v>
                </c:pt>
                <c:pt idx="12">
                  <c:v>0.46905195347320522</c:v>
                </c:pt>
                <c:pt idx="13">
                  <c:v>0.42729288686192146</c:v>
                </c:pt>
                <c:pt idx="14">
                  <c:v>0.38308718744736653</c:v>
                </c:pt>
                <c:pt idx="15">
                  <c:v>0.33866932678137174</c:v>
                </c:pt>
                <c:pt idx="16">
                  <c:v>0.29572311895113684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834-C94D-B343-3A86BC25B093}"/>
            </c:ext>
          </c:extLst>
        </c:ser>
        <c:ser>
          <c:idx val="11"/>
          <c:order val="11"/>
          <c:tx>
            <c:strRef>
              <c:f>CallGkTable!$M$66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CallGkTable!$A$67:$A$83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CallGkTable!$M$67:$M$83</c:f>
              <c:numCache>
                <c:formatCode>0.0000</c:formatCode>
                <c:ptCount val="17"/>
                <c:pt idx="0">
                  <c:v>0.19822539521715421</c:v>
                </c:pt>
                <c:pt idx="1">
                  <c:v>0.27684353502761888</c:v>
                </c:pt>
                <c:pt idx="2">
                  <c:v>0.35965069029119612</c:v>
                </c:pt>
                <c:pt idx="3">
                  <c:v>0.44036986538728895</c:v>
                </c:pt>
                <c:pt idx="4">
                  <c:v>0.51343117209127098</c:v>
                </c:pt>
                <c:pt idx="5">
                  <c:v>0.57460996039653589</c:v>
                </c:pt>
                <c:pt idx="6">
                  <c:v>0.62127838620556741</c:v>
                </c:pt>
                <c:pt idx="7">
                  <c:v>0.65235380338435678</c:v>
                </c:pt>
                <c:pt idx="8">
                  <c:v>0.66805659306916709</c:v>
                </c:pt>
                <c:pt idx="9">
                  <c:v>0.669580745803801</c:v>
                </c:pt>
                <c:pt idx="10">
                  <c:v>0.658754089959111</c:v>
                </c:pt>
                <c:pt idx="11">
                  <c:v>0.63773587385453712</c:v>
                </c:pt>
                <c:pt idx="12">
                  <c:v>0.60877484538879079</c:v>
                </c:pt>
                <c:pt idx="13">
                  <c:v>0.57403350128173725</c:v>
                </c:pt>
                <c:pt idx="14">
                  <c:v>0.53547351271025079</c:v>
                </c:pt>
                <c:pt idx="15">
                  <c:v>0.4947920194343377</c:v>
                </c:pt>
                <c:pt idx="16">
                  <c:v>0.45339683503257278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834-C94D-B343-3A86BC25B093}"/>
            </c:ext>
          </c:extLst>
        </c:ser>
        <c:ser>
          <c:idx val="12"/>
          <c:order val="12"/>
          <c:tx>
            <c:strRef>
              <c:f>CallGkTable!$N$66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CallGkTable!$A$67:$A$83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CallGkTable!$N$67:$N$83</c:f>
              <c:numCache>
                <c:formatCode>0.0000</c:formatCode>
                <c:ptCount val="17"/>
                <c:pt idx="0">
                  <c:v>0.29702348640212856</c:v>
                </c:pt>
                <c:pt idx="1">
                  <c:v>0.38350386340459219</c:v>
                </c:pt>
                <c:pt idx="2">
                  <c:v>0.46883083785060736</c:v>
                </c:pt>
                <c:pt idx="3">
                  <c:v>0.54807676647351544</c:v>
                </c:pt>
                <c:pt idx="4">
                  <c:v>0.61743560179207302</c:v>
                </c:pt>
                <c:pt idx="5">
                  <c:v>0.67438113704922498</c:v>
                </c:pt>
                <c:pt idx="6">
                  <c:v>0.71761533320686932</c:v>
                </c:pt>
                <c:pt idx="7">
                  <c:v>0.7468905995563202</c:v>
                </c:pt>
                <c:pt idx="8">
                  <c:v>0.76277563092104816</c:v>
                </c:pt>
                <c:pt idx="9">
                  <c:v>0.76641397953105828</c:v>
                </c:pt>
                <c:pt idx="10">
                  <c:v>0.75930525448770614</c:v>
                </c:pt>
                <c:pt idx="11">
                  <c:v>0.74312371276717004</c:v>
                </c:pt>
                <c:pt idx="12">
                  <c:v>0.71957857026067118</c:v>
                </c:pt>
                <c:pt idx="13">
                  <c:v>0.69031398866778304</c:v>
                </c:pt>
                <c:pt idx="14">
                  <c:v>0.65684337427013217</c:v>
                </c:pt>
                <c:pt idx="15">
                  <c:v>0.62051137062691952</c:v>
                </c:pt>
                <c:pt idx="16">
                  <c:v>0.58247693709726123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834-C94D-B343-3A86BC25B093}"/>
            </c:ext>
          </c:extLst>
        </c:ser>
        <c:ser>
          <c:idx val="13"/>
          <c:order val="13"/>
          <c:tx>
            <c:strRef>
              <c:f>CallGkTable!$O$66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CallGkTable!$A$67:$A$83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CallGkTable!$O$67:$O$83</c:f>
              <c:numCache>
                <c:formatCode>0.0000</c:formatCode>
                <c:ptCount val="17"/>
                <c:pt idx="0">
                  <c:v>0.38653493471867856</c:v>
                </c:pt>
                <c:pt idx="1">
                  <c:v>0.47611297617669929</c:v>
                </c:pt>
                <c:pt idx="2">
                  <c:v>0.56119836056730876</c:v>
                </c:pt>
                <c:pt idx="3">
                  <c:v>0.63807941266216017</c:v>
                </c:pt>
                <c:pt idx="4">
                  <c:v>0.70416816821210715</c:v>
                </c:pt>
                <c:pt idx="5">
                  <c:v>0.75795571731518352</c:v>
                </c:pt>
                <c:pt idx="6">
                  <c:v>0.79886620400360497</c:v>
                </c:pt>
                <c:pt idx="7">
                  <c:v>0.82706631007194997</c:v>
                </c:pt>
                <c:pt idx="8">
                  <c:v>0.84326874401380636</c:v>
                </c:pt>
                <c:pt idx="9">
                  <c:v>0.84855257304543275</c:v>
                </c:pt>
                <c:pt idx="10">
                  <c:v>0.84421159741338547</c:v>
                </c:pt>
                <c:pt idx="11">
                  <c:v>0.83163420463033955</c:v>
                </c:pt>
                <c:pt idx="12">
                  <c:v>0.81221348325030684</c:v>
                </c:pt>
                <c:pt idx="13">
                  <c:v>0.78728394585688899</c:v>
                </c:pt>
                <c:pt idx="14">
                  <c:v>0.75808024938338048</c:v>
                </c:pt>
                <c:pt idx="15">
                  <c:v>0.72571322803396554</c:v>
                </c:pt>
                <c:pt idx="16">
                  <c:v>0.69115896371880392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834-C94D-B343-3A86BC25B093}"/>
            </c:ext>
          </c:extLst>
        </c:ser>
        <c:bandFmts>
          <c:bandFmt>
            <c:idx val="0"/>
            <c:spPr>
              <a:solidFill>
                <a:schemeClr val="accent1">
                  <a:shade val="42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5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68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80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shade val="9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94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81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69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56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18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5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92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0"/>
                </a:schemeClr>
              </a:solidFill>
              <a:ln/>
              <a:effectLst/>
              <a:sp3d/>
            </c:spPr>
          </c:bandFmt>
        </c:bandFmts>
        <c:axId val="1658108352"/>
        <c:axId val="1658651072"/>
        <c:axId val="1652210176"/>
      </c:surface3DChart>
      <c:catAx>
        <c:axId val="1658108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651072"/>
        <c:crosses val="autoZero"/>
        <c:auto val="1"/>
        <c:lblAlgn val="ctr"/>
        <c:lblOffset val="100"/>
        <c:noMultiLvlLbl val="0"/>
      </c:catAx>
      <c:valAx>
        <c:axId val="1658651072"/>
        <c:scaling>
          <c:orientation val="minMax"/>
          <c:max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108352"/>
        <c:crosses val="autoZero"/>
        <c:crossBetween val="midCat"/>
      </c:valAx>
      <c:serAx>
        <c:axId val="165221017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65107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</a:t>
            </a:r>
            <a:r>
              <a:rPr lang="en-US" baseline="0"/>
              <a:t> - 20%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CallGkTable!$B$86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CallGkTable!$A$87:$A$103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CallGkTable!$B$87:$B$103</c:f>
              <c:numCache>
                <c:formatCode>0.0000</c:formatCode>
                <c:ptCount val="17"/>
                <c:pt idx="0">
                  <c:v>2.9155373317769776E-17</c:v>
                </c:pt>
                <c:pt idx="1">
                  <c:v>4.3284662987202276E-13</c:v>
                </c:pt>
                <c:pt idx="2">
                  <c:v>7.7692467200589754E-10</c:v>
                </c:pt>
                <c:pt idx="3">
                  <c:v>2.5013539023405383E-7</c:v>
                </c:pt>
                <c:pt idx="4">
                  <c:v>1.9684019476440402E-5</c:v>
                </c:pt>
                <c:pt idx="5">
                  <c:v>4.8575796157643812E-4</c:v>
                </c:pt>
                <c:pt idx="6">
                  <c:v>4.6266505291057552E-3</c:v>
                </c:pt>
                <c:pt idx="7">
                  <c:v>2.0396276517295933E-2</c:v>
                </c:pt>
                <c:pt idx="8">
                  <c:v>4.9319898584384118E-2</c:v>
                </c:pt>
                <c:pt idx="9">
                  <c:v>7.7428944428213187E-2</c:v>
                </c:pt>
                <c:pt idx="10">
                  <c:v>9.3111062933054906E-2</c:v>
                </c:pt>
                <c:pt idx="11">
                  <c:v>9.848975862557928E-2</c:v>
                </c:pt>
                <c:pt idx="12">
                  <c:v>9.969302994528785E-2</c:v>
                </c:pt>
                <c:pt idx="13">
                  <c:v>9.98778680506415E-2</c:v>
                </c:pt>
                <c:pt idx="14">
                  <c:v>9.9898257831417606E-2</c:v>
                </c:pt>
                <c:pt idx="15">
                  <c:v>9.989993742548707E-2</c:v>
                </c:pt>
                <c:pt idx="16">
                  <c:v>9.9900044333117666E-2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F2-7E44-B10E-826E2977342A}"/>
            </c:ext>
          </c:extLst>
        </c:ser>
        <c:ser>
          <c:idx val="1"/>
          <c:order val="1"/>
          <c:tx>
            <c:strRef>
              <c:f>CallGkTable!$C$86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CallGkTable!$A$87:$A$103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CallGkTable!$C$87:$C$103</c:f>
              <c:numCache>
                <c:formatCode>0.0000</c:formatCode>
                <c:ptCount val="17"/>
                <c:pt idx="0">
                  <c:v>9.8144996773923601E-10</c:v>
                </c:pt>
                <c:pt idx="1">
                  <c:v>1.3045620291245921E-7</c:v>
                </c:pt>
                <c:pt idx="2">
                  <c:v>6.0569776566511083E-6</c:v>
                </c:pt>
                <c:pt idx="3">
                  <c:v>1.198173930924223E-4</c:v>
                </c:pt>
                <c:pt idx="4">
                  <c:v>1.1806153679816468E-3</c:v>
                </c:pt>
                <c:pt idx="5">
                  <c:v>6.5728086131009644E-3</c:v>
                </c:pt>
                <c:pt idx="6">
                  <c:v>2.2955278113909655E-2</c:v>
                </c:pt>
                <c:pt idx="7">
                  <c:v>5.5018256030450019E-2</c:v>
                </c:pt>
                <c:pt idx="8">
                  <c:v>9.8019788801767233E-2</c:v>
                </c:pt>
                <c:pt idx="9">
                  <c:v>0.13963207315360487</c:v>
                </c:pt>
                <c:pt idx="10">
                  <c:v>0.16997597069863818</c:v>
                </c:pt>
                <c:pt idx="11">
                  <c:v>0.18727453260072849</c:v>
                </c:pt>
                <c:pt idx="12">
                  <c:v>0.19522974084010122</c:v>
                </c:pt>
                <c:pt idx="13">
                  <c:v>0.19826121374631195</c:v>
                </c:pt>
                <c:pt idx="14">
                  <c:v>0.19924080062887659</c:v>
                </c:pt>
                <c:pt idx="15">
                  <c:v>0.19951462891393379</c:v>
                </c:pt>
                <c:pt idx="16">
                  <c:v>0.19958199888181855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F2-7E44-B10E-826E2977342A}"/>
            </c:ext>
          </c:extLst>
        </c:ser>
        <c:ser>
          <c:idx val="2"/>
          <c:order val="2"/>
          <c:tx>
            <c:strRef>
              <c:f>CallGkTable!$D$86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CallGkTable!$A$87:$A$103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CallGkTable!$D$87:$D$103</c:f>
              <c:numCache>
                <c:formatCode>0.0000</c:formatCode>
                <c:ptCount val="17"/>
                <c:pt idx="0">
                  <c:v>4.0745379654174122E-7</c:v>
                </c:pt>
                <c:pt idx="1">
                  <c:v>1.1214508890306986E-5</c:v>
                </c:pt>
                <c:pt idx="2">
                  <c:v>1.5340110803905882E-4</c:v>
                </c:pt>
                <c:pt idx="3">
                  <c:v>1.1911631216126905E-3</c:v>
                </c:pt>
                <c:pt idx="4">
                  <c:v>5.8294742224800945E-3</c:v>
                </c:pt>
                <c:pt idx="5">
                  <c:v>1.9560484482833904E-2</c:v>
                </c:pt>
                <c:pt idx="6">
                  <c:v>4.8240469025865852E-2</c:v>
                </c:pt>
                <c:pt idx="7">
                  <c:v>9.2744913252504044E-2</c:v>
                </c:pt>
                <c:pt idx="8">
                  <c:v>0.14628325566737618</c:v>
                </c:pt>
                <c:pt idx="9">
                  <c:v>0.19801355879149482</c:v>
                </c:pt>
                <c:pt idx="10">
                  <c:v>0.23936909463006029</c:v>
                </c:pt>
                <c:pt idx="11">
                  <c:v>0.26741714753531926</c:v>
                </c:pt>
                <c:pt idx="12">
                  <c:v>0.28390164223017772</c:v>
                </c:pt>
                <c:pt idx="13">
                  <c:v>0.29245072006046918</c:v>
                </c:pt>
                <c:pt idx="14">
                  <c:v>0.29642425234579134</c:v>
                </c:pt>
                <c:pt idx="15">
                  <c:v>0.2981017221563636</c:v>
                </c:pt>
                <c:pt idx="16">
                  <c:v>0.29875241343482667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F2-7E44-B10E-826E2977342A}"/>
            </c:ext>
          </c:extLst>
        </c:ser>
        <c:ser>
          <c:idx val="3"/>
          <c:order val="3"/>
          <c:tx>
            <c:strRef>
              <c:f>CallGkTable!$E$86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CallGkTable!$A$87:$A$103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CallGkTable!$E$87:$E$103</c:f>
              <c:numCache>
                <c:formatCode>0.0000</c:formatCode>
                <c:ptCount val="17"/>
                <c:pt idx="0">
                  <c:v>9.3629247971002419E-6</c:v>
                </c:pt>
                <c:pt idx="1">
                  <c:v>1.1705675325644333E-4</c:v>
                </c:pt>
                <c:pt idx="2">
                  <c:v>8.6710702538517648E-4</c:v>
                </c:pt>
                <c:pt idx="3">
                  <c:v>4.2058365657656558E-3</c:v>
                </c:pt>
                <c:pt idx="4">
                  <c:v>1.444966056758099E-2</c:v>
                </c:pt>
                <c:pt idx="5">
                  <c:v>3.7454643863001104E-2</c:v>
                </c:pt>
                <c:pt idx="6">
                  <c:v>7.7145681524544096E-2</c:v>
                </c:pt>
                <c:pt idx="7">
                  <c:v>0.13187458778736866</c:v>
                </c:pt>
                <c:pt idx="8">
                  <c:v>0.19417631512966549</c:v>
                </c:pt>
                <c:pt idx="9">
                  <c:v>0.25432746553601698</c:v>
                </c:pt>
                <c:pt idx="10">
                  <c:v>0.30470390561626748</c:v>
                </c:pt>
                <c:pt idx="11">
                  <c:v>0.34200126589648205</c:v>
                </c:pt>
                <c:pt idx="12">
                  <c:v>0.36680746478076992</c:v>
                </c:pt>
                <c:pt idx="13">
                  <c:v>0.38183205335550985</c:v>
                </c:pt>
                <c:pt idx="14">
                  <c:v>0.39021658405667153</c:v>
                </c:pt>
                <c:pt idx="15">
                  <c:v>0.3945712177608065</c:v>
                </c:pt>
                <c:pt idx="16">
                  <c:v>0.39669441320637572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F2-7E44-B10E-826E2977342A}"/>
            </c:ext>
          </c:extLst>
        </c:ser>
        <c:ser>
          <c:idx val="4"/>
          <c:order val="4"/>
          <c:tx>
            <c:strRef>
              <c:f>CallGkTable!$F$86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CallGkTable!$A$87:$A$103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CallGkTable!$F$87:$F$103</c:f>
              <c:numCache>
                <c:formatCode>0.0000</c:formatCode>
                <c:ptCount val="17"/>
                <c:pt idx="0">
                  <c:v>6.588679923516248E-5</c:v>
                </c:pt>
                <c:pt idx="1">
                  <c:v>5.1241821470043641E-4</c:v>
                </c:pt>
                <c:pt idx="2">
                  <c:v>2.6230859396038069E-3</c:v>
                </c:pt>
                <c:pt idx="3">
                  <c:v>9.5750502791312735E-3</c:v>
                </c:pt>
                <c:pt idx="4">
                  <c:v>2.6541221761137001E-2</c:v>
                </c:pt>
                <c:pt idx="5">
                  <c:v>5.8755556011287499E-2</c:v>
                </c:pt>
                <c:pt idx="6">
                  <c:v>0.10825115598149131</c:v>
                </c:pt>
                <c:pt idx="7">
                  <c:v>0.1717865664850281</c:v>
                </c:pt>
                <c:pt idx="8">
                  <c:v>0.24173738548666901</c:v>
                </c:pt>
                <c:pt idx="9">
                  <c:v>0.30924184743469108</c:v>
                </c:pt>
                <c:pt idx="10">
                  <c:v>0.36738595144398112</c:v>
                </c:pt>
                <c:pt idx="11">
                  <c:v>0.41277215823472962</c:v>
                </c:pt>
                <c:pt idx="12">
                  <c:v>0.44529407145839939</c:v>
                </c:pt>
                <c:pt idx="13">
                  <c:v>0.46692198548977837</c:v>
                </c:pt>
                <c:pt idx="14">
                  <c:v>0.48039616695751536</c:v>
                </c:pt>
                <c:pt idx="15">
                  <c:v>0.4883235563423502</c:v>
                </c:pt>
                <c:pt idx="16">
                  <c:v>0.49275873716227719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2F2-7E44-B10E-826E2977342A}"/>
            </c:ext>
          </c:extLst>
        </c:ser>
        <c:ser>
          <c:idx val="5"/>
          <c:order val="5"/>
          <c:tx>
            <c:strRef>
              <c:f>CallGkTable!$G$86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CallGkTable!$A$87:$A$103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CallGkTable!$G$87:$G$103</c:f>
              <c:numCache>
                <c:formatCode>0.0000</c:formatCode>
                <c:ptCount val="17"/>
                <c:pt idx="0">
                  <c:v>2.533675469040199E-4</c:v>
                </c:pt>
                <c:pt idx="1">
                  <c:v>1.4346745368583711E-3</c:v>
                </c:pt>
                <c:pt idx="2">
                  <c:v>5.7342650040421751E-3</c:v>
                </c:pt>
                <c:pt idx="3">
                  <c:v>1.7295450873604516E-2</c:v>
                </c:pt>
                <c:pt idx="4">
                  <c:v>4.1483206002554979E-2</c:v>
                </c:pt>
                <c:pt idx="5">
                  <c:v>8.2510457333700937E-2</c:v>
                </c:pt>
                <c:pt idx="6">
                  <c:v>0.14082638092999994</c:v>
                </c:pt>
                <c:pt idx="7">
                  <c:v>0.21217661617090136</c:v>
                </c:pt>
                <c:pt idx="8">
                  <c:v>0.28899256857821798</c:v>
                </c:pt>
                <c:pt idx="9">
                  <c:v>0.3630986698000524</c:v>
                </c:pt>
                <c:pt idx="10">
                  <c:v>0.42813919395874583</c:v>
                </c:pt>
                <c:pt idx="11">
                  <c:v>0.48073652121744176</c:v>
                </c:pt>
                <c:pt idx="12">
                  <c:v>0.52035124616342843</c:v>
                </c:pt>
                <c:pt idx="13">
                  <c:v>0.54839430840815329</c:v>
                </c:pt>
                <c:pt idx="14">
                  <c:v>0.56719853041525747</c:v>
                </c:pt>
                <c:pt idx="15">
                  <c:v>0.5792226545956648</c:v>
                </c:pt>
                <c:pt idx="16">
                  <c:v>0.58659707295076835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F2-7E44-B10E-826E2977342A}"/>
            </c:ext>
          </c:extLst>
        </c:ser>
        <c:ser>
          <c:idx val="6"/>
          <c:order val="6"/>
          <c:tx>
            <c:strRef>
              <c:f>CallGkTable!$H$86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CallGkTable!$A$87:$A$103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CallGkTable!$H$87:$H$103</c:f>
              <c:numCache>
                <c:formatCode>0.0000</c:formatCode>
                <c:ptCount val="17"/>
                <c:pt idx="0">
                  <c:v>6.8496313647904109E-4</c:v>
                </c:pt>
                <c:pt idx="1">
                  <c:v>3.0898154554743779E-3</c:v>
                </c:pt>
                <c:pt idx="2">
                  <c:v>1.0340638105047843E-2</c:v>
                </c:pt>
                <c:pt idx="3">
                  <c:v>2.7188766452768531E-2</c:v>
                </c:pt>
                <c:pt idx="4">
                  <c:v>5.8743138124230584E-2</c:v>
                </c:pt>
                <c:pt idx="5">
                  <c:v>0.10810010394461257</c:v>
                </c:pt>
                <c:pt idx="6">
                  <c:v>0.17444422479079949</c:v>
                </c:pt>
                <c:pt idx="7">
                  <c:v>0.25287075576346907</c:v>
                </c:pt>
                <c:pt idx="8">
                  <c:v>0.3359611609573559</c:v>
                </c:pt>
                <c:pt idx="9">
                  <c:v>0.41610220083116078</c:v>
                </c:pt>
                <c:pt idx="10">
                  <c:v>0.48739182226438393</c:v>
                </c:pt>
                <c:pt idx="11">
                  <c:v>0.54652113577166306</c:v>
                </c:pt>
                <c:pt idx="12">
                  <c:v>0.59267237553388963</c:v>
                </c:pt>
                <c:pt idx="13">
                  <c:v>0.62683596450535606</c:v>
                </c:pt>
                <c:pt idx="14">
                  <c:v>0.65098182663181059</c:v>
                </c:pt>
                <c:pt idx="15">
                  <c:v>0.66736921843921548</c:v>
                </c:pt>
                <c:pt idx="16">
                  <c:v>0.67810197543662687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2F2-7E44-B10E-826E2977342A}"/>
            </c:ext>
          </c:extLst>
        </c:ser>
        <c:ser>
          <c:idx val="7"/>
          <c:order val="7"/>
          <c:tx>
            <c:strRef>
              <c:f>CallGkTable!$I$86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CallGkTable!$A$87:$A$103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CallGkTable!$I$87:$I$103</c:f>
              <c:numCache>
                <c:formatCode>0.0000</c:formatCode>
                <c:ptCount val="17"/>
                <c:pt idx="0">
                  <c:v>1.479229983212314E-3</c:v>
                </c:pt>
                <c:pt idx="1">
                  <c:v>5.6236751489784883E-3</c:v>
                </c:pt>
                <c:pt idx="2">
                  <c:v>1.6463949579291828E-2</c:v>
                </c:pt>
                <c:pt idx="3">
                  <c:v>3.9025965710024674E-2</c:v>
                </c:pt>
                <c:pt idx="4">
                  <c:v>7.7898920427139709E-2</c:v>
                </c:pt>
                <c:pt idx="5">
                  <c:v>0.13510429218050068</c:v>
                </c:pt>
                <c:pt idx="6">
                  <c:v>0.20883210534016247</c:v>
                </c:pt>
                <c:pt idx="7">
                  <c:v>0.29375944234947265</c:v>
                </c:pt>
                <c:pt idx="8">
                  <c:v>0.38265821976803804</c:v>
                </c:pt>
                <c:pt idx="9">
                  <c:v>0.46838682825452466</c:v>
                </c:pt>
                <c:pt idx="10">
                  <c:v>0.54542150099630138</c:v>
                </c:pt>
                <c:pt idx="11">
                  <c:v>0.61054291488019341</c:v>
                </c:pt>
                <c:pt idx="12">
                  <c:v>0.66275083755870501</c:v>
                </c:pt>
                <c:pt idx="13">
                  <c:v>0.70271704194040641</c:v>
                </c:pt>
                <c:pt idx="14">
                  <c:v>0.73210216289147123</c:v>
                </c:pt>
                <c:pt idx="15">
                  <c:v>0.75295737423125897</c:v>
                </c:pt>
                <c:pt idx="16">
                  <c:v>0.76730661853179061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2F2-7E44-B10E-826E2977342A}"/>
            </c:ext>
          </c:extLst>
        </c:ser>
        <c:ser>
          <c:idx val="8"/>
          <c:order val="8"/>
          <c:tx>
            <c:strRef>
              <c:f>CallGkTable!$J$86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CallGkTable!$A$87:$A$103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CallGkTable!$J$87:$J$103</c:f>
              <c:numCache>
                <c:formatCode>0.0000</c:formatCode>
                <c:ptCount val="17"/>
                <c:pt idx="0">
                  <c:v>2.742313900181243E-3</c:v>
                </c:pt>
                <c:pt idx="1">
                  <c:v>9.1231525678742362E-3</c:v>
                </c:pt>
                <c:pt idx="2">
                  <c:v>2.4057851465664689E-2</c:v>
                </c:pt>
                <c:pt idx="3">
                  <c:v>5.2579361449743296E-2</c:v>
                </c:pt>
                <c:pt idx="4">
                  <c:v>9.862114055816798E-2</c:v>
                </c:pt>
                <c:pt idx="5">
                  <c:v>0.16322605204399807</c:v>
                </c:pt>
                <c:pt idx="6">
                  <c:v>0.24380474754909542</c:v>
                </c:pt>
                <c:pt idx="7">
                  <c:v>0.33476899762460482</c:v>
                </c:pt>
                <c:pt idx="8">
                  <c:v>0.42909594584950783</c:v>
                </c:pt>
                <c:pt idx="9">
                  <c:v>0.52004704799454149</c:v>
                </c:pt>
                <c:pt idx="10">
                  <c:v>0.60242046033683738</c:v>
                </c:pt>
                <c:pt idx="11">
                  <c:v>0.67309416261096178</c:v>
                </c:pt>
                <c:pt idx="12">
                  <c:v>0.73094735333031413</c:v>
                </c:pt>
                <c:pt idx="13">
                  <c:v>0.776407581462356</c:v>
                </c:pt>
                <c:pt idx="14">
                  <c:v>0.81087590504535045</c:v>
                </c:pt>
                <c:pt idx="15">
                  <c:v>0.83620516746271689</c:v>
                </c:pt>
                <c:pt idx="16">
                  <c:v>0.85431448147951738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2F2-7E44-B10E-826E2977342A}"/>
            </c:ext>
          </c:extLst>
        </c:ser>
        <c:ser>
          <c:idx val="9"/>
          <c:order val="9"/>
          <c:tx>
            <c:strRef>
              <c:f>CallGkTable!$K$86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CallGkTable!$A$87:$A$103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CallGkTable!$K$87:$K$103</c:f>
              <c:numCache>
                <c:formatCode>0.0000</c:formatCode>
                <c:ptCount val="17"/>
                <c:pt idx="0">
                  <c:v>4.5595912570109308E-3</c:v>
                </c:pt>
                <c:pt idx="1">
                  <c:v>1.3628210187071797E-2</c:v>
                </c:pt>
                <c:pt idx="2">
                  <c:v>3.3041361033821035E-2</c:v>
                </c:pt>
                <c:pt idx="3">
                  <c:v>6.7641543932963441E-2</c:v>
                </c:pt>
                <c:pt idx="4">
                  <c:v>0.12065171933845738</c:v>
                </c:pt>
                <c:pt idx="5">
                  <c:v>0.19224806199408723</c:v>
                </c:pt>
                <c:pt idx="6">
                  <c:v>0.2792301046204449</c:v>
                </c:pt>
                <c:pt idx="7">
                  <c:v>0.37584742260070186</c:v>
                </c:pt>
                <c:pt idx="8">
                  <c:v>0.47528450546914641</c:v>
                </c:pt>
                <c:pt idx="9">
                  <c:v>0.57115262574421599</c:v>
                </c:pt>
                <c:pt idx="10">
                  <c:v>0.65852844532273391</c:v>
                </c:pt>
                <c:pt idx="11">
                  <c:v>0.73438858241015237</c:v>
                </c:pt>
                <c:pt idx="12">
                  <c:v>0.79753296736124057</c:v>
                </c:pt>
                <c:pt idx="13">
                  <c:v>0.84819982584634868</c:v>
                </c:pt>
                <c:pt idx="14">
                  <c:v>0.88757319713568383</c:v>
                </c:pt>
                <c:pt idx="15">
                  <c:v>0.91732436651684779</c:v>
                </c:pt>
                <c:pt idx="16">
                  <c:v>0.93925858365570525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2F2-7E44-B10E-826E2977342A}"/>
            </c:ext>
          </c:extLst>
        </c:ser>
        <c:ser>
          <c:idx val="10"/>
          <c:order val="10"/>
          <c:tx>
            <c:strRef>
              <c:f>CallGkTable!$L$86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CallGkTable!$A$87:$A$103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CallGkTable!$L$87:$L$103</c:f>
              <c:numCache>
                <c:formatCode>0.0000</c:formatCode>
                <c:ptCount val="17"/>
                <c:pt idx="0">
                  <c:v>5.9353081456012938E-2</c:v>
                </c:pt>
                <c:pt idx="1">
                  <c:v>0.10879243138680189</c:v>
                </c:pt>
                <c:pt idx="2">
                  <c:v>0.17932080685197074</c:v>
                </c:pt>
                <c:pt idx="3">
                  <c:v>0.27119588189475019</c:v>
                </c:pt>
                <c:pt idx="4">
                  <c:v>0.38226402136740828</c:v>
                </c:pt>
                <c:pt idx="5">
                  <c:v>0.50846001160439569</c:v>
                </c:pt>
                <c:pt idx="6">
                  <c:v>0.64458771564347106</c:v>
                </c:pt>
                <c:pt idx="7">
                  <c:v>0.78513403617493838</c:v>
                </c:pt>
                <c:pt idx="8">
                  <c:v>0.92494293545844175</c:v>
                </c:pt>
                <c:pt idx="9">
                  <c:v>1.059668797036952</c:v>
                </c:pt>
                <c:pt idx="10">
                  <c:v>1.1860034685036835</c:v>
                </c:pt>
                <c:pt idx="11">
                  <c:v>1.301716483822899</c:v>
                </c:pt>
                <c:pt idx="12">
                  <c:v>1.4055657274099251</c:v>
                </c:pt>
                <c:pt idx="13">
                  <c:v>1.4971347861958171</c:v>
                </c:pt>
                <c:pt idx="14">
                  <c:v>1.5766424137341921</c:v>
                </c:pt>
                <c:pt idx="15">
                  <c:v>1.6447556479755494</c:v>
                </c:pt>
                <c:pt idx="16">
                  <c:v>1.7024252108865092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2F2-7E44-B10E-826E2977342A}"/>
            </c:ext>
          </c:extLst>
        </c:ser>
        <c:ser>
          <c:idx val="11"/>
          <c:order val="11"/>
          <c:tx>
            <c:strRef>
              <c:f>CallGkTable!$M$86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CallGkTable!$A$87:$A$103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CallGkTable!$M$87:$M$103</c:f>
              <c:numCache>
                <c:formatCode>0.0000</c:formatCode>
                <c:ptCount val="17"/>
                <c:pt idx="0">
                  <c:v>0.17245259544138367</c:v>
                </c:pt>
                <c:pt idx="1">
                  <c:v>0.26706226544028677</c:v>
                </c:pt>
                <c:pt idx="2">
                  <c:v>0.38476487533043752</c:v>
                </c:pt>
                <c:pt idx="3">
                  <c:v>0.52273981099216771</c:v>
                </c:pt>
                <c:pt idx="4">
                  <c:v>0.67677547849775832</c:v>
                </c:pt>
                <c:pt idx="5">
                  <c:v>0.84192775036698531</c:v>
                </c:pt>
                <c:pt idx="6">
                  <c:v>1.0131166738002779</c:v>
                </c:pt>
                <c:pt idx="7">
                  <c:v>1.1855867137549208</c:v>
                </c:pt>
                <c:pt idx="8">
                  <c:v>1.3552089139551933</c:v>
                </c:pt>
                <c:pt idx="9">
                  <c:v>1.5186376940705388</c:v>
                </c:pt>
                <c:pt idx="10">
                  <c:v>1.6733520389609637</c:v>
                </c:pt>
                <c:pt idx="11">
                  <c:v>1.8176154213669029</c:v>
                </c:pt>
                <c:pt idx="12">
                  <c:v>1.9503860096125629</c:v>
                </c:pt>
                <c:pt idx="13">
                  <c:v>2.071202520027601</c:v>
                </c:pt>
                <c:pt idx="14">
                  <c:v>2.1800640774968918</c:v>
                </c:pt>
                <c:pt idx="15">
                  <c:v>2.2773160793645628</c:v>
                </c:pt>
                <c:pt idx="16">
                  <c:v>2.363548932826006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2F2-7E44-B10E-826E2977342A}"/>
            </c:ext>
          </c:extLst>
        </c:ser>
        <c:ser>
          <c:idx val="12"/>
          <c:order val="12"/>
          <c:tx>
            <c:strRef>
              <c:f>CallGkTable!$N$86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CallGkTable!$A$87:$A$103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CallGkTable!$N$87:$N$103</c:f>
              <c:numCache>
                <c:formatCode>0.0000</c:formatCode>
                <c:ptCount val="17"/>
                <c:pt idx="0">
                  <c:v>0.3237715202046243</c:v>
                </c:pt>
                <c:pt idx="1">
                  <c:v>0.45966579050016665</c:v>
                </c:pt>
                <c:pt idx="2">
                  <c:v>0.6174994858488011</c:v>
                </c:pt>
                <c:pt idx="3">
                  <c:v>0.79297672467890534</c:v>
                </c:pt>
                <c:pt idx="4">
                  <c:v>0.98121354844747444</c:v>
                </c:pt>
                <c:pt idx="5">
                  <c:v>1.1772513441976242</c:v>
                </c:pt>
                <c:pt idx="6">
                  <c:v>1.3764368253482542</c:v>
                </c:pt>
                <c:pt idx="7">
                  <c:v>1.5746664906933412</c:v>
                </c:pt>
                <c:pt idx="8">
                  <c:v>1.7685142165444596</c:v>
                </c:pt>
                <c:pt idx="9">
                  <c:v>1.9552688246325391</c:v>
                </c:pt>
                <c:pt idx="10">
                  <c:v>2.1329088821197066</c:v>
                </c:pt>
                <c:pt idx="11">
                  <c:v>2.3000383938445141</c:v>
                </c:pt>
                <c:pt idx="12">
                  <c:v>2.4558019526519712</c:v>
                </c:pt>
                <c:pt idx="13">
                  <c:v>2.5997927799092873</c:v>
                </c:pt>
                <c:pt idx="14">
                  <c:v>2.7319626305478524</c:v>
                </c:pt>
                <c:pt idx="15">
                  <c:v>2.8525390074635313</c:v>
                </c:pt>
                <c:pt idx="16">
                  <c:v>2.9619525249901475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2F2-7E44-B10E-826E2977342A}"/>
            </c:ext>
          </c:extLst>
        </c:ser>
        <c:ser>
          <c:idx val="13"/>
          <c:order val="13"/>
          <c:tx>
            <c:strRef>
              <c:f>CallGkTable!$O$86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CallGkTable!$A$87:$A$103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CallGkTable!$O$87:$O$103</c:f>
              <c:numCache>
                <c:formatCode>0.0000</c:formatCode>
                <c:ptCount val="17"/>
                <c:pt idx="0">
                  <c:v>0.4989815054427264</c:v>
                </c:pt>
                <c:pt idx="1">
                  <c:v>0.67144050131601474</c:v>
                </c:pt>
                <c:pt idx="2">
                  <c:v>0.8636305114580537</c:v>
                </c:pt>
                <c:pt idx="3">
                  <c:v>1.070610955886903</c:v>
                </c:pt>
                <c:pt idx="4">
                  <c:v>1.2873783982233831</c:v>
                </c:pt>
                <c:pt idx="5">
                  <c:v>1.509219653951388</c:v>
                </c:pt>
                <c:pt idx="6">
                  <c:v>1.7319351169097621</c:v>
                </c:pt>
                <c:pt idx="7">
                  <c:v>1.9519550649892421</c:v>
                </c:pt>
                <c:pt idx="8">
                  <c:v>2.1663757703673947</c:v>
                </c:pt>
                <c:pt idx="9">
                  <c:v>2.3729405021947212</c:v>
                </c:pt>
                <c:pt idx="10">
                  <c:v>2.5699862244155018</c:v>
                </c:pt>
                <c:pt idx="11">
                  <c:v>2.7563718801831256</c:v>
                </c:pt>
                <c:pt idx="12">
                  <c:v>2.9313996071778941</c:v>
                </c:pt>
                <c:pt idx="13">
                  <c:v>3.0947364560622197</c:v>
                </c:pt>
                <c:pt idx="14">
                  <c:v>3.2463412741759057</c:v>
                </c:pt>
                <c:pt idx="15">
                  <c:v>3.386399295431846</c:v>
                </c:pt>
                <c:pt idx="16">
                  <c:v>3.5152655093388363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2F2-7E44-B10E-826E2977342A}"/>
            </c:ext>
          </c:extLst>
        </c:ser>
        <c:bandFmts>
          <c:bandFmt>
            <c:idx val="0"/>
            <c:spPr>
              <a:solidFill>
                <a:schemeClr val="accent1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</c:bandFmts>
        <c:axId val="1659918912"/>
        <c:axId val="1648042752"/>
        <c:axId val="1637586944"/>
      </c:surface3DChart>
      <c:catAx>
        <c:axId val="1659918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042752"/>
        <c:crosses val="autoZero"/>
        <c:auto val="1"/>
        <c:lblAlgn val="ctr"/>
        <c:lblOffset val="100"/>
        <c:noMultiLvlLbl val="0"/>
      </c:catAx>
      <c:valAx>
        <c:axId val="1648042752"/>
        <c:scaling>
          <c:orientation val="minMax"/>
          <c:max val="4.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9918912"/>
        <c:crosses val="autoZero"/>
        <c:crossBetween val="midCat"/>
      </c:valAx>
      <c:serAx>
        <c:axId val="163758694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04275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</a:t>
            </a:r>
            <a:r>
              <a:rPr lang="en-US" baseline="0"/>
              <a:t> - 30%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CallGkTable!$R$66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CallGkTable!$Q$67:$Q$83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CallGkTable!$R$67:$R$83</c:f>
              <c:numCache>
                <c:formatCode>0.0000</c:formatCode>
                <c:ptCount val="17"/>
                <c:pt idx="0">
                  <c:v>5.2241467496489445E-8</c:v>
                </c:pt>
                <c:pt idx="1">
                  <c:v>3.5480919020595769E-6</c:v>
                </c:pt>
                <c:pt idx="2">
                  <c:v>9.3436309317573526E-5</c:v>
                </c:pt>
                <c:pt idx="3">
                  <c:v>1.1344357018572755E-3</c:v>
                </c:pt>
                <c:pt idx="4">
                  <c:v>7.2629446543345478E-3</c:v>
                </c:pt>
                <c:pt idx="5">
                  <c:v>2.725633977693533E-2</c:v>
                </c:pt>
                <c:pt idx="6">
                  <c:v>6.5245486618251358E-2</c:v>
                </c:pt>
                <c:pt idx="7">
                  <c:v>0.10666888149822518</c:v>
                </c:pt>
                <c:pt idx="8">
                  <c:v>0.12594479093238514</c:v>
                </c:pt>
                <c:pt idx="9">
                  <c:v>0.11245674973430272</c:v>
                </c:pt>
                <c:pt idx="10">
                  <c:v>7.8904665626496825E-2</c:v>
                </c:pt>
                <c:pt idx="11">
                  <c:v>4.4925546239266929E-2</c:v>
                </c:pt>
                <c:pt idx="12">
                  <c:v>2.1327896525065605E-2</c:v>
                </c:pt>
                <c:pt idx="13">
                  <c:v>8.6394717581212612E-3</c:v>
                </c:pt>
                <c:pt idx="14">
                  <c:v>3.0456280025937242E-3</c:v>
                </c:pt>
                <c:pt idx="15">
                  <c:v>9.503394546450289E-4</c:v>
                </c:pt>
                <c:pt idx="16">
                  <c:v>2.6634878733576296E-4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6E-E84B-AEB2-EBC557928462}"/>
            </c:ext>
          </c:extLst>
        </c:ser>
        <c:ser>
          <c:idx val="1"/>
          <c:order val="1"/>
          <c:tx>
            <c:strRef>
              <c:f>CallGkTable!$S$66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CallGkTable!$Q$67:$Q$83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CallGkTable!$S$67:$S$83</c:f>
              <c:numCache>
                <c:formatCode>0.0000</c:formatCode>
                <c:ptCount val="17"/>
                <c:pt idx="0">
                  <c:v>1.0369210092575671E-4</c:v>
                </c:pt>
                <c:pt idx="1">
                  <c:v>8.6795002193490293E-4</c:v>
                </c:pt>
                <c:pt idx="2">
                  <c:v>4.5186973977930974E-3</c:v>
                </c:pt>
                <c:pt idx="3">
                  <c:v>1.5957745936388483E-2</c:v>
                </c:pt>
                <c:pt idx="4">
                  <c:v>4.0887259297741153E-2</c:v>
                </c:pt>
                <c:pt idx="5">
                  <c:v>8.0146565468207587E-2</c:v>
                </c:pt>
                <c:pt idx="6">
                  <c:v>0.12538719707021434</c:v>
                </c:pt>
                <c:pt idx="7">
                  <c:v>0.16201774980597236</c:v>
                </c:pt>
                <c:pt idx="8">
                  <c:v>0.1778137543166752</c:v>
                </c:pt>
                <c:pt idx="9">
                  <c:v>0.16962433257069015</c:v>
                </c:pt>
                <c:pt idx="10">
                  <c:v>0.14337557290741063</c:v>
                </c:pt>
                <c:pt idx="11">
                  <c:v>0.10912500779394536</c:v>
                </c:pt>
                <c:pt idx="12">
                  <c:v>7.5813336945485379E-2</c:v>
                </c:pt>
                <c:pt idx="13">
                  <c:v>4.8636515735941702E-2</c:v>
                </c:pt>
                <c:pt idx="14">
                  <c:v>2.9098414567491456E-2</c:v>
                </c:pt>
                <c:pt idx="15">
                  <c:v>1.6374094930515438E-2</c:v>
                </c:pt>
                <c:pt idx="16">
                  <c:v>8.7300030082944954E-3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6E-E84B-AEB2-EBC557928462}"/>
            </c:ext>
          </c:extLst>
        </c:ser>
        <c:ser>
          <c:idx val="2"/>
          <c:order val="2"/>
          <c:tx>
            <c:strRef>
              <c:f>CallGkTable!$T$66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CallGkTable!$Q$67:$Q$83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CallGkTable!$T$67:$T$83</c:f>
              <c:numCache>
                <c:formatCode>0.0000</c:formatCode>
                <c:ptCount val="17"/>
                <c:pt idx="0">
                  <c:v>1.4202882759273424E-3</c:v>
                </c:pt>
                <c:pt idx="1">
                  <c:v>5.9162801509579999E-3</c:v>
                </c:pt>
                <c:pt idx="2">
                  <c:v>1.7943197870953598E-2</c:v>
                </c:pt>
                <c:pt idx="3">
                  <c:v>4.1984549048709428E-2</c:v>
                </c:pt>
                <c:pt idx="4">
                  <c:v>7.9274555446936928E-2</c:v>
                </c:pt>
                <c:pt idx="5">
                  <c:v>0.12514440458799733</c:v>
                </c:pt>
                <c:pt idx="6">
                  <c:v>0.1699057827332551</c:v>
                </c:pt>
                <c:pt idx="7">
                  <c:v>0.20298234899889014</c:v>
                </c:pt>
                <c:pt idx="8">
                  <c:v>0.2174108055400083</c:v>
                </c:pt>
                <c:pt idx="9">
                  <c:v>0.21201979956829656</c:v>
                </c:pt>
                <c:pt idx="10">
                  <c:v>0.19068654650481343</c:v>
                </c:pt>
                <c:pt idx="11">
                  <c:v>0.1598779807314763</c:v>
                </c:pt>
                <c:pt idx="12">
                  <c:v>0.12610496950196404</c:v>
                </c:pt>
                <c:pt idx="13">
                  <c:v>9.4299256777715612E-2</c:v>
                </c:pt>
                <c:pt idx="14">
                  <c:v>6.7295735384344496E-2</c:v>
                </c:pt>
                <c:pt idx="15">
                  <c:v>4.6093272696781741E-2</c:v>
                </c:pt>
                <c:pt idx="16">
                  <c:v>3.0450166811718984E-2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6E-E84B-AEB2-EBC557928462}"/>
            </c:ext>
          </c:extLst>
        </c:ser>
        <c:ser>
          <c:idx val="3"/>
          <c:order val="3"/>
          <c:tx>
            <c:strRef>
              <c:f>CallGkTable!$U$66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CallGkTable!$Q$67:$Q$83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CallGkTable!$U$67:$U$83</c:f>
              <c:numCache>
                <c:formatCode>0.0000</c:formatCode>
                <c:ptCount val="17"/>
                <c:pt idx="0">
                  <c:v>5.4799114620321266E-3</c:v>
                </c:pt>
                <c:pt idx="1">
                  <c:v>1.6103021116910757E-2</c:v>
                </c:pt>
                <c:pt idx="2">
                  <c:v>3.7275610547584388E-2</c:v>
                </c:pt>
                <c:pt idx="3">
                  <c:v>7.0995380577419706E-2</c:v>
                </c:pt>
                <c:pt idx="4">
                  <c:v>0.11507695143275125</c:v>
                </c:pt>
                <c:pt idx="5">
                  <c:v>0.16302579321220415</c:v>
                </c:pt>
                <c:pt idx="6">
                  <c:v>0.20618984345800187</c:v>
                </c:pt>
                <c:pt idx="7">
                  <c:v>0.23685782585692991</c:v>
                </c:pt>
                <c:pt idx="8">
                  <c:v>0.25062283449841155</c:v>
                </c:pt>
                <c:pt idx="9">
                  <c:v>0.2471167473923678</c:v>
                </c:pt>
                <c:pt idx="10">
                  <c:v>0.22925780102263243</c:v>
                </c:pt>
                <c:pt idx="11">
                  <c:v>0.20174485287319666</c:v>
                </c:pt>
                <c:pt idx="12">
                  <c:v>0.16955364143103455</c:v>
                </c:pt>
                <c:pt idx="13">
                  <c:v>0.13688718821788132</c:v>
                </c:pt>
                <c:pt idx="14">
                  <c:v>0.10669112068562889</c:v>
                </c:pt>
                <c:pt idx="15">
                  <c:v>8.062306246902104E-2</c:v>
                </c:pt>
                <c:pt idx="16">
                  <c:v>5.9286927376384885E-2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6E-E84B-AEB2-EBC557928462}"/>
            </c:ext>
          </c:extLst>
        </c:ser>
        <c:ser>
          <c:idx val="4"/>
          <c:order val="4"/>
          <c:tx>
            <c:strRef>
              <c:f>CallGkTable!$V$66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CallGkTable!$Q$67:$Q$83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CallGkTable!$V$67:$V$83</c:f>
              <c:numCache>
                <c:formatCode>0.0000</c:formatCode>
                <c:ptCount val="17"/>
                <c:pt idx="0">
                  <c:v>1.2626797297023529E-2</c:v>
                </c:pt>
                <c:pt idx="1">
                  <c:v>3.0095667810257461E-2</c:v>
                </c:pt>
                <c:pt idx="2">
                  <c:v>5.9240833497693511E-2</c:v>
                </c:pt>
                <c:pt idx="3">
                  <c:v>9.972312834283853E-2</c:v>
                </c:pt>
                <c:pt idx="4">
                  <c:v>0.14749677041710105</c:v>
                </c:pt>
                <c:pt idx="5">
                  <c:v>0.19581443166314158</c:v>
                </c:pt>
                <c:pt idx="6">
                  <c:v>0.23734723525071388</c:v>
                </c:pt>
                <c:pt idx="7">
                  <c:v>0.26630962333356739</c:v>
                </c:pt>
                <c:pt idx="8">
                  <c:v>0.27973434297827998</c:v>
                </c:pt>
                <c:pt idx="9">
                  <c:v>0.27765089504983581</c:v>
                </c:pt>
                <c:pt idx="10">
                  <c:v>0.26242669261937368</c:v>
                </c:pt>
                <c:pt idx="11">
                  <c:v>0.23773448946649212</c:v>
                </c:pt>
                <c:pt idx="12">
                  <c:v>0.20755515123786619</c:v>
                </c:pt>
                <c:pt idx="13">
                  <c:v>0.17545145159162673</c:v>
                </c:pt>
                <c:pt idx="14">
                  <c:v>0.1441763943815362</c:v>
                </c:pt>
                <c:pt idx="15">
                  <c:v>0.11556698455080512</c:v>
                </c:pt>
                <c:pt idx="16">
                  <c:v>9.0627906162675978E-2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26E-E84B-AEB2-EBC557928462}"/>
            </c:ext>
          </c:extLst>
        </c:ser>
        <c:ser>
          <c:idx val="5"/>
          <c:order val="5"/>
          <c:tx>
            <c:strRef>
              <c:f>CallGkTable!$W$66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CallGkTable!$Q$67:$Q$83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CallGkTable!$W$67:$W$83</c:f>
              <c:numCache>
                <c:formatCode>0.0000</c:formatCode>
                <c:ptCount val="17"/>
                <c:pt idx="0">
                  <c:v>2.2388087034633054E-2</c:v>
                </c:pt>
                <c:pt idx="1">
                  <c:v>4.6410088796281238E-2</c:v>
                </c:pt>
                <c:pt idx="2">
                  <c:v>8.1996646326998254E-2</c:v>
                </c:pt>
                <c:pt idx="3">
                  <c:v>0.12712093999325985</c:v>
                </c:pt>
                <c:pt idx="4">
                  <c:v>0.17688429965289604</c:v>
                </c:pt>
                <c:pt idx="5">
                  <c:v>0.22487833277913322</c:v>
                </c:pt>
                <c:pt idx="6">
                  <c:v>0.26495540458839584</c:v>
                </c:pt>
                <c:pt idx="7">
                  <c:v>0.29266016170947756</c:v>
                </c:pt>
                <c:pt idx="8">
                  <c:v>0.30591907327736617</c:v>
                </c:pt>
                <c:pt idx="9">
                  <c:v>0.30498209522504144</c:v>
                </c:pt>
                <c:pt idx="10">
                  <c:v>0.29186001251802374</c:v>
                </c:pt>
                <c:pt idx="11">
                  <c:v>0.2695644874512334</c:v>
                </c:pt>
                <c:pt idx="12">
                  <c:v>0.2413950979277403</c:v>
                </c:pt>
                <c:pt idx="13">
                  <c:v>0.21040872318836001</c:v>
                </c:pt>
                <c:pt idx="14">
                  <c:v>0.17910817795815684</c:v>
                </c:pt>
                <c:pt idx="15">
                  <c:v>0.14932325285649342</c:v>
                </c:pt>
                <c:pt idx="16">
                  <c:v>0.12222910034137176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26E-E84B-AEB2-EBC557928462}"/>
            </c:ext>
          </c:extLst>
        </c:ser>
        <c:ser>
          <c:idx val="6"/>
          <c:order val="6"/>
          <c:tx>
            <c:strRef>
              <c:f>CallGkTable!$X$66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CallGkTable!$Q$67:$Q$83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CallGkTable!$X$67:$X$83</c:f>
              <c:numCache>
                <c:formatCode>0.0000</c:formatCode>
                <c:ptCount val="17"/>
                <c:pt idx="0">
                  <c:v>3.4092800414934205E-2</c:v>
                </c:pt>
                <c:pt idx="1">
                  <c:v>6.3967797976228549E-2</c:v>
                </c:pt>
                <c:pt idx="2">
                  <c:v>0.10462155572124113</c:v>
                </c:pt>
                <c:pt idx="3">
                  <c:v>0.1529339134731435</c:v>
                </c:pt>
                <c:pt idx="4">
                  <c:v>0.20372161802542724</c:v>
                </c:pt>
                <c:pt idx="5">
                  <c:v>0.25111006208294917</c:v>
                </c:pt>
                <c:pt idx="6">
                  <c:v>0.2899301291838231</c:v>
                </c:pt>
                <c:pt idx="7">
                  <c:v>0.31667848744818322</c:v>
                </c:pt>
                <c:pt idx="8">
                  <c:v>0.32987552453324304</c:v>
                </c:pt>
                <c:pt idx="9">
                  <c:v>0.3299023291202639</c:v>
                </c:pt>
                <c:pt idx="10">
                  <c:v>0.31851990708534011</c:v>
                </c:pt>
                <c:pt idx="11">
                  <c:v>0.29828227300311022</c:v>
                </c:pt>
                <c:pt idx="12">
                  <c:v>0.27199931861420884</c:v>
                </c:pt>
                <c:pt idx="13">
                  <c:v>0.24233244905687773</c:v>
                </c:pt>
                <c:pt idx="14">
                  <c:v>0.21154470571896186</c:v>
                </c:pt>
                <c:pt idx="15">
                  <c:v>0.18138808755412683</c:v>
                </c:pt>
                <c:pt idx="16">
                  <c:v>0.15309296235130823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26E-E84B-AEB2-EBC557928462}"/>
            </c:ext>
          </c:extLst>
        </c:ser>
        <c:ser>
          <c:idx val="7"/>
          <c:order val="7"/>
          <c:tx>
            <c:strRef>
              <c:f>CallGkTable!$Y$66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CallGkTable!$Q$67:$Q$83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CallGkTable!$Y$67:$Y$83</c:f>
              <c:numCache>
                <c:formatCode>0.0000</c:formatCode>
                <c:ptCount val="17"/>
                <c:pt idx="0">
                  <c:v>4.7136291023201063E-2</c:v>
                </c:pt>
                <c:pt idx="1">
                  <c:v>8.2069467460122725E-2</c:v>
                </c:pt>
                <c:pt idx="2">
                  <c:v>0.12667719836424343</c:v>
                </c:pt>
                <c:pt idx="3">
                  <c:v>0.17718513961379675</c:v>
                </c:pt>
                <c:pt idx="4">
                  <c:v>0.22843174271570835</c:v>
                </c:pt>
                <c:pt idx="5">
                  <c:v>0.2751122670939824</c:v>
                </c:pt>
                <c:pt idx="6">
                  <c:v>0.3128543782986476</c:v>
                </c:pt>
                <c:pt idx="7">
                  <c:v>0.33885838808772822</c:v>
                </c:pt>
                <c:pt idx="8">
                  <c:v>0.35205961627525989</c:v>
                </c:pt>
                <c:pt idx="9">
                  <c:v>0.35292069317520947</c:v>
                </c:pt>
                <c:pt idx="10">
                  <c:v>0.34301770068622467</c:v>
                </c:pt>
                <c:pt idx="11">
                  <c:v>0.3245708269894787</c:v>
                </c:pt>
                <c:pt idx="12">
                  <c:v>0.30002386856514912</c:v>
                </c:pt>
                <c:pt idx="13">
                  <c:v>0.27172581972973991</c:v>
                </c:pt>
                <c:pt idx="14">
                  <c:v>0.24172728981926178</c:v>
                </c:pt>
                <c:pt idx="15">
                  <c:v>0.21167921445105367</c:v>
                </c:pt>
                <c:pt idx="16">
                  <c:v>0.18280966330758439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26E-E84B-AEB2-EBC557928462}"/>
            </c:ext>
          </c:extLst>
        </c:ser>
        <c:ser>
          <c:idx val="8"/>
          <c:order val="8"/>
          <c:tx>
            <c:strRef>
              <c:f>CallGkTable!$Z$66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CallGkTable!$Q$67:$Q$83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CallGkTable!$Z$67:$Z$83</c:f>
              <c:numCache>
                <c:formatCode>0.0000</c:formatCode>
                <c:ptCount val="17"/>
                <c:pt idx="0">
                  <c:v>6.1044245880699191E-2</c:v>
                </c:pt>
                <c:pt idx="1">
                  <c:v>0.10028004968425032</c:v>
                </c:pt>
                <c:pt idx="2">
                  <c:v>0.14797070949272112</c:v>
                </c:pt>
                <c:pt idx="3">
                  <c:v>0.19998950927794951</c:v>
                </c:pt>
                <c:pt idx="4">
                  <c:v>0.25135567501845718</c:v>
                </c:pt>
                <c:pt idx="5">
                  <c:v>0.29730845258588651</c:v>
                </c:pt>
                <c:pt idx="6">
                  <c:v>0.33412469483092272</c:v>
                </c:pt>
                <c:pt idx="7">
                  <c:v>0.35953924700853612</c:v>
                </c:pt>
                <c:pt idx="8">
                  <c:v>0.37278859440959361</c:v>
                </c:pt>
                <c:pt idx="9">
                  <c:v>0.37438741076876991</c:v>
                </c:pt>
                <c:pt idx="10">
                  <c:v>0.36576911327852019</c:v>
                </c:pt>
                <c:pt idx="11">
                  <c:v>0.34890050929444222</c:v>
                </c:pt>
                <c:pt idx="12">
                  <c:v>0.32594284085625297</c:v>
                </c:pt>
                <c:pt idx="13">
                  <c:v>0.29899446559453879</c:v>
                </c:pt>
                <c:pt idx="14">
                  <c:v>0.26992241961759356</c:v>
                </c:pt>
                <c:pt idx="15">
                  <c:v>0.24027301202528753</c:v>
                </c:pt>
                <c:pt idx="16">
                  <c:v>0.21124373927845524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6E-E84B-AEB2-EBC557928462}"/>
            </c:ext>
          </c:extLst>
        </c:ser>
        <c:ser>
          <c:idx val="9"/>
          <c:order val="9"/>
          <c:tx>
            <c:strRef>
              <c:f>CallGkTable!$AA$66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CallGkTable!$Q$67:$Q$83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CallGkTable!$AA$67:$AA$83</c:f>
              <c:numCache>
                <c:formatCode>0.0000</c:formatCode>
                <c:ptCount val="17"/>
                <c:pt idx="0">
                  <c:v>7.5465414056779437E-2</c:v>
                </c:pt>
                <c:pt idx="1">
                  <c:v>0.11833484483505806</c:v>
                </c:pt>
                <c:pt idx="2">
                  <c:v>0.16843384637940811</c:v>
                </c:pt>
                <c:pt idx="3">
                  <c:v>0.22148428421066524</c:v>
                </c:pt>
                <c:pt idx="4">
                  <c:v>0.27276349949898759</c:v>
                </c:pt>
                <c:pt idx="5">
                  <c:v>0.31800713357890908</c:v>
                </c:pt>
                <c:pt idx="6">
                  <c:v>0.35402457537592474</c:v>
                </c:pt>
                <c:pt idx="7">
                  <c:v>0.37896623822327191</c:v>
                </c:pt>
                <c:pt idx="8">
                  <c:v>0.39229385545573259</c:v>
                </c:pt>
                <c:pt idx="9">
                  <c:v>0.39455567305177858</c:v>
                </c:pt>
                <c:pt idx="10">
                  <c:v>0.38707149777283795</c:v>
                </c:pt>
                <c:pt idx="11">
                  <c:v>0.37160972039984985</c:v>
                </c:pt>
                <c:pt idx="12">
                  <c:v>0.35010774918133886</c:v>
                </c:pt>
                <c:pt idx="13">
                  <c:v>0.32445965964527135</c:v>
                </c:pt>
                <c:pt idx="14">
                  <c:v>0.29637484768584299</c:v>
                </c:pt>
                <c:pt idx="15">
                  <c:v>0.26729952054680561</c:v>
                </c:pt>
                <c:pt idx="16">
                  <c:v>0.23838743989858863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6E-E84B-AEB2-EBC557928462}"/>
            </c:ext>
          </c:extLst>
        </c:ser>
        <c:ser>
          <c:idx val="10"/>
          <c:order val="10"/>
          <c:tx>
            <c:strRef>
              <c:f>CallGkTable!$AB$66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CallGkTable!$Q$67:$Q$83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CallGkTable!$AB$67:$AB$83</c:f>
              <c:numCache>
                <c:formatCode>0.0000</c:formatCode>
                <c:ptCount val="17"/>
                <c:pt idx="0">
                  <c:v>0.21665010977573698</c:v>
                </c:pt>
                <c:pt idx="1">
                  <c:v>0.27555008864451608</c:v>
                </c:pt>
                <c:pt idx="2">
                  <c:v>0.33351628785916154</c:v>
                </c:pt>
                <c:pt idx="3">
                  <c:v>0.38761449136581966</c:v>
                </c:pt>
                <c:pt idx="4">
                  <c:v>0.4355837845139281</c:v>
                </c:pt>
                <c:pt idx="5">
                  <c:v>0.47590089770706884</c:v>
                </c:pt>
                <c:pt idx="6">
                  <c:v>0.50774026590962562</c:v>
                </c:pt>
                <c:pt idx="7">
                  <c:v>0.53087335695806648</c:v>
                </c:pt>
                <c:pt idx="8">
                  <c:v>0.54554168852462226</c:v>
                </c:pt>
                <c:pt idx="9">
                  <c:v>0.55232725998867294</c:v>
                </c:pt>
                <c:pt idx="10">
                  <c:v>0.55203468373902709</c:v>
                </c:pt>
                <c:pt idx="11">
                  <c:v>0.54559211011452069</c:v>
                </c:pt>
                <c:pt idx="12">
                  <c:v>0.53397313281358616</c:v>
                </c:pt>
                <c:pt idx="13">
                  <c:v>0.51813885189910802</c:v>
                </c:pt>
                <c:pt idx="14">
                  <c:v>0.49899766616306857</c:v>
                </c:pt>
                <c:pt idx="15">
                  <c:v>0.47737971160509768</c:v>
                </c:pt>
                <c:pt idx="16">
                  <c:v>0.45402279742050033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26E-E84B-AEB2-EBC557928462}"/>
            </c:ext>
          </c:extLst>
        </c:ser>
        <c:ser>
          <c:idx val="11"/>
          <c:order val="11"/>
          <c:tx>
            <c:strRef>
              <c:f>CallGkTable!$AC$66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CallGkTable!$Q$67:$Q$83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CallGkTable!$AC$67:$AC$83</c:f>
              <c:numCache>
                <c:formatCode>0.0000</c:formatCode>
                <c:ptCount val="17"/>
                <c:pt idx="0">
                  <c:v>0.33222896128746116</c:v>
                </c:pt>
                <c:pt idx="1">
                  <c:v>0.39406825288577535</c:v>
                </c:pt>
                <c:pt idx="2">
                  <c:v>0.45187800131882505</c:v>
                </c:pt>
                <c:pt idx="3">
                  <c:v>0.50399623483227596</c:v>
                </c:pt>
                <c:pt idx="4">
                  <c:v>0.5493407011822149</c:v>
                </c:pt>
                <c:pt idx="5">
                  <c:v>0.58733335877732817</c:v>
                </c:pt>
                <c:pt idx="6">
                  <c:v>0.61780667302057179</c:v>
                </c:pt>
                <c:pt idx="7">
                  <c:v>0.64090843856534729</c:v>
                </c:pt>
                <c:pt idx="8">
                  <c:v>0.65701458882085051</c:v>
                </c:pt>
                <c:pt idx="9">
                  <c:v>0.66665447263519584</c:v>
                </c:pt>
                <c:pt idx="10">
                  <c:v>0.6704499236841015</c:v>
                </c:pt>
                <c:pt idx="11">
                  <c:v>0.66906761646336721</c:v>
                </c:pt>
                <c:pt idx="12">
                  <c:v>0.66318326233497216</c:v>
                </c:pt>
                <c:pt idx="13">
                  <c:v>0.65345582257987478</c:v>
                </c:pt>
                <c:pt idx="14">
                  <c:v>0.64050987256156366</c:v>
                </c:pt>
                <c:pt idx="15">
                  <c:v>0.6249243886103204</c:v>
                </c:pt>
                <c:pt idx="16">
                  <c:v>0.60722645003921238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26E-E84B-AEB2-EBC557928462}"/>
            </c:ext>
          </c:extLst>
        </c:ser>
        <c:ser>
          <c:idx val="12"/>
          <c:order val="12"/>
          <c:tx>
            <c:strRef>
              <c:f>CallGkTable!$AD$66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CallGkTable!$Q$67:$Q$83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CallGkTable!$AD$67:$AD$83</c:f>
              <c:numCache>
                <c:formatCode>0.0000</c:formatCode>
                <c:ptCount val="17"/>
                <c:pt idx="0">
                  <c:v>0.4256709859697233</c:v>
                </c:pt>
                <c:pt idx="1">
                  <c:v>0.4875893022971528</c:v>
                </c:pt>
                <c:pt idx="2">
                  <c:v>0.54421505040302265</c:v>
                </c:pt>
                <c:pt idx="3">
                  <c:v>0.59461821507388324</c:v>
                </c:pt>
                <c:pt idx="4">
                  <c:v>0.63829888800540957</c:v>
                </c:pt>
                <c:pt idx="5">
                  <c:v>0.67509674458565572</c:v>
                </c:pt>
                <c:pt idx="6">
                  <c:v>0.70510754644860274</c:v>
                </c:pt>
                <c:pt idx="7">
                  <c:v>0.72861111689327795</c:v>
                </c:pt>
                <c:pt idx="8">
                  <c:v>0.74601201361465708</c:v>
                </c:pt>
                <c:pt idx="9">
                  <c:v>0.75779237344430017</c:v>
                </c:pt>
                <c:pt idx="10">
                  <c:v>0.7644755668303399</c:v>
                </c:pt>
                <c:pt idx="11">
                  <c:v>0.76659899934282538</c:v>
                </c:pt>
                <c:pt idx="12">
                  <c:v>0.76469439302491626</c:v>
                </c:pt>
                <c:pt idx="13">
                  <c:v>0.75927402432728752</c:v>
                </c:pt>
                <c:pt idx="14">
                  <c:v>0.7508216007760149</c:v>
                </c:pt>
                <c:pt idx="15">
                  <c:v>0.73978667680739463</c:v>
                </c:pt>
                <c:pt idx="16">
                  <c:v>0.72658171509209224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26E-E84B-AEB2-EBC557928462}"/>
            </c:ext>
          </c:extLst>
        </c:ser>
        <c:ser>
          <c:idx val="13"/>
          <c:order val="13"/>
          <c:tx>
            <c:strRef>
              <c:f>CallGkTable!$AE$66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CallGkTable!$Q$67:$Q$83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CallGkTable!$AE$67:$AE$83</c:f>
              <c:numCache>
                <c:formatCode>0.0000</c:formatCode>
                <c:ptCount val="17"/>
                <c:pt idx="0">
                  <c:v>0.50316444779050273</c:v>
                </c:pt>
                <c:pt idx="1">
                  <c:v>0.56441397997533327</c:v>
                </c:pt>
                <c:pt idx="2">
                  <c:v>0.61983217876086938</c:v>
                </c:pt>
                <c:pt idx="3">
                  <c:v>0.66892699193410787</c:v>
                </c:pt>
                <c:pt idx="4">
                  <c:v>0.71152052988955772</c:v>
                </c:pt>
                <c:pt idx="5">
                  <c:v>0.74766798153008263</c:v>
                </c:pt>
                <c:pt idx="6">
                  <c:v>0.77759056969031703</c:v>
                </c:pt>
                <c:pt idx="7">
                  <c:v>0.8016220170593169</c:v>
                </c:pt>
                <c:pt idx="8">
                  <c:v>0.82016695584010779</c:v>
                </c:pt>
                <c:pt idx="9">
                  <c:v>0.83366938178088834</c:v>
                </c:pt>
                <c:pt idx="10">
                  <c:v>0.84258928010075762</c:v>
                </c:pt>
                <c:pt idx="11">
                  <c:v>0.84738574187741245</c:v>
                </c:pt>
                <c:pt idx="12">
                  <c:v>0.84850513852620746</c:v>
                </c:pt>
                <c:pt idx="13">
                  <c:v>0.84637317449963989</c:v>
                </c:pt>
                <c:pt idx="14">
                  <c:v>0.84138986871529842</c:v>
                </c:pt>
                <c:pt idx="15">
                  <c:v>0.83392671372802984</c:v>
                </c:pt>
                <c:pt idx="16">
                  <c:v>0.8243254267575959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26E-E84B-AEB2-EBC557928462}"/>
            </c:ext>
          </c:extLst>
        </c:ser>
        <c:bandFmts>
          <c:bandFmt>
            <c:idx val="0"/>
            <c:spPr>
              <a:solidFill>
                <a:schemeClr val="accent1">
                  <a:shade val="42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5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68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80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shade val="9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94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81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69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56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18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5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92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0"/>
                </a:schemeClr>
              </a:solidFill>
              <a:ln/>
              <a:effectLst/>
              <a:sp3d/>
            </c:spPr>
          </c:bandFmt>
        </c:bandFmts>
        <c:axId val="1666596160"/>
        <c:axId val="1666589888"/>
        <c:axId val="1658811904"/>
      </c:surface3DChart>
      <c:catAx>
        <c:axId val="1666596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589888"/>
        <c:crosses val="autoZero"/>
        <c:auto val="1"/>
        <c:lblAlgn val="ctr"/>
        <c:lblOffset val="100"/>
        <c:noMultiLvlLbl val="0"/>
      </c:catAx>
      <c:valAx>
        <c:axId val="1666589888"/>
        <c:scaling>
          <c:orientation val="minMax"/>
          <c:max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596160"/>
        <c:crosses val="autoZero"/>
        <c:crossBetween val="midCat"/>
      </c:valAx>
      <c:serAx>
        <c:axId val="16588119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5898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</a:t>
            </a:r>
            <a:r>
              <a:rPr lang="en-US" baseline="0"/>
              <a:t> - 30%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CallGkTable!$R$86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CallGkTable!$Q$87:$Q$103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CallGkTable!$R$87:$R$103</c:f>
              <c:numCache>
                <c:formatCode>0.0000</c:formatCode>
                <c:ptCount val="17"/>
                <c:pt idx="0">
                  <c:v>2.9526232275500707E-9</c:v>
                </c:pt>
                <c:pt idx="1">
                  <c:v>2.3477394326331545E-7</c:v>
                </c:pt>
                <c:pt idx="2">
                  <c:v>7.3280508906908508E-6</c:v>
                </c:pt>
                <c:pt idx="3">
                  <c:v>1.0716304021740663E-4</c:v>
                </c:pt>
                <c:pt idx="4">
                  <c:v>8.4379549560306406E-4</c:v>
                </c:pt>
                <c:pt idx="5">
                  <c:v>4.0019706155343384E-3</c:v>
                </c:pt>
                <c:pt idx="6">
                  <c:v>1.2546393350198692E-2</c:v>
                </c:pt>
                <c:pt idx="7">
                  <c:v>2.8149490988691558E-2</c:v>
                </c:pt>
                <c:pt idx="8">
                  <c:v>4.8480002263733495E-2</c:v>
                </c:pt>
                <c:pt idx="9">
                  <c:v>6.8277831133797179E-2</c:v>
                </c:pt>
                <c:pt idx="10">
                  <c:v>8.3258594130054389E-2</c:v>
                </c:pt>
                <c:pt idx="11">
                  <c:v>9.2362125771932119E-2</c:v>
                </c:pt>
                <c:pt idx="12">
                  <c:v>9.6931155243772646E-2</c:v>
                </c:pt>
                <c:pt idx="13">
                  <c:v>9.8871106655175345E-2</c:v>
                </c:pt>
                <c:pt idx="14">
                  <c:v>9.9582415229851867E-2</c:v>
                </c:pt>
                <c:pt idx="15">
                  <c:v>9.9811684206990187E-2</c:v>
                </c:pt>
                <c:pt idx="16">
                  <c:v>9.9877653195750871E-2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03-C142-8707-8EC8CAD2A082}"/>
            </c:ext>
          </c:extLst>
        </c:ser>
        <c:ser>
          <c:idx val="1"/>
          <c:order val="1"/>
          <c:tx>
            <c:strRef>
              <c:f>CallGkTable!$S$86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CallGkTable!$Q$87:$Q$103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CallGkTable!$S$87:$S$103</c:f>
              <c:numCache>
                <c:formatCode>0.0000</c:formatCode>
                <c:ptCount val="17"/>
                <c:pt idx="0">
                  <c:v>1.1332530343148011E-5</c:v>
                </c:pt>
                <c:pt idx="1">
                  <c:v>1.1000326823056659E-4</c:v>
                </c:pt>
                <c:pt idx="2">
                  <c:v>6.7012653150436683E-4</c:v>
                </c:pt>
                <c:pt idx="3">
                  <c:v>2.8005079404176503E-3</c:v>
                </c:pt>
                <c:pt idx="4">
                  <c:v>8.6101600896775765E-3</c:v>
                </c:pt>
                <c:pt idx="5">
                  <c:v>2.0599015086440079E-2</c:v>
                </c:pt>
                <c:pt idx="6">
                  <c:v>4.0151569990777833E-2</c:v>
                </c:pt>
                <c:pt idx="7">
                  <c:v>6.6260425961542982E-2</c:v>
                </c:pt>
                <c:pt idx="8">
                  <c:v>9.5647445393394911E-2</c:v>
                </c:pt>
                <c:pt idx="9">
                  <c:v>0.12420817808937205</c:v>
                </c:pt>
                <c:pt idx="10">
                  <c:v>0.14866303408782125</c:v>
                </c:pt>
                <c:pt idx="11">
                  <c:v>0.16742535793708607</c:v>
                </c:pt>
                <c:pt idx="12">
                  <c:v>0.18050952682701793</c:v>
                </c:pt>
                <c:pt idx="13">
                  <c:v>0.18890468841237468</c:v>
                </c:pt>
                <c:pt idx="14">
                  <c:v>0.19391259558754662</c:v>
                </c:pt>
                <c:pt idx="15">
                  <c:v>0.19671489079206417</c:v>
                </c:pt>
                <c:pt idx="16">
                  <c:v>0.19819726458551734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03-C142-8707-8EC8CAD2A082}"/>
            </c:ext>
          </c:extLst>
        </c:ser>
        <c:ser>
          <c:idx val="2"/>
          <c:order val="2"/>
          <c:tx>
            <c:strRef>
              <c:f>CallGkTable!$T$86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CallGkTable!$Q$87:$Q$103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CallGkTable!$T$87:$T$103</c:f>
              <c:numCache>
                <c:formatCode>0.0000</c:formatCode>
                <c:ptCount val="17"/>
                <c:pt idx="0">
                  <c:v>2.2587447202926817E-4</c:v>
                </c:pt>
                <c:pt idx="1">
                  <c:v>1.0828646304118206E-3</c:v>
                </c:pt>
                <c:pt idx="2">
                  <c:v>3.8055475002660962E-3</c:v>
                </c:pt>
                <c:pt idx="3">
                  <c:v>1.0404743079329299E-2</c:v>
                </c:pt>
                <c:pt idx="4">
                  <c:v>2.3188215227327152E-2</c:v>
                </c:pt>
                <c:pt idx="5">
                  <c:v>4.3722556636840153E-2</c:v>
                </c:pt>
                <c:pt idx="6">
                  <c:v>7.1895756392573715E-2</c:v>
                </c:pt>
                <c:pt idx="7">
                  <c:v>0.10571300384455705</c:v>
                </c:pt>
                <c:pt idx="8">
                  <c:v>0.14193093045907348</c:v>
                </c:pt>
                <c:pt idx="9">
                  <c:v>0.17710675985594915</c:v>
                </c:pt>
                <c:pt idx="10">
                  <c:v>0.20850986007567907</c:v>
                </c:pt>
                <c:pt idx="11">
                  <c:v>0.23457335932437789</c:v>
                </c:pt>
                <c:pt idx="12">
                  <c:v>0.25487739366774992</c:v>
                </c:pt>
                <c:pt idx="13">
                  <c:v>0.26984500276398515</c:v>
                </c:pt>
                <c:pt idx="14">
                  <c:v>0.28035878249676893</c:v>
                </c:pt>
                <c:pt idx="15">
                  <c:v>0.28743809080910765</c:v>
                </c:pt>
                <c:pt idx="16">
                  <c:v>0.29203093523689749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03-C142-8707-8EC8CAD2A082}"/>
            </c:ext>
          </c:extLst>
        </c:ser>
        <c:ser>
          <c:idx val="3"/>
          <c:order val="3"/>
          <c:tx>
            <c:strRef>
              <c:f>CallGkTable!$U$86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CallGkTable!$Q$87:$Q$103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CallGkTable!$U$87:$U$103</c:f>
              <c:numCache>
                <c:formatCode>0.0000</c:formatCode>
                <c:ptCount val="17"/>
                <c:pt idx="0">
                  <c:v>1.1301837002767317E-3</c:v>
                </c:pt>
                <c:pt idx="1">
                  <c:v>3.7982446397381536E-3</c:v>
                </c:pt>
                <c:pt idx="2">
                  <c:v>1.0108518694220893E-2</c:v>
                </c:pt>
                <c:pt idx="3">
                  <c:v>2.2277486403587093E-2</c:v>
                </c:pt>
                <c:pt idx="4">
                  <c:v>4.2101668239852945E-2</c:v>
                </c:pt>
                <c:pt idx="5">
                  <c:v>7.0158187896353447E-2</c:v>
                </c:pt>
                <c:pt idx="6">
                  <c:v>0.10543607299579147</c:v>
                </c:pt>
                <c:pt idx="7">
                  <c:v>0.14556689094577388</c:v>
                </c:pt>
                <c:pt idx="8">
                  <c:v>0.18748461687370582</c:v>
                </c:pt>
                <c:pt idx="9">
                  <c:v>0.22818237236294162</c:v>
                </c:pt>
                <c:pt idx="10">
                  <c:v>0.2652854606672988</c:v>
                </c:pt>
                <c:pt idx="11">
                  <c:v>0.29731963677583229</c:v>
                </c:pt>
                <c:pt idx="12">
                  <c:v>0.32370108870629921</c:v>
                </c:pt>
                <c:pt idx="13">
                  <c:v>0.34455132914714232</c:v>
                </c:pt>
                <c:pt idx="14">
                  <c:v>0.36044808482034152</c:v>
                </c:pt>
                <c:pt idx="15">
                  <c:v>0.37219240872194903</c:v>
                </c:pt>
                <c:pt idx="16">
                  <c:v>0.38063235204176132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03-C142-8707-8EC8CAD2A082}"/>
            </c:ext>
          </c:extLst>
        </c:ser>
        <c:ser>
          <c:idx val="4"/>
          <c:order val="4"/>
          <c:tx>
            <c:strRef>
              <c:f>CallGkTable!$V$86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CallGkTable!$Q$87:$Q$103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CallGkTable!$V$87:$V$103</c:f>
              <c:numCache>
                <c:formatCode>0.0000</c:formatCode>
                <c:ptCount val="17"/>
                <c:pt idx="0">
                  <c:v>3.1727274899903952E-3</c:v>
                </c:pt>
                <c:pt idx="1">
                  <c:v>8.6022397763405953E-3</c:v>
                </c:pt>
                <c:pt idx="2">
                  <c:v>1.9341199007050006E-2</c:v>
                </c:pt>
                <c:pt idx="3">
                  <c:v>3.7375642733991833E-2</c:v>
                </c:pt>
                <c:pt idx="4">
                  <c:v>6.3836239230238873E-2</c:v>
                </c:pt>
                <c:pt idx="5">
                  <c:v>9.8529677259979437E-2</c:v>
                </c:pt>
                <c:pt idx="6">
                  <c:v>0.13991727530535455</c:v>
                </c:pt>
                <c:pt idx="7">
                  <c:v>0.18549891582551312</c:v>
                </c:pt>
                <c:pt idx="8">
                  <c:v>0.23239821537606059</c:v>
                </c:pt>
                <c:pt idx="9">
                  <c:v>0.27792320019220723</c:v>
                </c:pt>
                <c:pt idx="10">
                  <c:v>0.31995430199928426</c:v>
                </c:pt>
                <c:pt idx="11">
                  <c:v>0.35711501203565793</c:v>
                </c:pt>
                <c:pt idx="12">
                  <c:v>0.38875814895490307</c:v>
                </c:pt>
                <c:pt idx="13">
                  <c:v>0.41483583425713472</c:v>
                </c:pt>
                <c:pt idx="14">
                  <c:v>0.43572176068814955</c:v>
                </c:pt>
                <c:pt idx="15">
                  <c:v>0.4520364278562542</c:v>
                </c:pt>
                <c:pt idx="16">
                  <c:v>0.46450375839346558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D03-C142-8707-8EC8CAD2A082}"/>
            </c:ext>
          </c:extLst>
        </c:ser>
        <c:ser>
          <c:idx val="5"/>
          <c:order val="5"/>
          <c:tx>
            <c:strRef>
              <c:f>CallGkTable!$W$86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CallGkTable!$Q$87:$Q$103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CallGkTable!$W$87:$W$103</c:f>
              <c:numCache>
                <c:formatCode>0.0000</c:formatCode>
                <c:ptCount val="17"/>
                <c:pt idx="0">
                  <c:v>6.5908885371946321E-3</c:v>
                </c:pt>
                <c:pt idx="1">
                  <c:v>1.5469602201022621E-2</c:v>
                </c:pt>
                <c:pt idx="2">
                  <c:v>3.1045688556190533E-2</c:v>
                </c:pt>
                <c:pt idx="3">
                  <c:v>5.4887827575266571E-2</c:v>
                </c:pt>
                <c:pt idx="4">
                  <c:v>8.7502447732684369E-2</c:v>
                </c:pt>
                <c:pt idx="5">
                  <c:v>0.12813282697945419</c:v>
                </c:pt>
                <c:pt idx="6">
                  <c:v>0.1749273970506767</c:v>
                </c:pt>
                <c:pt idx="7">
                  <c:v>0.22536096616038256</c:v>
                </c:pt>
                <c:pt idx="8">
                  <c:v>0.27673266418213815</c:v>
                </c:pt>
                <c:pt idx="9">
                  <c:v>0.32659213280179172</c:v>
                </c:pt>
                <c:pt idx="10">
                  <c:v>0.37301467373776581</c:v>
                </c:pt>
                <c:pt idx="11">
                  <c:v>0.41471363169847442</c:v>
                </c:pt>
                <c:pt idx="12">
                  <c:v>0.45102197776462988</c:v>
                </c:pt>
                <c:pt idx="13">
                  <c:v>0.48179196650195982</c:v>
                </c:pt>
                <c:pt idx="14">
                  <c:v>0.50725932380965366</c:v>
                </c:pt>
                <c:pt idx="15">
                  <c:v>0.5279063993891423</c:v>
                </c:pt>
                <c:pt idx="16">
                  <c:v>0.5443446690666176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D03-C142-8707-8EC8CAD2A082}"/>
            </c:ext>
          </c:extLst>
        </c:ser>
        <c:ser>
          <c:idx val="6"/>
          <c:order val="6"/>
          <c:tx>
            <c:strRef>
              <c:f>CallGkTable!$X$86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CallGkTable!$Q$87:$Q$103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CallGkTable!$X$87:$X$103</c:f>
              <c:numCache>
                <c:formatCode>0.0000</c:formatCode>
                <c:ptCount val="17"/>
                <c:pt idx="0">
                  <c:v>1.1449306418409966E-2</c:v>
                </c:pt>
                <c:pt idx="1">
                  <c:v>2.4222946495275677E-2</c:v>
                </c:pt>
                <c:pt idx="2">
                  <c:v>4.4784244022574075E-2</c:v>
                </c:pt>
                <c:pt idx="3">
                  <c:v>7.4233901250503026E-2</c:v>
                </c:pt>
                <c:pt idx="4">
                  <c:v>0.11254687988484215</c:v>
                </c:pt>
                <c:pt idx="5">
                  <c:v>0.15855986685171217</c:v>
                </c:pt>
                <c:pt idx="6">
                  <c:v>0.21023581921994064</c:v>
                </c:pt>
                <c:pt idx="7">
                  <c:v>0.26507480350440921</c:v>
                </c:pt>
                <c:pt idx="8">
                  <c:v>0.32053299834482402</c:v>
                </c:pt>
                <c:pt idx="9">
                  <c:v>0.37435336997194241</c:v>
                </c:pt>
                <c:pt idx="10">
                  <c:v>0.42476670407640105</c:v>
                </c:pt>
                <c:pt idx="11">
                  <c:v>0.47056644807114717</c:v>
                </c:pt>
                <c:pt idx="12">
                  <c:v>0.5110863748913933</c:v>
                </c:pt>
                <c:pt idx="13">
                  <c:v>0.54611808117523797</c:v>
                </c:pt>
                <c:pt idx="14">
                  <c:v>0.57580182729458607</c:v>
                </c:pt>
                <c:pt idx="15">
                  <c:v>0.60051541964146771</c:v>
                </c:pt>
                <c:pt idx="16">
                  <c:v>0.62077618313338989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D03-C142-8707-8EC8CAD2A082}"/>
            </c:ext>
          </c:extLst>
        </c:ser>
        <c:ser>
          <c:idx val="7"/>
          <c:order val="7"/>
          <c:tx>
            <c:strRef>
              <c:f>CallGkTable!$Y$86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CallGkTable!$Q$87:$Q$103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CallGkTable!$Y$87:$Y$103</c:f>
              <c:numCache>
                <c:formatCode>0.0000</c:formatCode>
                <c:ptCount val="17"/>
                <c:pt idx="0">
                  <c:v>1.7711463627698015E-2</c:v>
                </c:pt>
                <c:pt idx="1">
                  <c:v>3.4644139974960207E-2</c:v>
                </c:pt>
                <c:pt idx="2">
                  <c:v>6.0191244882771687E-2</c:v>
                </c:pt>
                <c:pt idx="3">
                  <c:v>9.4998591027931845E-2</c:v>
                </c:pt>
                <c:pt idx="4">
                  <c:v>0.13860489518231892</c:v>
                </c:pt>
                <c:pt idx="5">
                  <c:v>0.18955365431433957</c:v>
                </c:pt>
                <c:pt idx="6">
                  <c:v>0.24570063770440542</c:v>
                </c:pt>
                <c:pt idx="7">
                  <c:v>0.30459559705270872</c:v>
                </c:pt>
                <c:pt idx="8">
                  <c:v>0.36383434264921355</c:v>
                </c:pt>
                <c:pt idx="9">
                  <c:v>0.42131936325461389</c:v>
                </c:pt>
                <c:pt idx="10">
                  <c:v>0.47540950801739901</c:v>
                </c:pt>
                <c:pt idx="11">
                  <c:v>0.52496929542260917</c:v>
                </c:pt>
                <c:pt idx="12">
                  <c:v>0.56934359886945318</c:v>
                </c:pt>
                <c:pt idx="13">
                  <c:v>0.60828679358443949</c:v>
                </c:pt>
                <c:pt idx="14">
                  <c:v>0.64187163619302934</c:v>
                </c:pt>
                <c:pt idx="15">
                  <c:v>0.67039633112636221</c:v>
                </c:pt>
                <c:pt idx="16">
                  <c:v>0.69430119356071585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D03-C142-8707-8EC8CAD2A082}"/>
            </c:ext>
          </c:extLst>
        </c:ser>
        <c:ser>
          <c:idx val="8"/>
          <c:order val="8"/>
          <c:tx>
            <c:strRef>
              <c:f>CallGkTable!$Z$86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CallGkTable!$Q$87:$Q$103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CallGkTable!$Z$87:$Z$103</c:f>
              <c:numCache>
                <c:formatCode>0.0000</c:formatCode>
                <c:ptCount val="17"/>
                <c:pt idx="0">
                  <c:v>2.5290931687880013E-2</c:v>
                </c:pt>
                <c:pt idx="1">
                  <c:v>4.652006501990831E-2</c:v>
                </c:pt>
                <c:pt idx="2">
                  <c:v>7.6972593895436286E-2</c:v>
                </c:pt>
                <c:pt idx="3">
                  <c:v>0.11687876444341773</c:v>
                </c:pt>
                <c:pt idx="4">
                  <c:v>0.16542451185364437</c:v>
                </c:pt>
                <c:pt idx="5">
                  <c:v>0.2209417414575974</c:v>
                </c:pt>
                <c:pt idx="6">
                  <c:v>0.28122869505264236</c:v>
                </c:pt>
                <c:pt idx="7">
                  <c:v>0.34389641378661545</c:v>
                </c:pt>
                <c:pt idx="8">
                  <c:v>0.40666514264759984</c:v>
                </c:pt>
                <c:pt idx="9">
                  <c:v>0.46757213487895105</c:v>
                </c:pt>
                <c:pt idx="10">
                  <c:v>0.52508429600813011</c:v>
                </c:pt>
                <c:pt idx="11">
                  <c:v>0.57812941191026346</c:v>
                </c:pt>
                <c:pt idx="12">
                  <c:v>0.62606865589008986</c:v>
                </c:pt>
                <c:pt idx="13">
                  <c:v>0.66863385045386048</c:v>
                </c:pt>
                <c:pt idx="14">
                  <c:v>0.70584918287508258</c:v>
                </c:pt>
                <c:pt idx="15">
                  <c:v>0.73795159861052295</c:v>
                </c:pt>
                <c:pt idx="16">
                  <c:v>0.76531872393256084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D03-C142-8707-8EC8CAD2A082}"/>
            </c:ext>
          </c:extLst>
        </c:ser>
        <c:ser>
          <c:idx val="9"/>
          <c:order val="9"/>
          <c:tx>
            <c:strRef>
              <c:f>CallGkTable!$AA$86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CallGkTable!$Q$87:$Q$103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CallGkTable!$AA$87:$AA$103</c:f>
              <c:numCache>
                <c:formatCode>0.0000</c:formatCode>
                <c:ptCount val="17"/>
                <c:pt idx="0">
                  <c:v>3.4081262074599154E-2</c:v>
                </c:pt>
                <c:pt idx="1">
                  <c:v>5.9658621895937708E-2</c:v>
                </c:pt>
                <c:pt idx="2">
                  <c:v>9.4893482029156054E-2</c:v>
                </c:pt>
                <c:pt idx="3">
                  <c:v>0.13964806192115639</c:v>
                </c:pt>
                <c:pt idx="4">
                  <c:v>0.19282474296583743</c:v>
                </c:pt>
                <c:pt idx="5">
                  <c:v>0.25260301138987579</c:v>
                </c:pt>
                <c:pt idx="6">
                  <c:v>0.31675590666078812</c:v>
                </c:pt>
                <c:pt idx="7">
                  <c:v>0.38296069087442108</c:v>
                </c:pt>
                <c:pt idx="8">
                  <c:v>0.44904908466519977</c:v>
                </c:pt>
                <c:pt idx="9">
                  <c:v>0.51317432142978925</c:v>
                </c:pt>
                <c:pt idx="10">
                  <c:v>0.57389622642331117</c:v>
                </c:pt>
                <c:pt idx="11">
                  <c:v>0.6301992394484307</c:v>
                </c:pt>
                <c:pt idx="12">
                  <c:v>0.68146336615181535</c:v>
                </c:pt>
                <c:pt idx="13">
                  <c:v>0.72740739426895162</c:v>
                </c:pt>
                <c:pt idx="14">
                  <c:v>0.76802012118301122</c:v>
                </c:pt>
                <c:pt idx="15">
                  <c:v>0.8034908262740964</c:v>
                </c:pt>
                <c:pt idx="16">
                  <c:v>0.83414598637936621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D03-C142-8707-8EC8CAD2A082}"/>
            </c:ext>
          </c:extLst>
        </c:ser>
        <c:ser>
          <c:idx val="10"/>
          <c:order val="10"/>
          <c:tx>
            <c:strRef>
              <c:f>CallGkTable!$AB$86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CallGkTable!$Q$87:$Q$103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CallGkTable!$AB$87:$AB$103</c:f>
              <c:numCache>
                <c:formatCode>0.0000</c:formatCode>
                <c:ptCount val="17"/>
                <c:pt idx="0">
                  <c:v>0.16760740288014706</c:v>
                </c:pt>
                <c:pt idx="1">
                  <c:v>0.23314848276281694</c:v>
                </c:pt>
                <c:pt idx="2">
                  <c:v>0.30833945975697685</c:v>
                </c:pt>
                <c:pt idx="3">
                  <c:v>0.3912877070729931</c:v>
                </c:pt>
                <c:pt idx="4">
                  <c:v>0.47990477205189996</c:v>
                </c:pt>
                <c:pt idx="5">
                  <c:v>0.57209878012749971</c:v>
                </c:pt>
                <c:pt idx="6">
                  <c:v>0.66591346159028797</c:v>
                </c:pt>
                <c:pt idx="7">
                  <c:v>0.75961631172955646</c:v>
                </c:pt>
                <c:pt idx="8">
                  <c:v>0.85174423276303957</c:v>
                </c:pt>
                <c:pt idx="9">
                  <c:v>0.941116891312198</c:v>
                </c:pt>
                <c:pt idx="10">
                  <c:v>1.0268276202708793</c:v>
                </c:pt>
                <c:pt idx="11">
                  <c:v>1.108220192638607</c:v>
                </c:pt>
                <c:pt idx="12">
                  <c:v>1.1848579476912982</c:v>
                </c:pt>
                <c:pt idx="13">
                  <c:v>1.2564899717066402</c:v>
                </c:pt>
                <c:pt idx="14">
                  <c:v>1.3230175184925788</c:v>
                </c:pt>
                <c:pt idx="15">
                  <c:v>1.3844626580586128</c:v>
                </c:pt>
                <c:pt idx="16">
                  <c:v>1.4409402526215995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D03-C142-8707-8EC8CAD2A082}"/>
            </c:ext>
          </c:extLst>
        </c:ser>
        <c:ser>
          <c:idx val="11"/>
          <c:order val="11"/>
          <c:tx>
            <c:strRef>
              <c:f>CallGkTable!$AC$86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CallGkTable!$Q$87:$Q$103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CallGkTable!$AC$87:$AC$103</c:f>
              <c:numCache>
                <c:formatCode>0.0000</c:formatCode>
                <c:ptCount val="17"/>
                <c:pt idx="0">
                  <c:v>0.34347278354932753</c:v>
                </c:pt>
                <c:pt idx="1">
                  <c:v>0.44032078635685484</c:v>
                </c:pt>
                <c:pt idx="2">
                  <c:v>0.5448204944927838</c:v>
                </c:pt>
                <c:pt idx="3">
                  <c:v>0.65478709737318352</c:v>
                </c:pt>
                <c:pt idx="4">
                  <c:v>0.76816408112647405</c:v>
                </c:pt>
                <c:pt idx="5">
                  <c:v>0.88310233648812408</c:v>
                </c:pt>
                <c:pt idx="6">
                  <c:v>0.99800015811264575</c:v>
                </c:pt>
                <c:pt idx="7">
                  <c:v>1.1115151807553352</c:v>
                </c:pt>
                <c:pt idx="8">
                  <c:v>1.2225575387364285</c:v>
                </c:pt>
                <c:pt idx="9">
                  <c:v>1.330271469421086</c:v>
                </c:pt>
                <c:pt idx="10">
                  <c:v>1.4340106592521729</c:v>
                </c:pt>
                <c:pt idx="11">
                  <c:v>1.5333110283875411</c:v>
                </c:pt>
                <c:pt idx="12">
                  <c:v>1.6278634009613051</c:v>
                </c:pt>
                <c:pt idx="13">
                  <c:v>1.7174875805075749</c:v>
                </c:pt>
                <c:pt idx="14">
                  <c:v>1.80210868841131</c:v>
                </c:pt>
                <c:pt idx="15">
                  <c:v>1.8817361687331504</c:v>
                </c:pt>
                <c:pt idx="16">
                  <c:v>1.9564455630771902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D03-C142-8707-8EC8CAD2A082}"/>
            </c:ext>
          </c:extLst>
        </c:ser>
        <c:ser>
          <c:idx val="12"/>
          <c:order val="12"/>
          <c:tx>
            <c:strRef>
              <c:f>CallGkTable!$AD$86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CallGkTable!$Q$87:$Q$103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CallGkTable!$AD$87:$AD$103</c:f>
              <c:numCache>
                <c:formatCode>0.0000</c:formatCode>
                <c:ptCount val="17"/>
                <c:pt idx="0">
                  <c:v>0.53429576659871825</c:v>
                </c:pt>
                <c:pt idx="1">
                  <c:v>0.65612241719610553</c:v>
                </c:pt>
                <c:pt idx="2">
                  <c:v>0.78359786030381173</c:v>
                </c:pt>
                <c:pt idx="3">
                  <c:v>0.91460887943075664</c:v>
                </c:pt>
                <c:pt idx="4">
                  <c:v>1.0472989940256037</c:v>
                </c:pt>
                <c:pt idx="5">
                  <c:v>1.1800840446744412</c:v>
                </c:pt>
                <c:pt idx="6">
                  <c:v>1.3116465975777294</c:v>
                </c:pt>
                <c:pt idx="7">
                  <c:v>1.4409177804367721</c:v>
                </c:pt>
                <c:pt idx="8">
                  <c:v>1.5670525263856454</c:v>
                </c:pt>
                <c:pt idx="9">
                  <c:v>1.6894022005404263</c:v>
                </c:pt>
                <c:pt idx="10">
                  <c:v>1.8074871324670514</c:v>
                </c:pt>
                <c:pt idx="11">
                  <c:v>1.9209705624827618</c:v>
                </c:pt>
                <c:pt idx="12">
                  <c:v>2.0296348209289148</c:v>
                </c:pt>
                <c:pt idx="13">
                  <c:v>2.1333601067150978</c:v>
                </c:pt>
                <c:pt idx="14">
                  <c:v>2.2321059443947862</c:v>
                </c:pt>
                <c:pt idx="15">
                  <c:v>2.3258952257971575</c:v>
                </c:pt>
                <c:pt idx="16">
                  <c:v>2.4148006453738216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D03-C142-8707-8EC8CAD2A082}"/>
            </c:ext>
          </c:extLst>
        </c:ser>
        <c:ser>
          <c:idx val="13"/>
          <c:order val="13"/>
          <c:tx>
            <c:strRef>
              <c:f>CallGkTable!$AE$86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CallGkTable!$Q$87:$Q$103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CallGkTable!$AE$87:$AE$103</c:f>
              <c:numCache>
                <c:formatCode>0.0000</c:formatCode>
                <c:ptCount val="17"/>
                <c:pt idx="0">
                  <c:v>0.72913289318308616</c:v>
                </c:pt>
                <c:pt idx="1">
                  <c:v>0.87156514480259173</c:v>
                </c:pt>
                <c:pt idx="2">
                  <c:v>1.0178771687584245</c:v>
                </c:pt>
                <c:pt idx="3">
                  <c:v>1.1661280707499488</c:v>
                </c:pt>
                <c:pt idx="4">
                  <c:v>1.3146822164902674</c:v>
                </c:pt>
                <c:pt idx="5">
                  <c:v>1.4621903371980651</c:v>
                </c:pt>
                <c:pt idx="6">
                  <c:v>1.6075618888968963</c:v>
                </c:pt>
                <c:pt idx="7">
                  <c:v>1.7499340189075157</c:v>
                </c:pt>
                <c:pt idx="8">
                  <c:v>1.888640374957363</c:v>
                </c:pt>
                <c:pt idx="9">
                  <c:v>2.0231815965757338</c:v>
                </c:pt>
                <c:pt idx="10">
                  <c:v>2.1531984323949449</c:v>
                </c:pt>
                <c:pt idx="11">
                  <c:v>2.2784478679255171</c:v>
                </c:pt>
                <c:pt idx="12">
                  <c:v>2.3987823120714449</c:v>
                </c:pt>
                <c:pt idx="13">
                  <c:v>2.5141316989180638</c:v>
                </c:pt>
                <c:pt idx="14">
                  <c:v>2.624488261615415</c:v>
                </c:pt>
                <c:pt idx="15">
                  <c:v>2.7298936926815593</c:v>
                </c:pt>
                <c:pt idx="16">
                  <c:v>2.8304283969966364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D03-C142-8707-8EC8CAD2A082}"/>
            </c:ext>
          </c:extLst>
        </c:ser>
        <c:bandFmts>
          <c:bandFmt>
            <c:idx val="0"/>
            <c:spPr>
              <a:solidFill>
                <a:schemeClr val="accent1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</c:bandFmts>
        <c:axId val="1666658560"/>
        <c:axId val="1662749760"/>
        <c:axId val="1649283584"/>
      </c:surface3DChart>
      <c:catAx>
        <c:axId val="1666658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2749760"/>
        <c:crosses val="autoZero"/>
        <c:auto val="1"/>
        <c:lblAlgn val="ctr"/>
        <c:lblOffset val="100"/>
        <c:noMultiLvlLbl val="0"/>
      </c:catAx>
      <c:valAx>
        <c:axId val="1662749760"/>
        <c:scaling>
          <c:orientation val="minMax"/>
          <c:max val="4.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658560"/>
        <c:crosses val="autoZero"/>
        <c:crossBetween val="midCat"/>
      </c:valAx>
      <c:serAx>
        <c:axId val="164928358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2749760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</a:t>
            </a:r>
            <a:r>
              <a:rPr lang="en-US" baseline="0"/>
              <a:t> - 10%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CallGkTable!$AH$66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CallGkTable!$AG$67:$AG$83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CallGkTable!$AH$67:$AH$83</c:f>
              <c:numCache>
                <c:formatCode>0.0000</c:formatCode>
                <c:ptCount val="17"/>
                <c:pt idx="0">
                  <c:v>3.5345400505311531E-58</c:v>
                </c:pt>
                <c:pt idx="1">
                  <c:v>7.8904162138229802E-42</c:v>
                </c:pt>
                <c:pt idx="2">
                  <c:v>3.5731275340967399E-29</c:v>
                </c:pt>
                <c:pt idx="3">
                  <c:v>1.5544383929947459E-19</c:v>
                </c:pt>
                <c:pt idx="4">
                  <c:v>2.1699726533395634E-12</c:v>
                </c:pt>
                <c:pt idx="5">
                  <c:v>2.5138056835713346E-7</c:v>
                </c:pt>
                <c:pt idx="6">
                  <c:v>5.1615938644774466E-4</c:v>
                </c:pt>
                <c:pt idx="7">
                  <c:v>3.4693238841801241E-2</c:v>
                </c:pt>
                <c:pt idx="8">
                  <c:v>0.12601477970020519</c:v>
                </c:pt>
                <c:pt idx="9">
                  <c:v>3.7403491562746784E-2</c:v>
                </c:pt>
                <c:pt idx="10">
                  <c:v>1.2798321316875713E-3</c:v>
                </c:pt>
                <c:pt idx="11">
                  <c:v>6.7367205338682614E-6</c:v>
                </c:pt>
                <c:pt idx="12">
                  <c:v>6.9599615016725047E-9</c:v>
                </c:pt>
                <c:pt idx="13">
                  <c:v>1.735978122671637E-12</c:v>
                </c:pt>
                <c:pt idx="14">
                  <c:v>1.2477221902307327E-16</c:v>
                </c:pt>
                <c:pt idx="15">
                  <c:v>3.0086617304103602E-21</c:v>
                </c:pt>
                <c:pt idx="16">
                  <c:v>2.7755174863825503E-26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F-7843-AC5B-C573471D56F3}"/>
            </c:ext>
          </c:extLst>
        </c:ser>
        <c:ser>
          <c:idx val="1"/>
          <c:order val="1"/>
          <c:tx>
            <c:strRef>
              <c:f>CallGkTable!$AI$66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CallGkTable!$AG$67:$AG$83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CallGkTable!$AI$67:$AI$83</c:f>
              <c:numCache>
                <c:formatCode>0.0000</c:formatCode>
                <c:ptCount val="17"/>
                <c:pt idx="0">
                  <c:v>1.0711882489098268E-29</c:v>
                </c:pt>
                <c:pt idx="1">
                  <c:v>1.5687681949729762E-21</c:v>
                </c:pt>
                <c:pt idx="2">
                  <c:v>3.2770789744139767E-15</c:v>
                </c:pt>
                <c:pt idx="3">
                  <c:v>2.1245091218449445E-10</c:v>
                </c:pt>
                <c:pt idx="4">
                  <c:v>7.8107330033859321E-7</c:v>
                </c:pt>
                <c:pt idx="5">
                  <c:v>2.6184740803568223E-4</c:v>
                </c:pt>
                <c:pt idx="6">
                  <c:v>1.1696837223341141E-2</c:v>
                </c:pt>
                <c:pt idx="7">
                  <c:v>9.4608178373498483E-2</c:v>
                </c:pt>
                <c:pt idx="8">
                  <c:v>0.1780114349570453</c:v>
                </c:pt>
                <c:pt idx="9">
                  <c:v>9.5806705523719587E-2</c:v>
                </c:pt>
                <c:pt idx="10">
                  <c:v>1.7517232418946857E-2</c:v>
                </c:pt>
                <c:pt idx="11">
                  <c:v>1.2568601723670415E-3</c:v>
                </c:pt>
                <c:pt idx="12">
                  <c:v>3.9971023224294199E-5</c:v>
                </c:pt>
                <c:pt idx="13">
                  <c:v>6.2485864027086943E-7</c:v>
                </c:pt>
                <c:pt idx="14">
                  <c:v>5.2457823818334002E-9</c:v>
                </c:pt>
                <c:pt idx="15">
                  <c:v>2.551763362376573E-11</c:v>
                </c:pt>
                <c:pt idx="16">
                  <c:v>7.6802814218934886E-14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FF-7843-AC5B-C573471D56F3}"/>
            </c:ext>
          </c:extLst>
        </c:ser>
        <c:ser>
          <c:idx val="2"/>
          <c:order val="2"/>
          <c:tx>
            <c:strRef>
              <c:f>CallGkTable!$AJ$66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CallGkTable!$AG$67:$AG$83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CallGkTable!$AJ$67:$AJ$83</c:f>
              <c:numCache>
                <c:formatCode>0.0000</c:formatCode>
                <c:ptCount val="17"/>
                <c:pt idx="0">
                  <c:v>3.6413157535063633E-20</c:v>
                </c:pt>
                <c:pt idx="1">
                  <c:v>9.9829747601651493E-15</c:v>
                </c:pt>
                <c:pt idx="2">
                  <c:v>1.6113180804909159E-10</c:v>
                </c:pt>
                <c:pt idx="3">
                  <c:v>2.5706041526295759E-7</c:v>
                </c:pt>
                <c:pt idx="4">
                  <c:v>6.0578597213752154E-5</c:v>
                </c:pt>
                <c:pt idx="5">
                  <c:v>2.8940234587731301E-3</c:v>
                </c:pt>
                <c:pt idx="6">
                  <c:v>3.6089280836016521E-2</c:v>
                </c:pt>
                <c:pt idx="7">
                  <c:v>0.14411356711779721</c:v>
                </c:pt>
                <c:pt idx="8">
                  <c:v>0.21777345900985229</c:v>
                </c:pt>
                <c:pt idx="9">
                  <c:v>0.14292407924672715</c:v>
                </c:pt>
                <c:pt idx="10">
                  <c:v>4.5686150128548209E-2</c:v>
                </c:pt>
                <c:pt idx="11">
                  <c:v>7.8303531906443388E-3</c:v>
                </c:pt>
                <c:pt idx="12">
                  <c:v>7.8044023598122856E-4</c:v>
                </c:pt>
                <c:pt idx="13">
                  <c:v>4.8462877771001518E-5</c:v>
                </c:pt>
                <c:pt idx="14">
                  <c:v>1.9887917206308637E-6</c:v>
                </c:pt>
                <c:pt idx="15">
                  <c:v>5.6738474150032412E-8</c:v>
                </c:pt>
                <c:pt idx="16">
                  <c:v>1.1756275778131189E-9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FF-7843-AC5B-C573471D56F3}"/>
            </c:ext>
          </c:extLst>
        </c:ser>
        <c:ser>
          <c:idx val="3"/>
          <c:order val="3"/>
          <c:tx>
            <c:strRef>
              <c:f>CallGkTable!$AK$66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CallGkTable!$AG$67:$AG$83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CallGkTable!$AK$67:$AK$83</c:f>
              <c:numCache>
                <c:formatCode>0.0000</c:formatCode>
                <c:ptCount val="17"/>
                <c:pt idx="0">
                  <c:v>2.2138942538625791E-15</c:v>
                </c:pt>
                <c:pt idx="1">
                  <c:v>2.6261095230764712E-11</c:v>
                </c:pt>
                <c:pt idx="2">
                  <c:v>3.7258960102381544E-8</c:v>
                </c:pt>
                <c:pt idx="3">
                  <c:v>9.3245046528342434E-6</c:v>
                </c:pt>
                <c:pt idx="4">
                  <c:v>5.5633346565513923E-4</c:v>
                </c:pt>
                <c:pt idx="5">
                  <c:v>1.0033008819090708E-2</c:v>
                </c:pt>
                <c:pt idx="6">
                  <c:v>6.6105163163659941E-2</c:v>
                </c:pt>
                <c:pt idx="7">
                  <c:v>0.18547920454659683</c:v>
                </c:pt>
                <c:pt idx="8">
                  <c:v>0.25118039341108511</c:v>
                </c:pt>
                <c:pt idx="9">
                  <c:v>0.18203815041877494</c:v>
                </c:pt>
                <c:pt idx="10">
                  <c:v>7.6938968689493709E-2</c:v>
                </c:pt>
                <c:pt idx="11">
                  <c:v>2.0381249613524027E-2</c:v>
                </c:pt>
                <c:pt idx="12">
                  <c:v>3.5961608377988131E-3</c:v>
                </c:pt>
                <c:pt idx="13">
                  <c:v>4.4506677252410988E-4</c:v>
                </c:pt>
                <c:pt idx="14">
                  <c:v>4.038137314557552E-5</c:v>
                </c:pt>
                <c:pt idx="15">
                  <c:v>2.7899636340967845E-6</c:v>
                </c:pt>
                <c:pt idx="16">
                  <c:v>1.5167651578010652E-7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FF-7843-AC5B-C573471D56F3}"/>
            </c:ext>
          </c:extLst>
        </c:ser>
        <c:ser>
          <c:idx val="4"/>
          <c:order val="4"/>
          <c:tx>
            <c:strRef>
              <c:f>CallGkTable!$AL$66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CallGkTable!$AG$67:$AG$83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CallGkTable!$AL$67:$AL$83</c:f>
              <c:numCache>
                <c:formatCode>0.0000</c:formatCode>
                <c:ptCount val="17"/>
                <c:pt idx="0">
                  <c:v>1.6837357993007911E-12</c:v>
                </c:pt>
                <c:pt idx="1">
                  <c:v>3.0347470957467907E-9</c:v>
                </c:pt>
                <c:pt idx="2">
                  <c:v>1.0010098526373569E-6</c:v>
                </c:pt>
                <c:pt idx="3">
                  <c:v>8.2443811591708765E-5</c:v>
                </c:pt>
                <c:pt idx="4">
                  <c:v>2.1573604959593175E-3</c:v>
                </c:pt>
                <c:pt idx="5">
                  <c:v>2.1685359940348946E-2</c:v>
                </c:pt>
                <c:pt idx="6">
                  <c:v>9.7437835238203124E-2</c:v>
                </c:pt>
                <c:pt idx="7">
                  <c:v>0.22122153003014297</c:v>
                </c:pt>
                <c:pt idx="8">
                  <c:v>0.28051246304186256</c:v>
                </c:pt>
                <c:pt idx="9">
                  <c:v>0.2157618086402236</c:v>
                </c:pt>
                <c:pt idx="10">
                  <c:v>0.10783044375026943</c:v>
                </c:pt>
                <c:pt idx="11">
                  <c:v>3.709184487135108E-2</c:v>
                </c:pt>
                <c:pt idx="12">
                  <c:v>9.2196988092317321E-3</c:v>
                </c:pt>
                <c:pt idx="13">
                  <c:v>1.7258883967674482E-3</c:v>
                </c:pt>
                <c:pt idx="14">
                  <c:v>2.5206590353609034E-4</c:v>
                </c:pt>
                <c:pt idx="15">
                  <c:v>2.9607997104108362E-5</c:v>
                </c:pt>
                <c:pt idx="16">
                  <c:v>2.8713454403848715E-6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FF-7843-AC5B-C573471D56F3}"/>
            </c:ext>
          </c:extLst>
        </c:ser>
        <c:ser>
          <c:idx val="5"/>
          <c:order val="5"/>
          <c:tx>
            <c:strRef>
              <c:f>CallGkTable!$AM$66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CallGkTable!$AG$67:$AG$83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CallGkTable!$AM$67:$AM$83</c:f>
              <c:numCache>
                <c:formatCode>0.0000</c:formatCode>
                <c:ptCount val="17"/>
                <c:pt idx="0">
                  <c:v>1.4260773627185632E-10</c:v>
                </c:pt>
                <c:pt idx="1">
                  <c:v>7.3190274501949432E-8</c:v>
                </c:pt>
                <c:pt idx="2">
                  <c:v>9.1278366359240927E-6</c:v>
                </c:pt>
                <c:pt idx="3">
                  <c:v>3.5834719979831777E-4</c:v>
                </c:pt>
                <c:pt idx="4">
                  <c:v>5.4130101077600355E-3</c:v>
                </c:pt>
                <c:pt idx="5">
                  <c:v>3.6850893362287709E-2</c:v>
                </c:pt>
                <c:pt idx="6">
                  <c:v>0.12828628098948194</c:v>
                </c:pt>
                <c:pt idx="7">
                  <c:v>0.25291422770740374</c:v>
                </c:pt>
                <c:pt idx="8">
                  <c:v>0.30694050496199521</c:v>
                </c:pt>
                <c:pt idx="9">
                  <c:v>0.24564453432089614</c:v>
                </c:pt>
                <c:pt idx="10">
                  <c:v>0.13727638643411783</c:v>
                </c:pt>
                <c:pt idx="11">
                  <c:v>5.620409306957521E-2</c:v>
                </c:pt>
                <c:pt idx="12">
                  <c:v>1.7556027112756591E-2</c:v>
                </c:pt>
                <c:pt idx="13">
                  <c:v>4.3304080862080164E-3</c:v>
                </c:pt>
                <c:pt idx="14">
                  <c:v>8.6868143918896563E-4</c:v>
                </c:pt>
                <c:pt idx="15">
                  <c:v>1.4534734818581386E-4</c:v>
                </c:pt>
                <c:pt idx="16">
                  <c:v>2.0732639788992961E-5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DFF-7843-AC5B-C573471D56F3}"/>
            </c:ext>
          </c:extLst>
        </c:ser>
        <c:ser>
          <c:idx val="6"/>
          <c:order val="6"/>
          <c:tx>
            <c:strRef>
              <c:f>CallGkTable!$AN$66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CallGkTable!$AG$67:$AG$83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CallGkTable!$AN$67:$AN$83</c:f>
              <c:numCache>
                <c:formatCode>0.0000</c:formatCode>
                <c:ptCount val="17"/>
                <c:pt idx="0">
                  <c:v>3.4375360039163322E-9</c:v>
                </c:pt>
                <c:pt idx="1">
                  <c:v>7.1926239310787049E-7</c:v>
                </c:pt>
                <c:pt idx="2">
                  <c:v>4.4780256387178206E-5</c:v>
                </c:pt>
                <c:pt idx="3">
                  <c:v>1.0355649356059845E-3</c:v>
                </c:pt>
                <c:pt idx="4">
                  <c:v>1.0564824233400872E-2</c:v>
                </c:pt>
                <c:pt idx="5">
                  <c:v>5.4448949916165577E-2</c:v>
                </c:pt>
                <c:pt idx="6">
                  <c:v>0.15796405593882862</c:v>
                </c:pt>
                <c:pt idx="7">
                  <c:v>0.28155342127741201</c:v>
                </c:pt>
                <c:pt idx="8">
                  <c:v>0.3311608714611029</c:v>
                </c:pt>
                <c:pt idx="9">
                  <c:v>0.27264617640732547</c:v>
                </c:pt>
                <c:pt idx="10">
                  <c:v>0.16502382731650939</c:v>
                </c:pt>
                <c:pt idx="11">
                  <c:v>7.6514510849957473E-2</c:v>
                </c:pt>
                <c:pt idx="12">
                  <c:v>2.8136724172845171E-2</c:v>
                </c:pt>
                <c:pt idx="13">
                  <c:v>8.4518593867206771E-3</c:v>
                </c:pt>
                <c:pt idx="14">
                  <c:v>2.1268370180966027E-3</c:v>
                </c:pt>
                <c:pt idx="15">
                  <c:v>4.5817559828766936E-4</c:v>
                </c:pt>
                <c:pt idx="16">
                  <c:v>8.6094036586961629E-5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DFF-7843-AC5B-C573471D56F3}"/>
            </c:ext>
          </c:extLst>
        </c:ser>
        <c:ser>
          <c:idx val="7"/>
          <c:order val="7"/>
          <c:tx>
            <c:strRef>
              <c:f>CallGkTable!$AO$66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CallGkTable!$AG$67:$AG$83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CallGkTable!$AO$67:$AO$83</c:f>
              <c:numCache>
                <c:formatCode>0.0000</c:formatCode>
                <c:ptCount val="17"/>
                <c:pt idx="0">
                  <c:v>3.7721952577593391E-8</c:v>
                </c:pt>
                <c:pt idx="1">
                  <c:v>4.0269999011754232E-6</c:v>
                </c:pt>
                <c:pt idx="2">
                  <c:v>1.4889989640669957E-4</c:v>
                </c:pt>
                <c:pt idx="3">
                  <c:v>2.3152671506101981E-3</c:v>
                </c:pt>
                <c:pt idx="4">
                  <c:v>1.759740529856035E-2</c:v>
                </c:pt>
                <c:pt idx="5">
                  <c:v>7.3606201526075665E-2</c:v>
                </c:pt>
                <c:pt idx="6">
                  <c:v>0.18625614252560363</c:v>
                </c:pt>
                <c:pt idx="7">
                  <c:v>0.30780115974298611</c:v>
                </c:pt>
                <c:pt idx="8">
                  <c:v>0.35362780796997578</c:v>
                </c:pt>
                <c:pt idx="9">
                  <c:v>0.29739757516778265</c:v>
                </c:pt>
                <c:pt idx="10">
                  <c:v>0.19110786021475307</c:v>
                </c:pt>
                <c:pt idx="11">
                  <c:v>9.7273487048199256E-2</c:v>
                </c:pt>
                <c:pt idx="12">
                  <c:v>4.0427583513910757E-2</c:v>
                </c:pt>
                <c:pt idx="13">
                  <c:v>1.4077924238848249E-2</c:v>
                </c:pt>
                <c:pt idx="14">
                  <c:v>4.1991195969349748E-3</c:v>
                </c:pt>
                <c:pt idx="15">
                  <c:v>1.0933755800638381E-3</c:v>
                </c:pt>
                <c:pt idx="16">
                  <c:v>2.5262754622349385E-4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DFF-7843-AC5B-C573471D56F3}"/>
            </c:ext>
          </c:extLst>
        </c:ser>
        <c:ser>
          <c:idx val="8"/>
          <c:order val="8"/>
          <c:tx>
            <c:strRef>
              <c:f>CallGkTable!$AP$66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CallGkTable!$AG$67:$AG$83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CallGkTable!$AP$67:$AP$83</c:f>
              <c:numCache>
                <c:formatCode>0.0000</c:formatCode>
                <c:ptCount val="17"/>
                <c:pt idx="0">
                  <c:v>2.4471925152833751E-7</c:v>
                </c:pt>
                <c:pt idx="1">
                  <c:v>1.5479180979646812E-5</c:v>
                </c:pt>
                <c:pt idx="2">
                  <c:v>3.8164553510493975E-4</c:v>
                </c:pt>
                <c:pt idx="3">
                  <c:v>4.3580320477808066E-3</c:v>
                </c:pt>
                <c:pt idx="4">
                  <c:v>2.6345645732472472E-2</c:v>
                </c:pt>
                <c:pt idx="5">
                  <c:v>9.3682861219506974E-2</c:v>
                </c:pt>
                <c:pt idx="6">
                  <c:v>0.21314624132838869</c:v>
                </c:pt>
                <c:pt idx="7">
                  <c:v>0.33211834114491312</c:v>
                </c:pt>
                <c:pt idx="8">
                  <c:v>0.37465720501521849</c:v>
                </c:pt>
                <c:pt idx="9">
                  <c:v>0.32033505994229872</c:v>
                </c:pt>
                <c:pt idx="10">
                  <c:v>0.21565675444124369</c:v>
                </c:pt>
                <c:pt idx="11">
                  <c:v>0.11803032678147579</c:v>
                </c:pt>
                <c:pt idx="12">
                  <c:v>5.3953369730765102E-2</c:v>
                </c:pt>
                <c:pt idx="13">
                  <c:v>2.1076516585977947E-2</c:v>
                </c:pt>
                <c:pt idx="14">
                  <c:v>7.1754270940931385E-3</c:v>
                </c:pt>
                <c:pt idx="15">
                  <c:v>2.1651121661498728E-3</c:v>
                </c:pt>
                <c:pt idx="16">
                  <c:v>5.8750695962988023E-4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DFF-7843-AC5B-C573471D56F3}"/>
            </c:ext>
          </c:extLst>
        </c:ser>
        <c:ser>
          <c:idx val="9"/>
          <c:order val="9"/>
          <c:tx>
            <c:strRef>
              <c:f>CallGkTable!$AQ$66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CallGkTable!$AG$67:$AG$83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CallGkTable!$AQ$67:$AQ$83</c:f>
              <c:numCache>
                <c:formatCode>0.0000</c:formatCode>
                <c:ptCount val="17"/>
                <c:pt idx="0">
                  <c:v>1.0981137573304838E-6</c:v>
                </c:pt>
                <c:pt idx="1">
                  <c:v>4.5696305078151927E-5</c:v>
                </c:pt>
                <c:pt idx="2">
                  <c:v>8.1469084911896738E-4</c:v>
                </c:pt>
                <c:pt idx="3">
                  <c:v>7.267112565693663E-3</c:v>
                </c:pt>
                <c:pt idx="4">
                  <c:v>3.6579438640896036E-2</c:v>
                </c:pt>
                <c:pt idx="5">
                  <c:v>0.11422910084499063</c:v>
                </c:pt>
                <c:pt idx="6">
                  <c:v>0.23869941692283714</c:v>
                </c:pt>
                <c:pt idx="7">
                  <c:v>0.35483868952949416</c:v>
                </c:pt>
                <c:pt idx="8">
                  <c:v>0.39447933090788895</c:v>
                </c:pt>
                <c:pt idx="9">
                  <c:v>0.34177330202865702</c:v>
                </c:pt>
                <c:pt idx="10">
                  <c:v>0.23882000168449916</c:v>
                </c:pt>
                <c:pt idx="11">
                  <c:v>0.13852014243074293</c:v>
                </c:pt>
                <c:pt idx="12">
                  <c:v>6.8329969593104792E-2</c:v>
                </c:pt>
                <c:pt idx="13">
                  <c:v>2.9263550912716776E-2</c:v>
                </c:pt>
                <c:pt idx="14">
                  <c:v>1.1074379087941755E-2</c:v>
                </c:pt>
                <c:pt idx="15">
                  <c:v>3.7598389688949102E-3</c:v>
                </c:pt>
                <c:pt idx="16">
                  <c:v>1.1602695242521599E-3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DFF-7843-AC5B-C573471D56F3}"/>
            </c:ext>
          </c:extLst>
        </c:ser>
        <c:ser>
          <c:idx val="10"/>
          <c:order val="10"/>
          <c:tx>
            <c:strRef>
              <c:f>CallGkTable!$AR$66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CallGkTable!$AG$67:$AG$83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CallGkTable!$AR$67:$AR$83</c:f>
              <c:numCache>
                <c:formatCode>0.0000</c:formatCode>
                <c:ptCount val="17"/>
                <c:pt idx="0">
                  <c:v>1.0457482945948283E-3</c:v>
                </c:pt>
                <c:pt idx="1">
                  <c:v>6.612314700451225E-3</c:v>
                </c:pt>
                <c:pt idx="2">
                  <c:v>2.7407108585812273E-2</c:v>
                </c:pt>
                <c:pt idx="3">
                  <c:v>8.0455722498671681E-2</c:v>
                </c:pt>
                <c:pt idx="4">
                  <c:v>0.17761814611091617</c:v>
                </c:pt>
                <c:pt idx="5">
                  <c:v>0.30915406339357615</c:v>
                </c:pt>
                <c:pt idx="6">
                  <c:v>0.44056131835135992</c:v>
                </c:pt>
                <c:pt idx="7">
                  <c:v>0.5299390140117628</c:v>
                </c:pt>
                <c:pt idx="8">
                  <c:v>0.55163706332541196</c:v>
                </c:pt>
                <c:pt idx="9">
                  <c:v>0.5072394859703554</c:v>
                </c:pt>
                <c:pt idx="10">
                  <c:v>0.41911044907526823</c:v>
                </c:pt>
                <c:pt idx="11">
                  <c:v>0.31566273567519071</c:v>
                </c:pt>
                <c:pt idx="12">
                  <c:v>0.21935705841356859</c:v>
                </c:pt>
                <c:pt idx="13">
                  <c:v>0.14209451688873281</c:v>
                </c:pt>
                <c:pt idx="14">
                  <c:v>8.6559585117731042E-2</c:v>
                </c:pt>
                <c:pt idx="15">
                  <c:v>4.9962307922047977E-2</c:v>
                </c:pt>
                <c:pt idx="16">
                  <c:v>2.7503549451983311E-2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DFF-7843-AC5B-C573471D56F3}"/>
            </c:ext>
          </c:extLst>
        </c:ser>
        <c:ser>
          <c:idx val="11"/>
          <c:order val="11"/>
          <c:tx>
            <c:strRef>
              <c:f>CallGkTable!$AS$66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CallGkTable!$AG$67:$AG$83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CallGkTable!$AS$67:$AS$83</c:f>
              <c:numCache>
                <c:formatCode>0.0000</c:formatCode>
                <c:ptCount val="17"/>
                <c:pt idx="0">
                  <c:v>1.114218925364715E-2</c:v>
                </c:pt>
                <c:pt idx="1">
                  <c:v>3.7594797189649545E-2</c:v>
                </c:pt>
                <c:pt idx="2">
                  <c:v>9.5815720461128837E-2</c:v>
                </c:pt>
                <c:pt idx="3">
                  <c:v>0.19419529853530498</c:v>
                </c:pt>
                <c:pt idx="4">
                  <c:v>0.3257273204061763</c:v>
                </c:pt>
                <c:pt idx="5">
                  <c:v>0.46657820462206057</c:v>
                </c:pt>
                <c:pt idx="6">
                  <c:v>0.58525004130384151</c:v>
                </c:pt>
                <c:pt idx="7">
                  <c:v>0.65600571654605955</c:v>
                </c:pt>
                <c:pt idx="8">
                  <c:v>0.66805659306916709</c:v>
                </c:pt>
                <c:pt idx="9">
                  <c:v>0.62659671715556564</c:v>
                </c:pt>
                <c:pt idx="10">
                  <c:v>0.54747527123167761</c:v>
                </c:pt>
                <c:pt idx="11">
                  <c:v>0.44985946919602909</c:v>
                </c:pt>
                <c:pt idx="12">
                  <c:v>0.35044120413266605</c:v>
                </c:pt>
                <c:pt idx="13">
                  <c:v>0.26058185632494107</c:v>
                </c:pt>
                <c:pt idx="14">
                  <c:v>0.18603608061799032</c:v>
                </c:pt>
                <c:pt idx="15">
                  <c:v>0.12815935968047903</c:v>
                </c:pt>
                <c:pt idx="16">
                  <c:v>8.5562234911034263E-2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DFF-7843-AC5B-C573471D56F3}"/>
            </c:ext>
          </c:extLst>
        </c:ser>
        <c:ser>
          <c:idx val="12"/>
          <c:order val="12"/>
          <c:tx>
            <c:strRef>
              <c:f>CallGkTable!$AT$66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CallGkTable!$AG$67:$AG$83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CallGkTable!$AT$67:$AT$83</c:f>
              <c:numCache>
                <c:formatCode>0.0000</c:formatCode>
                <c:ptCount val="17"/>
                <c:pt idx="0">
                  <c:v>3.7735130894815956E-2</c:v>
                </c:pt>
                <c:pt idx="1">
                  <c:v>9.3007615269544944E-2</c:v>
                </c:pt>
                <c:pt idx="2">
                  <c:v>0.18587765767930997</c:v>
                </c:pt>
                <c:pt idx="3">
                  <c:v>0.31302804195460354</c:v>
                </c:pt>
                <c:pt idx="4">
                  <c:v>0.45765821306048549</c:v>
                </c:pt>
                <c:pt idx="5">
                  <c:v>0.59470671051964619</c:v>
                </c:pt>
                <c:pt idx="6">
                  <c:v>0.69986237314498323</c:v>
                </c:pt>
                <c:pt idx="7">
                  <c:v>0.75727241342456975</c:v>
                </c:pt>
                <c:pt idx="8">
                  <c:v>0.76277563092104828</c:v>
                </c:pt>
                <c:pt idx="9">
                  <c:v>0.72256894624086909</c:v>
                </c:pt>
                <c:pt idx="10">
                  <c:v>0.64921143972907114</c:v>
                </c:pt>
                <c:pt idx="11">
                  <c:v>0.55719510030463626</c:v>
                </c:pt>
                <c:pt idx="12">
                  <c:v>0.45956885215668847</c:v>
                </c:pt>
                <c:pt idx="13">
                  <c:v>0.36612657044838831</c:v>
                </c:pt>
                <c:pt idx="14">
                  <c:v>0.28297093897443343</c:v>
                </c:pt>
                <c:pt idx="15">
                  <c:v>0.21296483325512208</c:v>
                </c:pt>
                <c:pt idx="16">
                  <c:v>0.15657861761389583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DFF-7843-AC5B-C573471D56F3}"/>
            </c:ext>
          </c:extLst>
        </c:ser>
        <c:ser>
          <c:idx val="13"/>
          <c:order val="13"/>
          <c:tx>
            <c:strRef>
              <c:f>CallGkTable!$AU$66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CallGkTable!$AG$67:$AG$83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CallGkTable!$AU$67:$AU$83</c:f>
              <c:numCache>
                <c:formatCode>0.0000</c:formatCode>
                <c:ptCount val="17"/>
                <c:pt idx="0">
                  <c:v>8.0099557916829336E-2</c:v>
                </c:pt>
                <c:pt idx="1">
                  <c:v>0.16352043251983772</c:v>
                </c:pt>
                <c:pt idx="2">
                  <c:v>0.28243629412307231</c:v>
                </c:pt>
                <c:pt idx="3">
                  <c:v>0.42560725743199951</c:v>
                </c:pt>
                <c:pt idx="4">
                  <c:v>0.57302367456033554</c:v>
                </c:pt>
                <c:pt idx="5">
                  <c:v>0.70234247577560904</c:v>
                </c:pt>
                <c:pt idx="6">
                  <c:v>0.7954894433465316</c:v>
                </c:pt>
                <c:pt idx="7">
                  <c:v>0.84270952755154971</c:v>
                </c:pt>
                <c:pt idx="8">
                  <c:v>0.84326874401380636</c:v>
                </c:pt>
                <c:pt idx="9">
                  <c:v>0.8035872917870398</c:v>
                </c:pt>
                <c:pt idx="10">
                  <c:v>0.73420648836426439</c:v>
                </c:pt>
                <c:pt idx="11">
                  <c:v>0.64682173138278298</c:v>
                </c:pt>
                <c:pt idx="12">
                  <c:v>0.55209129543356328</c:v>
                </c:pt>
                <c:pt idx="13">
                  <c:v>0.45841893964826835</c:v>
                </c:pt>
                <c:pt idx="14">
                  <c:v>0.37157602890379687</c:v>
                </c:pt>
                <c:pt idx="15">
                  <c:v>0.29489098382107909</c:v>
                </c:pt>
                <c:pt idx="16">
                  <c:v>0.22973211747964487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DFF-7843-AC5B-C573471D56F3}"/>
            </c:ext>
          </c:extLst>
        </c:ser>
        <c:bandFmts>
          <c:bandFmt>
            <c:idx val="0"/>
            <c:spPr>
              <a:solidFill>
                <a:schemeClr val="accent1">
                  <a:shade val="42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5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68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80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shade val="9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94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81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69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56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18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5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92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0"/>
                </a:schemeClr>
              </a:solidFill>
              <a:ln/>
              <a:effectLst/>
              <a:sp3d/>
            </c:spPr>
          </c:bandFmt>
        </c:bandFmts>
        <c:axId val="1660045952"/>
        <c:axId val="1666651392"/>
        <c:axId val="1649284096"/>
      </c:surface3DChart>
      <c:catAx>
        <c:axId val="1660045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651392"/>
        <c:crosses val="autoZero"/>
        <c:auto val="1"/>
        <c:lblAlgn val="ctr"/>
        <c:lblOffset val="100"/>
        <c:noMultiLvlLbl val="0"/>
      </c:catAx>
      <c:valAx>
        <c:axId val="1666651392"/>
        <c:scaling>
          <c:orientation val="minMax"/>
          <c:max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0045952"/>
        <c:crosses val="autoZero"/>
        <c:crossBetween val="midCat"/>
      </c:valAx>
      <c:serAx>
        <c:axId val="16492840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65139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</a:t>
            </a:r>
            <a:r>
              <a:rPr lang="en-US" baseline="0"/>
              <a:t> - 10%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CallGkTable!$AH$86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CallGkTable!$AG$87:$AG$103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CallGkTable!$AH$87:$AH$103</c:f>
              <c:numCache>
                <c:formatCode>0.0000</c:formatCode>
                <c:ptCount val="17"/>
                <c:pt idx="0">
                  <c:v>6.8997547428960883E-60</c:v>
                </c:pt>
                <c:pt idx="1">
                  <c:v>1.8240256915210586E-43</c:v>
                </c:pt>
                <c:pt idx="2">
                  <c:v>9.9546668867393023E-31</c:v>
                </c:pt>
                <c:pt idx="3">
                  <c:v>5.3493516241294038E-21</c:v>
                </c:pt>
                <c:pt idx="4">
                  <c:v>9.5606229748062584E-14</c:v>
                </c:pt>
                <c:pt idx="5">
                  <c:v>1.498171510428129E-8</c:v>
                </c:pt>
                <c:pt idx="6">
                  <c:v>4.5615435801455798E-5</c:v>
                </c:pt>
                <c:pt idx="7">
                  <c:v>5.4058155808872667E-3</c:v>
                </c:pt>
                <c:pt idx="8">
                  <c:v>5.0580151398953388E-2</c:v>
                </c:pt>
                <c:pt idx="9">
                  <c:v>9.3952533892679782E-2</c:v>
                </c:pt>
                <c:pt idx="10">
                  <c:v>9.97778079035989E-2</c:v>
                </c:pt>
                <c:pt idx="11">
                  <c:v>9.9899591088745562E-2</c:v>
                </c:pt>
                <c:pt idx="12">
                  <c:v>9.9900049613135686E-2</c:v>
                </c:pt>
                <c:pt idx="13">
                  <c:v>9.9900049983261352E-2</c:v>
                </c:pt>
                <c:pt idx="14">
                  <c:v>9.9900049983337513E-2</c:v>
                </c:pt>
                <c:pt idx="15">
                  <c:v>9.9900049983337513E-2</c:v>
                </c:pt>
                <c:pt idx="16">
                  <c:v>9.9900049983337513E-2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95-7945-B572-4E66B0205928}"/>
            </c:ext>
          </c:extLst>
        </c:ser>
        <c:ser>
          <c:idx val="1"/>
          <c:order val="1"/>
          <c:tx>
            <c:strRef>
              <c:f>CallGkTable!$AI$86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CallGkTable!$AG$87:$AG$103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CallGkTable!$AI$87:$AI$103</c:f>
              <c:numCache>
                <c:formatCode>0.0000</c:formatCode>
                <c:ptCount val="17"/>
                <c:pt idx="0">
                  <c:v>4.170560038365355E-31</c:v>
                </c:pt>
                <c:pt idx="1">
                  <c:v>7.2236755311601065E-23</c:v>
                </c:pt>
                <c:pt idx="2">
                  <c:v>1.814888191633914E-16</c:v>
                </c:pt>
                <c:pt idx="3">
                  <c:v>1.4484262281308253E-11</c:v>
                </c:pt>
                <c:pt idx="4">
                  <c:v>6.7762571900260923E-8</c:v>
                </c:pt>
                <c:pt idx="5">
                  <c:v>3.0362011070892116E-5</c:v>
                </c:pt>
                <c:pt idx="6">
                  <c:v>1.9578943327318746E-3</c:v>
                </c:pt>
                <c:pt idx="7">
                  <c:v>2.6024085650062805E-2</c:v>
                </c:pt>
                <c:pt idx="8">
                  <c:v>0.10158061093169937</c:v>
                </c:pt>
                <c:pt idx="9">
                  <c:v>0.17309729794666576</c:v>
                </c:pt>
                <c:pt idx="10">
                  <c:v>0.19647918755774996</c:v>
                </c:pt>
                <c:pt idx="11">
                  <c:v>0.199436074035796</c:v>
                </c:pt>
                <c:pt idx="12">
                  <c:v>0.1995962621140612</c:v>
                </c:pt>
                <c:pt idx="13">
                  <c:v>0.19960034597449694</c:v>
                </c:pt>
                <c:pt idx="14">
                  <c:v>0.19960039934571278</c:v>
                </c:pt>
                <c:pt idx="15">
                  <c:v>0.19960039973180682</c:v>
                </c:pt>
                <c:pt idx="16">
                  <c:v>0.19960039973346214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95-7945-B572-4E66B0205928}"/>
            </c:ext>
          </c:extLst>
        </c:ser>
        <c:ser>
          <c:idx val="2"/>
          <c:order val="2"/>
          <c:tx>
            <c:strRef>
              <c:f>CallGkTable!$AJ$86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CallGkTable!$AG$87:$AG$103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CallGkTable!$AJ$87:$AJ$103</c:f>
              <c:numCache>
                <c:formatCode>0.0000</c:formatCode>
                <c:ptCount val="17"/>
                <c:pt idx="0">
                  <c:v>2.1207973599216589E-21</c:v>
                </c:pt>
                <c:pt idx="1">
                  <c:v>6.8680684372739577E-16</c:v>
                </c:pt>
                <c:pt idx="2">
                  <c:v>1.3307124507183836E-11</c:v>
                </c:pt>
                <c:pt idx="3">
                  <c:v>2.6052631871411217E-8</c:v>
                </c:pt>
                <c:pt idx="4">
                  <c:v>7.77039222747902E-6</c:v>
                </c:pt>
                <c:pt idx="5">
                  <c:v>4.9117640802576266E-4</c:v>
                </c:pt>
                <c:pt idx="6">
                  <c:v>8.6635170446754065E-3</c:v>
                </c:pt>
                <c:pt idx="7">
                  <c:v>5.433159792751531E-2</c:v>
                </c:pt>
                <c:pt idx="8">
                  <c:v>0.15281809298363572</c:v>
                </c:pt>
                <c:pt idx="9">
                  <c:v>0.24548285319545804</c:v>
                </c:pt>
                <c:pt idx="10">
                  <c:v>0.28756443180563218</c:v>
                </c:pt>
                <c:pt idx="11">
                  <c:v>0.29761983540617443</c:v>
                </c:pt>
                <c:pt idx="12">
                  <c:v>0.29898313191089138</c:v>
                </c:pt>
                <c:pt idx="13">
                  <c:v>0.29909520753459068</c:v>
                </c:pt>
                <c:pt idx="14">
                  <c:v>0.29910113123062104</c:v>
                </c:pt>
                <c:pt idx="15">
                  <c:v>0.29910134317755122</c:v>
                </c:pt>
                <c:pt idx="16">
                  <c:v>0.29910134854920661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95-7945-B572-4E66B0205928}"/>
            </c:ext>
          </c:extLst>
        </c:ser>
        <c:ser>
          <c:idx val="3"/>
          <c:order val="3"/>
          <c:tx>
            <c:strRef>
              <c:f>CallGkTable!$AK$86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CallGkTable!$AG$87:$AG$103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CallGkTable!$AK$87:$AK$103</c:f>
              <c:numCache>
                <c:formatCode>0.0000</c:formatCode>
                <c:ptCount val="17"/>
                <c:pt idx="0">
                  <c:v>1.714665717394172E-16</c:v>
                </c:pt>
                <c:pt idx="1">
                  <c:v>2.3996762916801387E-12</c:v>
                </c:pt>
                <c:pt idx="2">
                  <c:v>4.0794980511215176E-9</c:v>
                </c:pt>
                <c:pt idx="3">
                  <c:v>1.2492523960331801E-6</c:v>
                </c:pt>
                <c:pt idx="4">
                  <c:v>9.3874067121779193E-5</c:v>
                </c:pt>
                <c:pt idx="5">
                  <c:v>2.2206863454671422E-3</c:v>
                </c:pt>
                <c:pt idx="6">
                  <c:v>2.0358699772475956E-2</c:v>
                </c:pt>
                <c:pt idx="7">
                  <c:v>8.6801463209930194E-2</c:v>
                </c:pt>
                <c:pt idx="8">
                  <c:v>0.20422688060793109</c:v>
                </c:pt>
                <c:pt idx="9">
                  <c:v>0.3143524086596941</c:v>
                </c:pt>
                <c:pt idx="10">
                  <c:v>0.3737221634515735</c:v>
                </c:pt>
                <c:pt idx="11">
                  <c:v>0.39342380536091398</c:v>
                </c:pt>
                <c:pt idx="12">
                  <c:v>0.39769324894937869</c:v>
                </c:pt>
                <c:pt idx="13">
                  <c:v>0.39832927362661069</c:v>
                </c:pt>
                <c:pt idx="14">
                  <c:v>0.39839738796252944</c:v>
                </c:pt>
                <c:pt idx="15">
                  <c:v>0.39840284075736399</c:v>
                </c:pt>
                <c:pt idx="16">
                  <c:v>0.39840317838234107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95-7945-B572-4E66B0205928}"/>
            </c:ext>
          </c:extLst>
        </c:ser>
        <c:ser>
          <c:idx val="4"/>
          <c:order val="4"/>
          <c:tx>
            <c:strRef>
              <c:f>CallGkTable!$AL$86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CallGkTable!$AG$87:$AG$103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CallGkTable!$AL$87:$AL$103</c:f>
              <c:numCache>
                <c:formatCode>0.0000</c:formatCode>
                <c:ptCount val="17"/>
                <c:pt idx="0">
                  <c:v>1.6258128709111356E-13</c:v>
                </c:pt>
                <c:pt idx="1">
                  <c:v>3.4533346751725238E-10</c:v>
                </c:pt>
                <c:pt idx="2">
                  <c:v>1.3625021969122366E-7</c:v>
                </c:pt>
                <c:pt idx="3">
                  <c:v>1.3693783854780401E-5</c:v>
                </c:pt>
                <c:pt idx="4">
                  <c:v>4.4930628022144247E-4</c:v>
                </c:pt>
                <c:pt idx="5">
                  <c:v>5.8793072579454864E-3</c:v>
                </c:pt>
                <c:pt idx="6">
                  <c:v>3.6258596069978888E-2</c:v>
                </c:pt>
                <c:pt idx="7">
                  <c:v>0.12193085930105976</c:v>
                </c:pt>
                <c:pt idx="8">
                  <c:v>0.25576885410967221</c:v>
                </c:pt>
                <c:pt idx="9">
                  <c:v>0.38103111573428783</c:v>
                </c:pt>
                <c:pt idx="10">
                  <c:v>0.45606650497595852</c:v>
                </c:pt>
                <c:pt idx="11">
                  <c:v>0.48650344681152441</c:v>
                </c:pt>
                <c:pt idx="12">
                  <c:v>0.49527868282183346</c:v>
                </c:pt>
                <c:pt idx="13">
                  <c:v>0.49715365396356193</c:v>
                </c:pt>
                <c:pt idx="14">
                  <c:v>0.49746149929550426</c:v>
                </c:pt>
                <c:pt idx="15">
                  <c:v>0.49750157959169578</c:v>
                </c:pt>
                <c:pt idx="16">
                  <c:v>0.49750583249072633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95-7945-B572-4E66B0205928}"/>
            </c:ext>
          </c:extLst>
        </c:ser>
        <c:ser>
          <c:idx val="5"/>
          <c:order val="5"/>
          <c:tx>
            <c:strRef>
              <c:f>CallGkTable!$AM$86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CallGkTable!$AG$87:$AG$103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CallGkTable!$AM$87:$AM$103</c:f>
              <c:numCache>
                <c:formatCode>0.0000</c:formatCode>
                <c:ptCount val="17"/>
                <c:pt idx="0">
                  <c:v>1.6481813086334282E-11</c:v>
                </c:pt>
                <c:pt idx="1">
                  <c:v>9.9575989539410715E-9</c:v>
                </c:pt>
                <c:pt idx="2">
                  <c:v>1.4829729609667341E-6</c:v>
                </c:pt>
                <c:pt idx="3">
                  <c:v>7.086417706053456E-5</c:v>
                </c:pt>
                <c:pt idx="4">
                  <c:v>1.3367272087027218E-3</c:v>
                </c:pt>
                <c:pt idx="5">
                  <c:v>1.1766528591399657E-2</c:v>
                </c:pt>
                <c:pt idx="6">
                  <c:v>5.5569135148285993E-2</c:v>
                </c:pt>
                <c:pt idx="7">
                  <c:v>0.15893745368596149</c:v>
                </c:pt>
                <c:pt idx="8">
                  <c:v>0.3074182098541432</c:v>
                </c:pt>
                <c:pt idx="9">
                  <c:v>0.44619116273382176</c:v>
                </c:pt>
                <c:pt idx="10">
                  <c:v>0.53546438342331992</c:v>
                </c:pt>
                <c:pt idx="11">
                  <c:v>0.57693143792728852</c:v>
                </c:pt>
                <c:pt idx="12">
                  <c:v>0.59142047882605853</c:v>
                </c:pt>
                <c:pt idx="13">
                  <c:v>0.59536529236320246</c:v>
                </c:pt>
                <c:pt idx="14">
                  <c:v>0.5962280065616844</c:v>
                </c:pt>
                <c:pt idx="15">
                  <c:v>0.59638360220830655</c:v>
                </c:pt>
                <c:pt idx="16">
                  <c:v>0.59640728082054495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395-7945-B572-4E66B0205928}"/>
            </c:ext>
          </c:extLst>
        </c:ser>
        <c:ser>
          <c:idx val="6"/>
          <c:order val="6"/>
          <c:tx>
            <c:strRef>
              <c:f>CallGkTable!$AN$86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CallGkTable!$AG$87:$AG$103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CallGkTable!$AN$87:$AN$103</c:f>
              <c:numCache>
                <c:formatCode>0.0000</c:formatCode>
                <c:ptCount val="17"/>
                <c:pt idx="0">
                  <c:v>4.6233752509654259E-10</c:v>
                </c:pt>
                <c:pt idx="1">
                  <c:v>1.1375608625566585E-7</c:v>
                </c:pt>
                <c:pt idx="2">
                  <c:v>8.4440564273303519E-6</c:v>
                </c:pt>
                <c:pt idx="3">
                  <c:v>2.3711237792182929E-4</c:v>
                </c:pt>
                <c:pt idx="4">
                  <c:v>3.0094142404680359E-3</c:v>
                </c:pt>
                <c:pt idx="5">
                  <c:v>1.9932210842367938E-2</c:v>
                </c:pt>
                <c:pt idx="6">
                  <c:v>7.765394982583057E-2</c:v>
                </c:pt>
                <c:pt idx="7">
                  <c:v>0.19735680124144062</c:v>
                </c:pt>
                <c:pt idx="8">
                  <c:v>0.35915594909590864</c:v>
                </c:pt>
                <c:pt idx="9">
                  <c:v>0.51022305279995173</c:v>
                </c:pt>
                <c:pt idx="10">
                  <c:v>0.61253729163278903</c:v>
                </c:pt>
                <c:pt idx="11">
                  <c:v>0.66493513401483273</c:v>
                </c:pt>
                <c:pt idx="12">
                  <c:v>0.68595842929360384</c:v>
                </c:pt>
                <c:pt idx="13">
                  <c:v>0.69277091810376745</c:v>
                </c:pt>
                <c:pt idx="14">
                  <c:v>0.69460114005190698</c:v>
                </c:pt>
                <c:pt idx="15">
                  <c:v>0.69501813372831633</c:v>
                </c:pt>
                <c:pt idx="16">
                  <c:v>0.69510030433566883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95-7945-B572-4E66B0205928}"/>
            </c:ext>
          </c:extLst>
        </c:ser>
        <c:ser>
          <c:idx val="7"/>
          <c:order val="7"/>
          <c:tx>
            <c:strRef>
              <c:f>CallGkTable!$AO$86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CallGkTable!$AG$87:$AG$103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CallGkTable!$AO$87:$AO$103</c:f>
              <c:numCache>
                <c:formatCode>0.0000</c:formatCode>
                <c:ptCount val="17"/>
                <c:pt idx="0">
                  <c:v>5.7838836856354669E-9</c:v>
                </c:pt>
                <c:pt idx="1">
                  <c:v>7.2532656593866103E-7</c:v>
                </c:pt>
                <c:pt idx="2">
                  <c:v>3.1927561083099139E-5</c:v>
                </c:pt>
                <c:pt idx="3">
                  <c:v>6.0144636736595401E-4</c:v>
                </c:pt>
                <c:pt idx="4">
                  <c:v>5.6671524536186409E-3</c:v>
                </c:pt>
                <c:pt idx="5">
                  <c:v>3.0294875417979785E-2</c:v>
                </c:pt>
                <c:pt idx="6">
                  <c:v>0.10202507574836325</c:v>
                </c:pt>
                <c:pt idx="7">
                  <c:v>0.2368874377438443</c:v>
                </c:pt>
                <c:pt idx="8">
                  <c:v>0.41096731210161042</c:v>
                </c:pt>
                <c:pt idx="9">
                  <c:v>0.57337518442883206</c:v>
                </c:pt>
                <c:pt idx="10">
                  <c:v>0.68773188516542405</c:v>
                </c:pt>
                <c:pt idx="11">
                  <c:v>0.75077492898362252</c:v>
                </c:pt>
                <c:pt idx="12">
                  <c:v>0.77884877360331062</c:v>
                </c:pt>
                <c:pt idx="13">
                  <c:v>0.78922100210084156</c:v>
                </c:pt>
                <c:pt idx="14">
                  <c:v>0.79247439679380349</c:v>
                </c:pt>
                <c:pt idx="15">
                  <c:v>0.79335812906789938</c:v>
                </c:pt>
                <c:pt idx="16">
                  <c:v>0.79356962372848672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395-7945-B572-4E66B0205928}"/>
            </c:ext>
          </c:extLst>
        </c:ser>
        <c:ser>
          <c:idx val="8"/>
          <c:order val="8"/>
          <c:tx>
            <c:strRef>
              <c:f>CallGkTable!$AP$86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CallGkTable!$AG$87:$AG$103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CallGkTable!$AP$87:$AP$103</c:f>
              <c:numCache>
                <c:formatCode>0.0000</c:formatCode>
                <c:ptCount val="17"/>
                <c:pt idx="0">
                  <c:v>4.2109995631038738E-8</c:v>
                </c:pt>
                <c:pt idx="1">
                  <c:v>3.1257694746679374E-6</c:v>
                </c:pt>
                <c:pt idx="2">
                  <c:v>9.1613031212593089E-5</c:v>
                </c:pt>
                <c:pt idx="3">
                  <c:v>1.2646643565367435E-3</c:v>
                </c:pt>
                <c:pt idx="4">
                  <c:v>9.4469788357844919E-3</c:v>
                </c:pt>
                <c:pt idx="5">
                  <c:v>4.2714832976975065E-2</c:v>
                </c:pt>
                <c:pt idx="6">
                  <c:v>0.1283085901337756</c:v>
                </c:pt>
                <c:pt idx="7">
                  <c:v>0.2773207335829711</c:v>
                </c:pt>
                <c:pt idx="8">
                  <c:v>0.46284039504608737</c:v>
                </c:pt>
                <c:pt idx="9">
                  <c:v>0.63581611101087543</c:v>
                </c:pt>
                <c:pt idx="10">
                  <c:v>0.76137581768653773</c:v>
                </c:pt>
                <c:pt idx="11">
                  <c:v>0.83469784716418216</c:v>
                </c:pt>
                <c:pt idx="12">
                  <c:v>0.87011875244291348</c:v>
                </c:pt>
                <c:pt idx="13">
                  <c:v>0.88461614166740543</c:v>
                </c:pt>
                <c:pt idx="14">
                  <c:v>0.88974743056024752</c:v>
                </c:pt>
                <c:pt idx="15">
                  <c:v>0.89134605998743821</c:v>
                </c:pt>
                <c:pt idx="16">
                  <c:v>0.89179120674511392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395-7945-B572-4E66B0205928}"/>
            </c:ext>
          </c:extLst>
        </c:ser>
        <c:ser>
          <c:idx val="9"/>
          <c:order val="9"/>
          <c:tx>
            <c:strRef>
              <c:f>CallGkTable!$AQ$86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CallGkTable!$AG$87:$AG$103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CallGkTable!$AQ$87:$AQ$103</c:f>
              <c:numCache>
                <c:formatCode>0.0000</c:formatCode>
                <c:ptCount val="17"/>
                <c:pt idx="0">
                  <c:v>2.0944883154902556E-7</c:v>
                </c:pt>
                <c:pt idx="1">
                  <c:v>1.0218383303882987E-5</c:v>
                </c:pt>
                <c:pt idx="2">
                  <c:v>2.1625953663559439E-4</c:v>
                </c:pt>
                <c:pt idx="3">
                  <c:v>2.3272427909089093E-3</c:v>
                </c:pt>
                <c:pt idx="4">
                  <c:v>1.4430579922614031E-2</c:v>
                </c:pt>
                <c:pt idx="5">
                  <c:v>5.7033185664748597E-2</c:v>
                </c:pt>
                <c:pt idx="6">
                  <c:v>0.15621450219614411</c:v>
                </c:pt>
                <c:pt idx="7">
                  <c:v>0.31850518608360617</c:v>
                </c:pt>
                <c:pt idx="8">
                  <c:v>0.51476532828002164</c:v>
                </c:pt>
                <c:pt idx="9">
                  <c:v>0.69766586400827935</c:v>
                </c:pt>
                <c:pt idx="10">
                  <c:v>0.83371514981554551</c:v>
                </c:pt>
                <c:pt idx="11">
                  <c:v>0.91692301259484632</c:v>
                </c:pt>
                <c:pt idx="12">
                  <c:v>0.959834194269642</c:v>
                </c:pt>
                <c:pt idx="13">
                  <c:v>0.97890054170176688</c:v>
                </c:pt>
                <c:pt idx="14">
                  <c:v>0.98633554504316645</c:v>
                </c:pt>
                <c:pt idx="15">
                  <c:v>0.9889209507546447</c:v>
                </c:pt>
                <c:pt idx="16">
                  <c:v>0.98973377492216585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395-7945-B572-4E66B0205928}"/>
            </c:ext>
          </c:extLst>
        </c:ser>
        <c:ser>
          <c:idx val="10"/>
          <c:order val="10"/>
          <c:tx>
            <c:strRef>
              <c:f>CallGkTable!$AR$86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CallGkTable!$AG$87:$AG$103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CallGkTable!$AR$87:$AR$103</c:f>
              <c:numCache>
                <c:formatCode>0.0000</c:formatCode>
                <c:ptCount val="17"/>
                <c:pt idx="0">
                  <c:v>3.9017006065321998E-4</c:v>
                </c:pt>
                <c:pt idx="1">
                  <c:v>2.8682719393543542E-3</c:v>
                </c:pt>
                <c:pt idx="2">
                  <c:v>1.3949867109230144E-2</c:v>
                </c:pt>
                <c:pt idx="3">
                  <c:v>4.8605196983075763E-2</c:v>
                </c:pt>
                <c:pt idx="4">
                  <c:v>0.12916231918414769</c:v>
                </c:pt>
                <c:pt idx="5">
                  <c:v>0.27526263359416991</c:v>
                </c:pt>
                <c:pt idx="6">
                  <c:v>0.49021713340295131</c:v>
                </c:pt>
                <c:pt idx="7">
                  <c:v>0.7550431564617397</c:v>
                </c:pt>
                <c:pt idx="8">
                  <c:v>1.0354544111550688</c:v>
                </c:pt>
                <c:pt idx="9">
                  <c:v>1.296192395779916</c:v>
                </c:pt>
                <c:pt idx="10">
                  <c:v>1.5129562033151718</c:v>
                </c:pt>
                <c:pt idx="11">
                  <c:v>1.6765216924491808</c:v>
                </c:pt>
                <c:pt idx="12">
                  <c:v>1.7899842881670318</c:v>
                </c:pt>
                <c:pt idx="13">
                  <c:v>1.8631273632495482</c:v>
                </c:pt>
                <c:pt idx="14">
                  <c:v>1.9073528277688423</c:v>
                </c:pt>
                <c:pt idx="15">
                  <c:v>1.9326342865983208</c:v>
                </c:pt>
                <c:pt idx="16">
                  <c:v>1.9463918255910062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395-7945-B572-4E66B0205928}"/>
            </c:ext>
          </c:extLst>
        </c:ser>
        <c:ser>
          <c:idx val="11"/>
          <c:order val="11"/>
          <c:tx>
            <c:strRef>
              <c:f>CallGkTable!$AS$86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CallGkTable!$AG$87:$AG$103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CallGkTable!$AS$87:$AS$103</c:f>
              <c:numCache>
                <c:formatCode>0.0000</c:formatCode>
                <c:ptCount val="17"/>
                <c:pt idx="0">
                  <c:v>6.1154603756096351E-3</c:v>
                </c:pt>
                <c:pt idx="1">
                  <c:v>2.3831658067032864E-2</c:v>
                </c:pt>
                <c:pt idx="2">
                  <c:v>7.0649659059548314E-2</c:v>
                </c:pt>
                <c:pt idx="3">
                  <c:v>0.16800016425945097</c:v>
                </c:pt>
                <c:pt idx="4">
                  <c:v>0.33403665227840923</c:v>
                </c:pt>
                <c:pt idx="5">
                  <c:v>0.57408661084024171</c:v>
                </c:pt>
                <c:pt idx="6">
                  <c:v>0.87613987301824237</c:v>
                </c:pt>
                <c:pt idx="7">
                  <c:v>1.2140668920003028</c:v>
                </c:pt>
                <c:pt idx="8">
                  <c:v>1.5561276866903311</c:v>
                </c:pt>
                <c:pt idx="9">
                  <c:v>1.8739472983683121</c:v>
                </c:pt>
                <c:pt idx="10">
                  <c:v>2.1482672152563937</c:v>
                </c:pt>
                <c:pt idx="11">
                  <c:v>2.3704399931886559</c:v>
                </c:pt>
                <c:pt idx="12">
                  <c:v>2.5407168875355404</c:v>
                </c:pt>
                <c:pt idx="13">
                  <c:v>2.6651023114110517</c:v>
                </c:pt>
                <c:pt idx="14">
                  <c:v>2.7522371935526651</c:v>
                </c:pt>
                <c:pt idx="15">
                  <c:v>2.811081525414362</c:v>
                </c:pt>
                <c:pt idx="16">
                  <c:v>2.8495648996149043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395-7945-B572-4E66B0205928}"/>
            </c:ext>
          </c:extLst>
        </c:ser>
        <c:ser>
          <c:idx val="12"/>
          <c:order val="12"/>
          <c:tx>
            <c:strRef>
              <c:f>CallGkTable!$AT$86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CallGkTable!$AG$87:$AG$103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CallGkTable!$AT$87:$AT$103</c:f>
              <c:numCache>
                <c:formatCode>0.0000</c:formatCode>
                <c:ptCount val="17"/>
                <c:pt idx="0">
                  <c:v>2.7137815674117115E-2</c:v>
                </c:pt>
                <c:pt idx="1">
                  <c:v>7.6832332776932757E-2</c:v>
                </c:pt>
                <c:pt idx="2">
                  <c:v>0.17736667658110342</c:v>
                </c:pt>
                <c:pt idx="3">
                  <c:v>0.34734979174896125</c:v>
                </c:pt>
                <c:pt idx="4">
                  <c:v>0.5952355943117198</c:v>
                </c:pt>
                <c:pt idx="5">
                  <c:v>0.91485721832214884</c:v>
                </c:pt>
                <c:pt idx="6">
                  <c:v>1.2865415020805309</c:v>
                </c:pt>
                <c:pt idx="7">
                  <c:v>1.6826600318585683</c:v>
                </c:pt>
                <c:pt idx="8">
                  <c:v>2.0746435400648329</c:v>
                </c:pt>
                <c:pt idx="9">
                  <c:v>2.4387078999118201</c:v>
                </c:pt>
                <c:pt idx="10">
                  <c:v>2.758920562756904</c:v>
                </c:pt>
                <c:pt idx="11">
                  <c:v>3.0276382235568668</c:v>
                </c:pt>
                <c:pt idx="12">
                  <c:v>3.2441523843363722</c:v>
                </c:pt>
                <c:pt idx="13">
                  <c:v>3.4125464232347826</c:v>
                </c:pt>
                <c:pt idx="14">
                  <c:v>3.5395433389541915</c:v>
                </c:pt>
                <c:pt idx="15">
                  <c:v>3.6327782720310542</c:v>
                </c:pt>
                <c:pt idx="16">
                  <c:v>3.6996343552554141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395-7945-B572-4E66B0205928}"/>
            </c:ext>
          </c:extLst>
        </c:ser>
        <c:ser>
          <c:idx val="13"/>
          <c:order val="13"/>
          <c:tx>
            <c:strRef>
              <c:f>CallGkTable!$AU$86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CallGkTable!$AG$87:$AG$103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CallGkTable!$AU$87:$AU$103</c:f>
              <c:numCache>
                <c:formatCode>0.0000</c:formatCode>
                <c:ptCount val="17"/>
                <c:pt idx="0">
                  <c:v>7.0877394865647203E-2</c:v>
                </c:pt>
                <c:pt idx="1">
                  <c:v>0.16543665197834301</c:v>
                </c:pt>
                <c:pt idx="2">
                  <c:v>0.32816447931472725</c:v>
                </c:pt>
                <c:pt idx="3">
                  <c:v>0.57096303141784466</c:v>
                </c:pt>
                <c:pt idx="4">
                  <c:v>0.89308606477141761</c:v>
                </c:pt>
                <c:pt idx="5">
                  <c:v>1.2807174822131722</c:v>
                </c:pt>
                <c:pt idx="6">
                  <c:v>1.7105684720072716</c:v>
                </c:pt>
                <c:pt idx="7">
                  <c:v>2.1554734091941636</c:v>
                </c:pt>
                <c:pt idx="8">
                  <c:v>2.5897713521361756</c:v>
                </c:pt>
                <c:pt idx="9">
                  <c:v>2.9930428387344614</c:v>
                </c:pt>
                <c:pt idx="10">
                  <c:v>3.3517828422688223</c:v>
                </c:pt>
                <c:pt idx="11">
                  <c:v>3.6593296824907293</c:v>
                </c:pt>
                <c:pt idx="12">
                  <c:v>3.914693905162963</c:v>
                </c:pt>
                <c:pt idx="13">
                  <c:v>4.1209288129593826</c:v>
                </c:pt>
                <c:pt idx="14">
                  <c:v>4.2835141810001804</c:v>
                </c:pt>
                <c:pt idx="15">
                  <c:v>4.4090180057059323</c:v>
                </c:pt>
                <c:pt idx="16">
                  <c:v>4.5041312353967955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395-7945-B572-4E66B0205928}"/>
            </c:ext>
          </c:extLst>
        </c:ser>
        <c:bandFmts>
          <c:bandFmt>
            <c:idx val="0"/>
            <c:spPr>
              <a:solidFill>
                <a:schemeClr val="accent1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</c:bandFmts>
        <c:axId val="1663832448"/>
        <c:axId val="1663833792"/>
        <c:axId val="1662994432"/>
      </c:surface3DChart>
      <c:catAx>
        <c:axId val="1663832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833792"/>
        <c:crosses val="autoZero"/>
        <c:auto val="1"/>
        <c:lblAlgn val="ctr"/>
        <c:lblOffset val="100"/>
        <c:noMultiLvlLbl val="0"/>
      </c:catAx>
      <c:valAx>
        <c:axId val="1663833792"/>
        <c:scaling>
          <c:orientation val="minMax"/>
          <c:max val="4.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832448"/>
        <c:crosses val="autoZero"/>
        <c:crossBetween val="midCat"/>
      </c:valAx>
      <c:serAx>
        <c:axId val="16629944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83379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</a:t>
            </a:r>
            <a:r>
              <a:rPr lang="en-US" baseline="0"/>
              <a:t> - 20%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PutGkTable!$B$6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PutGkTable!$A$7:$A$23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PutGkTable!$B$7:$B$23</c:f>
              <c:numCache>
                <c:formatCode>0.0000</c:formatCode>
                <c:ptCount val="17"/>
                <c:pt idx="0">
                  <c:v>-0.99999999999999956</c:v>
                </c:pt>
                <c:pt idx="1">
                  <c:v>-0.99999999999328104</c:v>
                </c:pt>
                <c:pt idx="2">
                  <c:v>-0.99999998878249752</c:v>
                </c:pt>
                <c:pt idx="3">
                  <c:v>-0.99999662175436721</c:v>
                </c:pt>
                <c:pt idx="4">
                  <c:v>-0.99975001751527426</c:v>
                </c:pt>
                <c:pt idx="5">
                  <c:v>-0.99416909186209745</c:v>
                </c:pt>
                <c:pt idx="6">
                  <c:v>-0.94721845000306515</c:v>
                </c:pt>
                <c:pt idx="7">
                  <c:v>-0.77744241537585546</c:v>
                </c:pt>
                <c:pt idx="8">
                  <c:v>-0.48108360000070371</c:v>
                </c:pt>
                <c:pt idx="9">
                  <c:v>-0.20642903973843518</c:v>
                </c:pt>
                <c:pt idx="10">
                  <c:v>-6.0042081945350878E-2</c:v>
                </c:pt>
                <c:pt idx="11">
                  <c:v>-1.1995775931455177E-2</c:v>
                </c:pt>
                <c:pt idx="12">
                  <c:v>-1.6937680607602701E-3</c:v>
                </c:pt>
                <c:pt idx="13">
                  <c:v>-1.7468373585427521E-4</c:v>
                </c:pt>
                <c:pt idx="14">
                  <c:v>-1.3596859818609808E-5</c:v>
                </c:pt>
                <c:pt idx="15">
                  <c:v>-8.2356076314127336E-7</c:v>
                </c:pt>
                <c:pt idx="16">
                  <c:v>-3.9911703275663513E-8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B7-E748-8B8B-3D9C1EB6FDCD}"/>
            </c:ext>
          </c:extLst>
        </c:ser>
        <c:ser>
          <c:idx val="1"/>
          <c:order val="1"/>
          <c:tx>
            <c:strRef>
              <c:f>PutGkTable!$C$6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PutGkTable!$A$7:$A$23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PutGkTable!$C$7:$C$23</c:f>
              <c:numCache>
                <c:formatCode>0.0000</c:formatCode>
                <c:ptCount val="17"/>
                <c:pt idx="0">
                  <c:v>-0.99999999169868692</c:v>
                </c:pt>
                <c:pt idx="1">
                  <c:v>-0.99999897897324108</c:v>
                </c:pt>
                <c:pt idx="2">
                  <c:v>-0.99995584753698585</c:v>
                </c:pt>
                <c:pt idx="3">
                  <c:v>-0.99918169321756944</c:v>
                </c:pt>
                <c:pt idx="4">
                  <c:v>-0.99240335756181086</c:v>
                </c:pt>
                <c:pt idx="5">
                  <c:v>-0.95993522017554</c:v>
                </c:pt>
                <c:pt idx="6">
                  <c:v>-0.86669093075219805</c:v>
                </c:pt>
                <c:pt idx="7">
                  <c:v>-0.6937101065655854</c:v>
                </c:pt>
                <c:pt idx="8">
                  <c:v>-0.4732581961130774</c:v>
                </c:pt>
                <c:pt idx="9">
                  <c:v>-0.27007947091758511</c:v>
                </c:pt>
                <c:pt idx="10">
                  <c:v>-0.12867385834263267</c:v>
                </c:pt>
                <c:pt idx="11">
                  <c:v>-5.1585835851565065E-2</c:v>
                </c:pt>
                <c:pt idx="12">
                  <c:v>-1.7623946568294802E-2</c:v>
                </c:pt>
                <c:pt idx="13">
                  <c:v>-5.2050226213751216E-3</c:v>
                </c:pt>
                <c:pt idx="14">
                  <c:v>-1.3481100199207452E-3</c:v>
                </c:pt>
                <c:pt idx="15">
                  <c:v>-3.1040784564706492E-4</c:v>
                </c:pt>
                <c:pt idx="16">
                  <c:v>-6.4344002938532263E-5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B7-E748-8B8B-3D9C1EB6FDCD}"/>
            </c:ext>
          </c:extLst>
        </c:ser>
        <c:ser>
          <c:idx val="2"/>
          <c:order val="2"/>
          <c:tx>
            <c:strRef>
              <c:f>PutGkTable!$D$6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PutGkTable!$A$7:$A$23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PutGkTable!$D$7:$D$23</c:f>
              <c:numCache>
                <c:formatCode>0.0000</c:formatCode>
                <c:ptCount val="17"/>
                <c:pt idx="0">
                  <c:v>-0.99999768643466735</c:v>
                </c:pt>
                <c:pt idx="1">
                  <c:v>-0.99994102148184927</c:v>
                </c:pt>
                <c:pt idx="2">
                  <c:v>-0.99924777425081568</c:v>
                </c:pt>
                <c:pt idx="3">
                  <c:v>-0.99452056537245881</c:v>
                </c:pt>
                <c:pt idx="4">
                  <c:v>-0.97469986071626091</c:v>
                </c:pt>
                <c:pt idx="5">
                  <c:v>-0.91945718869685844</c:v>
                </c:pt>
                <c:pt idx="6">
                  <c:v>-0.81047475187222251</c:v>
                </c:pt>
                <c:pt idx="7">
                  <c:v>-0.65028247031978481</c:v>
                </c:pt>
                <c:pt idx="8">
                  <c:v>-0.46726038328732289</c:v>
                </c:pt>
                <c:pt idx="9">
                  <c:v>-0.29890598798456547</c:v>
                </c:pt>
                <c:pt idx="10">
                  <c:v>-0.17049339258313845</c:v>
                </c:pt>
                <c:pt idx="11">
                  <c:v>-8.7231124066456167E-2</c:v>
                </c:pt>
                <c:pt idx="12">
                  <c:v>-4.0360415238651415E-2</c:v>
                </c:pt>
                <c:pt idx="13">
                  <c:v>-1.7038009338831372E-2</c:v>
                </c:pt>
                <c:pt idx="14">
                  <c:v>-6.6207821485191332E-3</c:v>
                </c:pt>
                <c:pt idx="15">
                  <c:v>-2.3882986824037555E-3</c:v>
                </c:pt>
                <c:pt idx="16">
                  <c:v>-8.060304662809159E-4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B7-E748-8B8B-3D9C1EB6FDCD}"/>
            </c:ext>
          </c:extLst>
        </c:ser>
        <c:ser>
          <c:idx val="3"/>
          <c:order val="3"/>
          <c:tx>
            <c:strRef>
              <c:f>PutGkTable!$E$6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PutGkTable!$A$7:$A$23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PutGkTable!$E$7:$E$23</c:f>
              <c:numCache>
                <c:formatCode>0.0000</c:formatCode>
                <c:ptCount val="17"/>
                <c:pt idx="0">
                  <c:v>-0.99995986002457549</c:v>
                </c:pt>
                <c:pt idx="1">
                  <c:v>-0.99953480118587623</c:v>
                </c:pt>
                <c:pt idx="2">
                  <c:v>-0.99678390000441497</c:v>
                </c:pt>
                <c:pt idx="3">
                  <c:v>-0.98535117473071088</c:v>
                </c:pt>
                <c:pt idx="4">
                  <c:v>-0.95246472444071939</c:v>
                </c:pt>
                <c:pt idx="5">
                  <c:v>-0.88296827878765527</c:v>
                </c:pt>
                <c:pt idx="6">
                  <c:v>-0.76976698530142718</c:v>
                </c:pt>
                <c:pt idx="7">
                  <c:v>-0.62196313433435235</c:v>
                </c:pt>
                <c:pt idx="8">
                  <c:v>-0.46220970609333534</c:v>
                </c:pt>
                <c:pt idx="9">
                  <c:v>-0.31540451463442365</c:v>
                </c:pt>
                <c:pt idx="10">
                  <c:v>-0.19811834940327067</c:v>
                </c:pt>
                <c:pt idx="11">
                  <c:v>-0.11511171694608568</c:v>
                </c:pt>
                <c:pt idx="12">
                  <c:v>-6.2238931546006571E-2</c:v>
                </c:pt>
                <c:pt idx="13">
                  <c:v>-3.1515482917612858E-2</c:v>
                </c:pt>
                <c:pt idx="14">
                  <c:v>-1.5039825106780258E-2</c:v>
                </c:pt>
                <c:pt idx="15">
                  <c:v>-6.8048459046240461E-3</c:v>
                </c:pt>
                <c:pt idx="16">
                  <c:v>-2.9353699446743597E-3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B7-E748-8B8B-3D9C1EB6FDCD}"/>
            </c:ext>
          </c:extLst>
        </c:ser>
        <c:ser>
          <c:idx val="4"/>
          <c:order val="4"/>
          <c:tx>
            <c:strRef>
              <c:f>PutGkTable!$F$6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PutGkTable!$A$7:$A$23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PutGkTable!$F$7:$F$23</c:f>
              <c:numCache>
                <c:formatCode>0.0000</c:formatCode>
                <c:ptCount val="17"/>
                <c:pt idx="0">
                  <c:v>-0.99977256658213121</c:v>
                </c:pt>
                <c:pt idx="1">
                  <c:v>-0.99835909338440354</c:v>
                </c:pt>
                <c:pt idx="2">
                  <c:v>-0.99215411365915518</c:v>
                </c:pt>
                <c:pt idx="3">
                  <c:v>-0.9730819773171373</c:v>
                </c:pt>
                <c:pt idx="4">
                  <c:v>-0.9294621704192243</c:v>
                </c:pt>
                <c:pt idx="5">
                  <c:v>-0.8515527963544558</c:v>
                </c:pt>
                <c:pt idx="6">
                  <c:v>-0.73857075243609782</c:v>
                </c:pt>
                <c:pt idx="7">
                  <c:v>-0.60126869861810672</c:v>
                </c:pt>
                <c:pt idx="8">
                  <c:v>-0.45776498668838594</c:v>
                </c:pt>
                <c:pt idx="9">
                  <c:v>-0.32597150372142969</c:v>
                </c:pt>
                <c:pt idx="10">
                  <c:v>-0.21769227036615268</c:v>
                </c:pt>
                <c:pt idx="11">
                  <c:v>-0.1369046562965619</c:v>
                </c:pt>
                <c:pt idx="12">
                  <c:v>-8.1466598279311575E-2</c:v>
                </c:pt>
                <c:pt idx="13">
                  <c:v>-4.6097676148000866E-2</c:v>
                </c:pt>
                <c:pt idx="14">
                  <c:v>-2.4924261663526792E-2</c:v>
                </c:pt>
                <c:pt idx="15">
                  <c:v>-1.2936058934507999E-2</c:v>
                </c:pt>
                <c:pt idx="16">
                  <c:v>-6.4724055303690964E-3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B7-E748-8B8B-3D9C1EB6FDCD}"/>
            </c:ext>
          </c:extLst>
        </c:ser>
        <c:ser>
          <c:idx val="5"/>
          <c:order val="5"/>
          <c:tx>
            <c:strRef>
              <c:f>PutGkTable!$G$6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PutGkTable!$A$7:$A$23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PutGkTable!$G$7:$G$23</c:f>
              <c:numCache>
                <c:formatCode>0.0000</c:formatCode>
                <c:ptCount val="17"/>
                <c:pt idx="0">
                  <c:v>-0.99926660684650404</c:v>
                </c:pt>
                <c:pt idx="1">
                  <c:v>-0.99614488265403034</c:v>
                </c:pt>
                <c:pt idx="2">
                  <c:v>-0.98559722139706984</c:v>
                </c:pt>
                <c:pt idx="3">
                  <c:v>-0.95913982788824037</c:v>
                </c:pt>
                <c:pt idx="4">
                  <c:v>-0.90728100884537732</c:v>
                </c:pt>
                <c:pt idx="5">
                  <c:v>-0.82455533749048882</c:v>
                </c:pt>
                <c:pt idx="6">
                  <c:v>-0.71359220714545868</c:v>
                </c:pt>
                <c:pt idx="7">
                  <c:v>-0.58508019991269511</c:v>
                </c:pt>
                <c:pt idx="8">
                  <c:v>-0.45375117893531969</c:v>
                </c:pt>
                <c:pt idx="9">
                  <c:v>-0.33318741279258823</c:v>
                </c:pt>
                <c:pt idx="10">
                  <c:v>-0.23226313823370348</c:v>
                </c:pt>
                <c:pt idx="11">
                  <c:v>-0.15425607458895985</c:v>
                </c:pt>
                <c:pt idx="12">
                  <c:v>-9.7993409558041256E-2</c:v>
                </c:pt>
                <c:pt idx="13">
                  <c:v>-5.9785719848803098E-2</c:v>
                </c:pt>
                <c:pt idx="14">
                  <c:v>-3.5167783159818167E-2</c:v>
                </c:pt>
                <c:pt idx="15">
                  <c:v>-2.0019016420614544E-2</c:v>
                </c:pt>
                <c:pt idx="16">
                  <c:v>-1.1065603183766148E-2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B7-E748-8B8B-3D9C1EB6FDCD}"/>
            </c:ext>
          </c:extLst>
        </c:ser>
        <c:ser>
          <c:idx val="6"/>
          <c:order val="6"/>
          <c:tx>
            <c:strRef>
              <c:f>PutGkTable!$H$6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PutGkTable!$A$7:$A$23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PutGkTable!$H$7:$H$23</c:f>
              <c:numCache>
                <c:formatCode>0.0000</c:formatCode>
                <c:ptCount val="17"/>
                <c:pt idx="0">
                  <c:v>-0.99829022958946334</c:v>
                </c:pt>
                <c:pt idx="1">
                  <c:v>-0.99283576290387021</c:v>
                </c:pt>
                <c:pt idx="2">
                  <c:v>-0.97757408881603791</c:v>
                </c:pt>
                <c:pt idx="3">
                  <c:v>-0.94450176292646359</c:v>
                </c:pt>
                <c:pt idx="4">
                  <c:v>-0.88648382673497528</c:v>
                </c:pt>
                <c:pt idx="5">
                  <c:v>-0.80115036351573243</c:v>
                </c:pt>
                <c:pt idx="6">
                  <c:v>-0.69292219222946605</c:v>
                </c:pt>
                <c:pt idx="7">
                  <c:v>-0.57183075677667916</c:v>
                </c:pt>
                <c:pt idx="8">
                  <c:v>-0.45006425675703965</c:v>
                </c:pt>
                <c:pt idx="9">
                  <c:v>-0.33831140787767133</c:v>
                </c:pt>
                <c:pt idx="10">
                  <c:v>-0.2435006186136095</c:v>
                </c:pt>
                <c:pt idx="11">
                  <c:v>-0.16834237110652894</c:v>
                </c:pt>
                <c:pt idx="12">
                  <c:v>-0.11216803677626297</c:v>
                </c:pt>
                <c:pt idx="13">
                  <c:v>-7.2277491513736081E-2</c:v>
                </c:pt>
                <c:pt idx="14">
                  <c:v>-4.5187263769139729E-2</c:v>
                </c:pt>
                <c:pt idx="15">
                  <c:v>-2.7494256589391308E-2</c:v>
                </c:pt>
                <c:pt idx="16">
                  <c:v>-1.6327271792869857E-2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CB7-E748-8B8B-3D9C1EB6FDCD}"/>
            </c:ext>
          </c:extLst>
        </c:ser>
        <c:ser>
          <c:idx val="7"/>
          <c:order val="7"/>
          <c:tx>
            <c:strRef>
              <c:f>PutGkTable!$I$6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PutGkTable!$A$7:$A$23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PutGkTable!$I$7:$I$23</c:f>
              <c:numCache>
                <c:formatCode>0.0000</c:formatCode>
                <c:ptCount val="17"/>
                <c:pt idx="0">
                  <c:v>-0.99675007087750611</c:v>
                </c:pt>
                <c:pt idx="1">
                  <c:v>-0.98851657476804122</c:v>
                </c:pt>
                <c:pt idx="2">
                  <c:v>-0.96853667944616317</c:v>
                </c:pt>
                <c:pt idx="3">
                  <c:v>-0.92976291941623557</c:v>
                </c:pt>
                <c:pt idx="4">
                  <c:v>-0.86719866762994358</c:v>
                </c:pt>
                <c:pt idx="5">
                  <c:v>-0.78063641017552954</c:v>
                </c:pt>
                <c:pt idx="6">
                  <c:v>-0.67538030929215342</c:v>
                </c:pt>
                <c:pt idx="7">
                  <c:v>-0.56063294575822775</c:v>
                </c:pt>
                <c:pt idx="8">
                  <c:v>-0.44663641507110596</c:v>
                </c:pt>
                <c:pt idx="9">
                  <c:v>-0.34203727030691766</c:v>
                </c:pt>
                <c:pt idx="10">
                  <c:v>-0.25239750657251647</c:v>
                </c:pt>
                <c:pt idx="11">
                  <c:v>-0.17997586012231237</c:v>
                </c:pt>
                <c:pt idx="12">
                  <c:v>-0.12437874850463737</c:v>
                </c:pt>
                <c:pt idx="13">
                  <c:v>-8.3551201402274566E-2</c:v>
                </c:pt>
                <c:pt idx="14">
                  <c:v>-5.4707853004439699E-2</c:v>
                </c:pt>
                <c:pt idx="15">
                  <c:v>-3.5008571780824504E-2</c:v>
                </c:pt>
                <c:pt idx="16">
                  <c:v>-2.1947030461860972E-2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CB7-E748-8B8B-3D9C1EB6FDCD}"/>
            </c:ext>
          </c:extLst>
        </c:ser>
        <c:ser>
          <c:idx val="8"/>
          <c:order val="8"/>
          <c:tx>
            <c:strRef>
              <c:f>PutGkTable!$J$6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PutGkTable!$A$7:$A$23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PutGkTable!$J$7:$J$23</c:f>
              <c:numCache>
                <c:formatCode>0.0000</c:formatCode>
                <c:ptCount val="17"/>
                <c:pt idx="0">
                  <c:v>-0.99461362130869291</c:v>
                </c:pt>
                <c:pt idx="1">
                  <c:v>-0.9833365493457592</c:v>
                </c:pt>
                <c:pt idx="2">
                  <c:v>-0.95885400744147464</c:v>
                </c:pt>
                <c:pt idx="3">
                  <c:v>-0.91526598820601524</c:v>
                </c:pt>
                <c:pt idx="4">
                  <c:v>-0.8493775152454146</c:v>
                </c:pt>
                <c:pt idx="5">
                  <c:v>-0.76246291657331267</c:v>
                </c:pt>
                <c:pt idx="6">
                  <c:v>-0.66019529381624764</c:v>
                </c:pt>
                <c:pt idx="7">
                  <c:v>-0.55094011572048185</c:v>
                </c:pt>
                <c:pt idx="8">
                  <c:v>-0.44342053804454018</c:v>
                </c:pt>
                <c:pt idx="9">
                  <c:v>-0.34478110979113252</c:v>
                </c:pt>
                <c:pt idx="10">
                  <c:v>-0.25958308974686217</c:v>
                </c:pt>
                <c:pt idx="11">
                  <c:v>-0.18972433093783714</c:v>
                </c:pt>
                <c:pt idx="12">
                  <c:v>-0.13496549959519877</c:v>
                </c:pt>
                <c:pt idx="13">
                  <c:v>-9.3689528830588564E-2</c:v>
                </c:pt>
                <c:pt idx="14">
                  <c:v>-6.3619125849340485E-2</c:v>
                </c:pt>
                <c:pt idx="15">
                  <c:v>-4.2354591752513771E-2</c:v>
                </c:pt>
                <c:pt idx="16">
                  <c:v>-2.7703754722868346E-2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CB7-E748-8B8B-3D9C1EB6FDCD}"/>
            </c:ext>
          </c:extLst>
        </c:ser>
        <c:ser>
          <c:idx val="9"/>
          <c:order val="9"/>
          <c:tx>
            <c:strRef>
              <c:f>PutGkTable!$K$6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PutGkTable!$A$7:$A$23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PutGkTable!$K$7:$K$23</c:f>
              <c:numCache>
                <c:formatCode>0.0000</c:formatCode>
                <c:ptCount val="17"/>
                <c:pt idx="0">
                  <c:v>-0.9918944546456071</c:v>
                </c:pt>
                <c:pt idx="1">
                  <c:v>-0.97746039429844445</c:v>
                </c:pt>
                <c:pt idx="2">
                  <c:v>-0.94880489471011198</c:v>
                </c:pt>
                <c:pt idx="3">
                  <c:v>-0.9011984232382525</c:v>
                </c:pt>
                <c:pt idx="4">
                  <c:v>-0.83290728409305781</c:v>
                </c:pt>
                <c:pt idx="5">
                  <c:v>-0.7462049004262935</c:v>
                </c:pt>
                <c:pt idx="6">
                  <c:v>-0.64683983773027076</c:v>
                </c:pt>
                <c:pt idx="7">
                  <c:v>-0.54239387215072843</c:v>
                </c:pt>
                <c:pt idx="8">
                  <c:v>-0.4403823076297575</c:v>
                </c:pt>
                <c:pt idx="9">
                  <c:v>-0.34680867419920269</c:v>
                </c:pt>
                <c:pt idx="10">
                  <c:v>-0.26547683131082922</c:v>
                </c:pt>
                <c:pt idx="11">
                  <c:v>-0.19799359259378047</c:v>
                </c:pt>
                <c:pt idx="12">
                  <c:v>-0.14420688925670178</c:v>
                </c:pt>
                <c:pt idx="13">
                  <c:v>-0.10280707440266668</c:v>
                </c:pt>
                <c:pt idx="14">
                  <c:v>-7.1895089760057207E-2</c:v>
                </c:pt>
                <c:pt idx="15">
                  <c:v>-4.9418010408147417E-2</c:v>
                </c:pt>
                <c:pt idx="16">
                  <c:v>-3.3448813603455418E-2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B7-E748-8B8B-3D9C1EB6FDCD}"/>
            </c:ext>
          </c:extLst>
        </c:ser>
        <c:ser>
          <c:idx val="10"/>
          <c:order val="10"/>
          <c:tx>
            <c:strRef>
              <c:f>PutGkTable!$L$6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PutGkTable!$A$7:$A$23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PutGkTable!$L$7:$L$23</c:f>
              <c:numCache>
                <c:formatCode>0.0000</c:formatCode>
                <c:ptCount val="17"/>
                <c:pt idx="0">
                  <c:v>-0.94452182202059942</c:v>
                </c:pt>
                <c:pt idx="1">
                  <c:v>-0.90505685531529534</c:v>
                </c:pt>
                <c:pt idx="2">
                  <c:v>-0.85288892223498691</c:v>
                </c:pt>
                <c:pt idx="3">
                  <c:v>-0.78958372202412042</c:v>
                </c:pt>
                <c:pt idx="4">
                  <c:v>-0.7179625656379226</c:v>
                </c:pt>
                <c:pt idx="5">
                  <c:v>-0.64149552812518496</c:v>
                </c:pt>
                <c:pt idx="6">
                  <c:v>-0.56370662389654669</c:v>
                </c:pt>
                <c:pt idx="7">
                  <c:v>-0.48772135767095182</c:v>
                </c:pt>
                <c:pt idx="8">
                  <c:v>-0.41600201428631822</c:v>
                </c:pt>
                <c:pt idx="9">
                  <c:v>-0.35025529522042032</c:v>
                </c:pt>
                <c:pt idx="10">
                  <c:v>-0.2914669006454369</c:v>
                </c:pt>
                <c:pt idx="11">
                  <c:v>-0.24001164001031328</c:v>
                </c:pt>
                <c:pt idx="12">
                  <c:v>-0.19579537926180235</c:v>
                </c:pt>
                <c:pt idx="13">
                  <c:v>-0.15839802446828499</c:v>
                </c:pt>
                <c:pt idx="14">
                  <c:v>-0.12719944668745575</c:v>
                </c:pt>
                <c:pt idx="15">
                  <c:v>-0.10148028157804423</c:v>
                </c:pt>
                <c:pt idx="16">
                  <c:v>-8.0496295997073863E-2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CB7-E748-8B8B-3D9C1EB6FDCD}"/>
            </c:ext>
          </c:extLst>
        </c:ser>
        <c:ser>
          <c:idx val="11"/>
          <c:order val="11"/>
          <c:tx>
            <c:strRef>
              <c:f>PutGkTable!$M$6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PutGkTable!$A$7:$A$23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PutGkTable!$M$7:$M$23</c:f>
              <c:numCache>
                <c:formatCode>0.0000</c:formatCode>
                <c:ptCount val="17"/>
                <c:pt idx="0">
                  <c:v>-0.88778242147662834</c:v>
                </c:pt>
                <c:pt idx="1">
                  <c:v>-0.83738213822355212</c:v>
                </c:pt>
                <c:pt idx="2">
                  <c:v>-0.77929792459466751</c:v>
                </c:pt>
                <c:pt idx="3">
                  <c:v>-0.7158845880678294</c:v>
                </c:pt>
                <c:pt idx="4">
                  <c:v>-0.64964133490352116</c:v>
                </c:pt>
                <c:pt idx="5">
                  <c:v>-0.58291019299022284</c:v>
                </c:pt>
                <c:pt idx="6">
                  <c:v>-0.51768409900435353</c:v>
                </c:pt>
                <c:pt idx="7">
                  <c:v>-0.45551611552615734</c:v>
                </c:pt>
                <c:pt idx="8">
                  <c:v>-0.39750608598211901</c:v>
                </c:pt>
                <c:pt idx="9">
                  <c:v>-0.3443379223573686</c:v>
                </c:pt>
                <c:pt idx="10">
                  <c:v>-0.29634414861059299</c:v>
                </c:pt>
                <c:pt idx="11">
                  <c:v>-0.25358023320856948</c:v>
                </c:pt>
                <c:pt idx="12">
                  <c:v>-0.21589724078774752</c:v>
                </c:pt>
                <c:pt idx="13">
                  <c:v>-0.18300629935642132</c:v>
                </c:pt>
                <c:pt idx="14">
                  <c:v>-0.15453199824934205</c:v>
                </c:pt>
                <c:pt idx="15">
                  <c:v>-0.13005419969363385</c:v>
                </c:pt>
                <c:pt idx="16">
                  <c:v>-0.10913912348794974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CB7-E748-8B8B-3D9C1EB6FDCD}"/>
            </c:ext>
          </c:extLst>
        </c:ser>
        <c:ser>
          <c:idx val="12"/>
          <c:order val="12"/>
          <c:tx>
            <c:strRef>
              <c:f>PutGkTable!$N$6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PutGkTable!$A$7:$A$23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PutGkTable!$N$7:$N$23</c:f>
              <c:numCache>
                <c:formatCode>0.0000</c:formatCode>
                <c:ptCount val="17"/>
                <c:pt idx="0">
                  <c:v>-0.83573128027159116</c:v>
                </c:pt>
                <c:pt idx="1">
                  <c:v>-0.78140801553503314</c:v>
                </c:pt>
                <c:pt idx="2">
                  <c:v>-0.72297001881272516</c:v>
                </c:pt>
                <c:pt idx="3">
                  <c:v>-0.66246690705453493</c:v>
                </c:pt>
                <c:pt idx="4">
                  <c:v>-0.60174208889703951</c:v>
                </c:pt>
                <c:pt idx="5">
                  <c:v>-0.54232677254784156</c:v>
                </c:pt>
                <c:pt idx="6">
                  <c:v>-0.48540248571576572</c:v>
                </c:pt>
                <c:pt idx="7">
                  <c:v>-0.43181044779477695</c:v>
                </c:pt>
                <c:pt idx="8">
                  <c:v>-0.38208857781104733</c:v>
                </c:pt>
                <c:pt idx="9">
                  <c:v>-0.33652148286606043</c:v>
                </c:pt>
                <c:pt idx="10">
                  <c:v>-0.29519344894865263</c:v>
                </c:pt>
                <c:pt idx="11">
                  <c:v>-0.25803836305997996</c:v>
                </c:pt>
                <c:pt idx="12">
                  <c:v>-0.22488339146361092</c:v>
                </c:pt>
                <c:pt idx="13">
                  <c:v>-0.19548519667211639</c:v>
                </c:pt>
                <c:pt idx="14">
                  <c:v>-0.16955868613384428</c:v>
                </c:pt>
                <c:pt idx="15">
                  <c:v>-0.14679895478660199</c:v>
                </c:pt>
                <c:pt idx="16">
                  <c:v>-0.12689738962132047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CB7-E748-8B8B-3D9C1EB6FDCD}"/>
            </c:ext>
          </c:extLst>
        </c:ser>
        <c:ser>
          <c:idx val="13"/>
          <c:order val="13"/>
          <c:tx>
            <c:strRef>
              <c:f>PutGkTable!$O$6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PutGkTable!$A$7:$A$23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PutGkTable!$O$7:$O$23</c:f>
              <c:numCache>
                <c:formatCode>0.0000</c:formatCode>
                <c:ptCount val="17"/>
                <c:pt idx="0">
                  <c:v>-0.79011796313899829</c:v>
                </c:pt>
                <c:pt idx="1">
                  <c:v>-0.73494879354496201</c:v>
                </c:pt>
                <c:pt idx="2">
                  <c:v>-0.67800925822604985</c:v>
                </c:pt>
                <c:pt idx="3">
                  <c:v>-0.62090803102434033</c:v>
                </c:pt>
                <c:pt idx="4">
                  <c:v>-0.5649588516263524</c:v>
                </c:pt>
                <c:pt idx="5">
                  <c:v>-0.51116620365399934</c:v>
                </c:pt>
                <c:pt idx="6">
                  <c:v>-0.46024483687683237</c:v>
                </c:pt>
                <c:pt idx="7">
                  <c:v>-0.41265721312345893</c:v>
                </c:pt>
                <c:pt idx="8">
                  <c:v>-0.36865783860820911</c:v>
                </c:pt>
                <c:pt idx="9">
                  <c:v>-0.32833755733835912</c:v>
                </c:pt>
                <c:pt idx="10">
                  <c:v>-0.29166393636753718</c:v>
                </c:pt>
                <c:pt idx="11">
                  <c:v>-0.25851595379743597</c:v>
                </c:pt>
                <c:pt idx="12">
                  <c:v>-0.22871250967264012</c:v>
                </c:pt>
                <c:pt idx="13">
                  <c:v>-0.20203503441308623</c:v>
                </c:pt>
                <c:pt idx="14">
                  <c:v>-0.17824485149296021</c:v>
                </c:pt>
                <c:pt idx="15">
                  <c:v>-0.1570960983419486</c:v>
                </c:pt>
                <c:pt idx="16">
                  <c:v>-0.13834501863406246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CB7-E748-8B8B-3D9C1EB6FDCD}"/>
            </c:ext>
          </c:extLst>
        </c:ser>
        <c:bandFmts>
          <c:bandFmt>
            <c:idx val="0"/>
            <c:spPr>
              <a:solidFill>
                <a:schemeClr val="accent2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95000"/>
                </a:schemeClr>
              </a:solidFill>
              <a:ln/>
              <a:effectLst/>
              <a:sp3d/>
            </c:spPr>
          </c:bandFmt>
        </c:bandFmts>
        <c:axId val="1625038272"/>
        <c:axId val="1625043648"/>
        <c:axId val="1557112320"/>
      </c:surface3DChart>
      <c:catAx>
        <c:axId val="1625038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5043648"/>
        <c:crosses val="autoZero"/>
        <c:auto val="1"/>
        <c:lblAlgn val="ctr"/>
        <c:lblOffset val="100"/>
        <c:noMultiLvlLbl val="0"/>
      </c:catAx>
      <c:valAx>
        <c:axId val="162504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5038272"/>
        <c:crosses val="autoZero"/>
        <c:crossBetween val="midCat"/>
      </c:valAx>
      <c:serAx>
        <c:axId val="155711232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5043648"/>
        <c:crosses val="autoZero"/>
        <c:tickLblSkip val="1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  <a:scene3d>
      <a:camera prst="orthographicFront"/>
      <a:lightRig rig="threePt" dir="t"/>
    </a:scene3d>
    <a:sp3d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</a:t>
            </a:r>
            <a:r>
              <a:rPr lang="en-US" baseline="0"/>
              <a:t> - 30%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PutGkTable!$R$6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PutGkTable!$Q$7:$Q$23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PutGkTable!$R$7:$R$23</c:f>
              <c:numCache>
                <c:formatCode>0.0000</c:formatCode>
                <c:ptCount val="17"/>
                <c:pt idx="0">
                  <c:v>-0.99999994996583763</c:v>
                </c:pt>
                <c:pt idx="1">
                  <c:v>-0.99999631780591081</c:v>
                </c:pt>
                <c:pt idx="2">
                  <c:v>-0.99989292389718487</c:v>
                </c:pt>
                <c:pt idx="3">
                  <c:v>-0.99853247742148155</c:v>
                </c:pt>
                <c:pt idx="4">
                  <c:v>-0.98910947326415422</c:v>
                </c:pt>
                <c:pt idx="5">
                  <c:v>-0.95105041176998162</c:v>
                </c:pt>
                <c:pt idx="6">
                  <c:v>-0.85374292440200006</c:v>
                </c:pt>
                <c:pt idx="7">
                  <c:v>-0.68534693429781512</c:v>
                </c:pt>
                <c:pt idx="8">
                  <c:v>-0.47688423504863664</c:v>
                </c:pt>
                <c:pt idx="9">
                  <c:v>-0.28357001703173512</c:v>
                </c:pt>
                <c:pt idx="10">
                  <c:v>-0.14397429893497082</c:v>
                </c:pt>
                <c:pt idx="11">
                  <c:v>-6.2860563865533403E-2</c:v>
                </c:pt>
                <c:pt idx="12">
                  <c:v>-2.3862270071094094E-2</c:v>
                </c:pt>
                <c:pt idx="13">
                  <c:v>-7.9737541258025901E-3</c:v>
                </c:pt>
                <c:pt idx="14">
                  <c:v>-2.3748452032597012E-3</c:v>
                </c:pt>
                <c:pt idx="15">
                  <c:v>-6.3792946107255055E-4</c:v>
                </c:pt>
                <c:pt idx="16">
                  <c:v>-1.5625452050427313E-4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7C-CC45-8B53-9EB9157D7EB2}"/>
            </c:ext>
          </c:extLst>
        </c:ser>
        <c:ser>
          <c:idx val="1"/>
          <c:order val="1"/>
          <c:tx>
            <c:strRef>
              <c:f>PutGkTable!$S$6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PutGkTable!$Q$7:$Q$23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PutGkTable!$S$7:$S$23</c:f>
              <c:numCache>
                <c:formatCode>0.0000</c:formatCode>
                <c:ptCount val="17"/>
                <c:pt idx="0">
                  <c:v>-0.99990252813746106</c:v>
                </c:pt>
                <c:pt idx="1">
                  <c:v>-0.99912262163087784</c:v>
                </c:pt>
                <c:pt idx="2">
                  <c:v>-0.99500981832634638</c:v>
                </c:pt>
                <c:pt idx="3">
                  <c:v>-0.98040881029842508</c:v>
                </c:pt>
                <c:pt idx="4">
                  <c:v>-0.94308666201370861</c:v>
                </c:pt>
                <c:pt idx="5">
                  <c:v>-0.87062603477158196</c:v>
                </c:pt>
                <c:pt idx="6">
                  <c:v>-0.75907237290923424</c:v>
                </c:pt>
                <c:pt idx="7">
                  <c:v>-0.6180366959210446</c:v>
                </c:pt>
                <c:pt idx="8">
                  <c:v>-0.46732766707817819</c:v>
                </c:pt>
                <c:pt idx="9">
                  <c:v>-0.32792519835401701</c:v>
                </c:pt>
                <c:pt idx="10">
                  <c:v>-0.21406685945973947</c:v>
                </c:pt>
                <c:pt idx="11">
                  <c:v>-0.13056736333207186</c:v>
                </c:pt>
                <c:pt idx="12">
                  <c:v>-7.4801691829901373E-2</c:v>
                </c:pt>
                <c:pt idx="13">
                  <c:v>-4.0474770416252692E-2</c:v>
                </c:pt>
                <c:pt idx="14">
                  <c:v>-2.0798132697888772E-2</c:v>
                </c:pt>
                <c:pt idx="15">
                  <c:v>-1.0201945596281514E-2</c:v>
                </c:pt>
                <c:pt idx="16">
                  <c:v>-4.8001191425864898E-3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7C-CC45-8B53-9EB9157D7EB2}"/>
            </c:ext>
          </c:extLst>
        </c:ser>
        <c:ser>
          <c:idx val="2"/>
          <c:order val="2"/>
          <c:tx>
            <c:strRef>
              <c:f>PutGkTable!$T$6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PutGkTable!$Q$7:$Q$23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PutGkTable!$T$7:$T$23</c:f>
              <c:numCache>
                <c:formatCode>0.0000</c:formatCode>
                <c:ptCount val="17"/>
                <c:pt idx="0">
                  <c:v>-0.99868673402053365</c:v>
                </c:pt>
                <c:pt idx="1">
                  <c:v>-0.99415298895596782</c:v>
                </c:pt>
                <c:pt idx="2">
                  <c:v>-0.98078500536712698</c:v>
                </c:pt>
                <c:pt idx="3">
                  <c:v>-0.95056549342913066</c:v>
                </c:pt>
                <c:pt idx="4">
                  <c:v>-0.89573043536076724</c:v>
                </c:pt>
                <c:pt idx="5">
                  <c:v>-0.81290248778862662</c:v>
                </c:pt>
                <c:pt idx="6">
                  <c:v>-0.70567310001943828</c:v>
                </c:pt>
                <c:pt idx="7">
                  <c:v>-0.58384710662090655</c:v>
                </c:pt>
                <c:pt idx="8">
                  <c:v>-0.46000711241294456</c:v>
                </c:pt>
                <c:pt idx="9">
                  <c:v>-0.34555716588791241</c:v>
                </c:pt>
                <c:pt idx="10">
                  <c:v>-0.24810817610949054</c:v>
                </c:pt>
                <c:pt idx="11">
                  <c:v>-0.17080729051251253</c:v>
                </c:pt>
                <c:pt idx="12">
                  <c:v>-0.11314146829123639</c:v>
                </c:pt>
                <c:pt idx="13">
                  <c:v>-7.236182589639506E-2</c:v>
                </c:pt>
                <c:pt idx="14">
                  <c:v>-4.4837567406159407E-2</c:v>
                </c:pt>
                <c:pt idx="15">
                  <c:v>-2.7002641924538051E-2</c:v>
                </c:pt>
                <c:pt idx="16">
                  <c:v>-1.5852087113856994E-2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7C-CC45-8B53-9EB9157D7EB2}"/>
            </c:ext>
          </c:extLst>
        </c:ser>
        <c:ser>
          <c:idx val="3"/>
          <c:order val="3"/>
          <c:tx>
            <c:strRef>
              <c:f>PutGkTable!$U$6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PutGkTable!$Q$7:$Q$23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PutGkTable!$U$7:$U$23</c:f>
              <c:numCache>
                <c:formatCode>0.0000</c:formatCode>
                <c:ptCount val="17"/>
                <c:pt idx="0">
                  <c:v>-0.99500733996609969</c:v>
                </c:pt>
                <c:pt idx="1">
                  <c:v>-0.98439853521310394</c:v>
                </c:pt>
                <c:pt idx="2">
                  <c:v>-0.96112490376939341</c:v>
                </c:pt>
                <c:pt idx="3">
                  <c:v>-0.91928338097899298</c:v>
                </c:pt>
                <c:pt idx="4">
                  <c:v>-0.85545490352774345</c:v>
                </c:pt>
                <c:pt idx="5">
                  <c:v>-0.77053193108328744</c:v>
                </c:pt>
                <c:pt idx="6">
                  <c:v>-0.66979547949050677</c:v>
                </c:pt>
                <c:pt idx="7">
                  <c:v>-0.56134857249801873</c:v>
                </c:pt>
                <c:pt idx="8">
                  <c:v>-0.45384601264142221</c:v>
                </c:pt>
                <c:pt idx="9">
                  <c:v>-0.35453815378573783</c:v>
                </c:pt>
                <c:pt idx="10">
                  <c:v>-0.2681957426118291</c:v>
                </c:pt>
                <c:pt idx="11">
                  <c:v>-0.19695159463482959</c:v>
                </c:pt>
                <c:pt idx="12">
                  <c:v>-0.14076936184194067</c:v>
                </c:pt>
                <c:pt idx="13">
                  <c:v>-9.8175116216428271E-2</c:v>
                </c:pt>
                <c:pt idx="14">
                  <c:v>-6.6971680787246357E-2</c:v>
                </c:pt>
                <c:pt idx="15">
                  <c:v>-4.4787839514464522E-2</c:v>
                </c:pt>
                <c:pt idx="16">
                  <c:v>-2.9424844782154347E-2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7C-CC45-8B53-9EB9157D7EB2}"/>
            </c:ext>
          </c:extLst>
        </c:ser>
        <c:ser>
          <c:idx val="4"/>
          <c:order val="4"/>
          <c:tx>
            <c:strRef>
              <c:f>PutGkTable!$V$6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PutGkTable!$Q$7:$Q$23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PutGkTable!$V$7:$V$23</c:f>
              <c:numCache>
                <c:formatCode>0.0000</c:formatCode>
                <c:ptCount val="17"/>
                <c:pt idx="0">
                  <c:v>-0.98864918253526834</c:v>
                </c:pt>
                <c:pt idx="1">
                  <c:v>-0.97135514264148681</c:v>
                </c:pt>
                <c:pt idx="2">
                  <c:v>-0.93963844251047635</c:v>
                </c:pt>
                <c:pt idx="3">
                  <c:v>-0.88999660249603174</c:v>
                </c:pt>
                <c:pt idx="4">
                  <c:v>-0.82180678459839196</c:v>
                </c:pt>
                <c:pt idx="5">
                  <c:v>-0.73776993263156676</c:v>
                </c:pt>
                <c:pt idx="6">
                  <c:v>-0.64320465993398146</c:v>
                </c:pt>
                <c:pt idx="7">
                  <c:v>-0.54465278448532417</c:v>
                </c:pt>
                <c:pt idx="8">
                  <c:v>-0.44842711362451881</c:v>
                </c:pt>
                <c:pt idx="9">
                  <c:v>-0.35955994735600627</c:v>
                </c:pt>
                <c:pt idx="10">
                  <c:v>-0.28131727903685144</c:v>
                </c:pt>
                <c:pt idx="11">
                  <c:v>-0.21520789168988552</c:v>
                </c:pt>
                <c:pt idx="12">
                  <c:v>-0.16130507751855228</c:v>
                </c:pt>
                <c:pt idx="13">
                  <c:v>-0.1186931376101773</c:v>
                </c:pt>
                <c:pt idx="14">
                  <c:v>-8.5901509738383175E-2</c:v>
                </c:pt>
                <c:pt idx="15">
                  <c:v>-6.1252647423470141E-2</c:v>
                </c:pt>
                <c:pt idx="16">
                  <c:v>-4.3101013576703928E-2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7C-CC45-8B53-9EB9157D7EB2}"/>
            </c:ext>
          </c:extLst>
        </c:ser>
        <c:ser>
          <c:idx val="5"/>
          <c:order val="5"/>
          <c:tx>
            <c:strRef>
              <c:f>PutGkTable!$W$6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PutGkTable!$Q$7:$Q$23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PutGkTable!$W$7:$W$23</c:f>
              <c:numCache>
                <c:formatCode>0.0000</c:formatCode>
                <c:ptCount val="17"/>
                <c:pt idx="0">
                  <c:v>-0.9801200211979566</c:v>
                </c:pt>
                <c:pt idx="1">
                  <c:v>-0.95653186252639477</c:v>
                </c:pt>
                <c:pt idx="2">
                  <c:v>-0.91817123136383305</c:v>
                </c:pt>
                <c:pt idx="3">
                  <c:v>-0.86345561048023245</c:v>
                </c:pt>
                <c:pt idx="4">
                  <c:v>-0.79339207963546399</c:v>
                </c:pt>
                <c:pt idx="5">
                  <c:v>-0.71135950475813281</c:v>
                </c:pt>
                <c:pt idx="6">
                  <c:v>-0.62224795286560064</c:v>
                </c:pt>
                <c:pt idx="7">
                  <c:v>-0.53137304929510343</c:v>
                </c:pt>
                <c:pt idx="8">
                  <c:v>-0.44353629460817168</c:v>
                </c:pt>
                <c:pt idx="9">
                  <c:v>-0.3624308207054423</c:v>
                </c:pt>
                <c:pt idx="10">
                  <c:v>-0.29041967693435344</c:v>
                </c:pt>
                <c:pt idx="11">
                  <c:v>-0.22860493515588864</c:v>
                </c:pt>
                <c:pt idx="12">
                  <c:v>-0.17706804981193724</c:v>
                </c:pt>
                <c:pt idx="13">
                  <c:v>-0.13517294858026196</c:v>
                </c:pt>
                <c:pt idx="14">
                  <c:v>-0.10185624547043504</c:v>
                </c:pt>
                <c:pt idx="15">
                  <c:v>-7.5864077548471465E-2</c:v>
                </c:pt>
                <c:pt idx="16">
                  <c:v>-5.5922434399909848E-2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7C-CC45-8B53-9EB9157D7EB2}"/>
            </c:ext>
          </c:extLst>
        </c:ser>
        <c:ser>
          <c:idx val="6"/>
          <c:order val="6"/>
          <c:tx>
            <c:strRef>
              <c:f>PutGkTable!$X$6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PutGkTable!$Q$7:$Q$23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PutGkTable!$X$7:$X$23</c:f>
              <c:numCache>
                <c:formatCode>0.0000</c:formatCode>
                <c:ptCount val="17"/>
                <c:pt idx="0">
                  <c:v>-0.97006775523526267</c:v>
                </c:pt>
                <c:pt idx="1">
                  <c:v>-0.94096106457413042</c:v>
                </c:pt>
                <c:pt idx="2">
                  <c:v>-0.8975366081156535</c:v>
                </c:pt>
                <c:pt idx="3">
                  <c:v>-0.83958778898814013</c:v>
                </c:pt>
                <c:pt idx="4">
                  <c:v>-0.76902433777372758</c:v>
                </c:pt>
                <c:pt idx="5">
                  <c:v>-0.68938336584831517</c:v>
                </c:pt>
                <c:pt idx="6">
                  <c:v>-0.60502620477444458</c:v>
                </c:pt>
                <c:pt idx="7">
                  <c:v>-0.5203251694133888</c:v>
                </c:pt>
                <c:pt idx="8">
                  <c:v>-0.43904628326616701</c:v>
                </c:pt>
                <c:pt idx="9">
                  <c:v>-0.36400558258912941</c:v>
                </c:pt>
                <c:pt idx="10">
                  <c:v>-0.29697784742910749</c:v>
                </c:pt>
                <c:pt idx="11">
                  <c:v>-0.23878616098400873</c:v>
                </c:pt>
                <c:pt idx="12">
                  <c:v>-0.18949083797813837</c:v>
                </c:pt>
                <c:pt idx="13">
                  <c:v>-0.14861015340398076</c:v>
                </c:pt>
                <c:pt idx="14">
                  <c:v>-0.1153277701028006</c:v>
                </c:pt>
                <c:pt idx="15">
                  <c:v>-8.8663185428034641E-2</c:v>
                </c:pt>
                <c:pt idx="16">
                  <c:v>-6.7597592081242719E-2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7C-CC45-8B53-9EB9157D7EB2}"/>
            </c:ext>
          </c:extLst>
        </c:ser>
        <c:ser>
          <c:idx val="7"/>
          <c:order val="7"/>
          <c:tx>
            <c:strRef>
              <c:f>PutGkTable!$Y$6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PutGkTable!$Q$7:$Q$23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PutGkTable!$Y$7:$Y$23</c:f>
              <c:numCache>
                <c:formatCode>0.0000</c:formatCode>
                <c:ptCount val="17"/>
                <c:pt idx="0">
                  <c:v>-0.95904909766423552</c:v>
                </c:pt>
                <c:pt idx="1">
                  <c:v>-0.92527188397817484</c:v>
                </c:pt>
                <c:pt idx="2">
                  <c:v>-0.87804528554403938</c:v>
                </c:pt>
                <c:pt idx="3">
                  <c:v>-0.81810037029895166</c:v>
                </c:pt>
                <c:pt idx="4">
                  <c:v>-0.74781465076701359</c:v>
                </c:pt>
                <c:pt idx="5">
                  <c:v>-0.67064466370442455</c:v>
                </c:pt>
                <c:pt idx="6">
                  <c:v>-0.59044006826425854</c:v>
                </c:pt>
                <c:pt idx="7">
                  <c:v>-0.51084211699665127</c:v>
                </c:pt>
                <c:pt idx="8">
                  <c:v>-0.43487410610469346</c:v>
                </c:pt>
                <c:pt idx="9">
                  <c:v>-0.36474330915224362</c:v>
                </c:pt>
                <c:pt idx="10">
                  <c:v>-0.30181817478322093</c:v>
                </c:pt>
                <c:pt idx="11">
                  <c:v>-0.24672234308969565</c:v>
                </c:pt>
                <c:pt idx="12">
                  <c:v>-0.19948822940550293</c:v>
                </c:pt>
                <c:pt idx="13">
                  <c:v>-0.15972585603915745</c:v>
                </c:pt>
                <c:pt idx="14">
                  <c:v>-0.12677851771428283</c:v>
                </c:pt>
                <c:pt idx="15">
                  <c:v>-9.9850813935310367E-2</c:v>
                </c:pt>
                <c:pt idx="16">
                  <c:v>-7.8104680465358789E-2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7C-CC45-8B53-9EB9157D7EB2}"/>
            </c:ext>
          </c:extLst>
        </c:ser>
        <c:ser>
          <c:idx val="8"/>
          <c:order val="8"/>
          <c:tx>
            <c:strRef>
              <c:f>PutGkTable!$Z$6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PutGkTable!$Q$7:$Q$23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PutGkTable!$Z$7:$Z$23</c:f>
              <c:numCache>
                <c:formatCode>0.0000</c:formatCode>
                <c:ptCount val="17"/>
                <c:pt idx="0">
                  <c:v>-0.94748399738581035</c:v>
                </c:pt>
                <c:pt idx="1">
                  <c:v>-0.90982718659992456</c:v>
                </c:pt>
                <c:pt idx="2">
                  <c:v>-0.85977360332933828</c:v>
                </c:pt>
                <c:pt idx="3">
                  <c:v>-0.79867181429170175</c:v>
                </c:pt>
                <c:pt idx="4">
                  <c:v>-0.72910925383215464</c:v>
                </c:pt>
                <c:pt idx="5">
                  <c:v>-0.65435610431318014</c:v>
                </c:pt>
                <c:pt idx="6">
                  <c:v>-0.57780208416455869</c:v>
                </c:pt>
                <c:pt idx="7">
                  <c:v>-0.50251371636138731</c:v>
                </c:pt>
                <c:pt idx="8">
                  <c:v>-0.43096209583856271</c:v>
                </c:pt>
                <c:pt idx="9">
                  <c:v>-0.36491321269559851</c:v>
                </c:pt>
                <c:pt idx="10">
                  <c:v>-0.30544231654306619</c:v>
                </c:pt>
                <c:pt idx="11">
                  <c:v>-0.25302566857316067</c:v>
                </c:pt>
                <c:pt idx="12">
                  <c:v>-0.20766842830901577</c:v>
                </c:pt>
                <c:pt idx="13">
                  <c:v>-0.16903849174838326</c:v>
                </c:pt>
                <c:pt idx="14">
                  <c:v>-0.13658767823312523</c:v>
                </c:pt>
                <c:pt idx="15">
                  <c:v>-0.10965117703705984</c:v>
                </c:pt>
                <c:pt idx="16">
                  <c:v>-8.7522828477867298E-2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7C-CC45-8B53-9EB9157D7EB2}"/>
            </c:ext>
          </c:extLst>
        </c:ser>
        <c:ser>
          <c:idx val="9"/>
          <c:order val="9"/>
          <c:tx>
            <c:strRef>
              <c:f>PutGkTable!$AA$6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PutGkTable!$Q$7:$Q$23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PutGkTable!$AA$7:$AA$23</c:f>
              <c:numCache>
                <c:formatCode>0.0000</c:formatCode>
                <c:ptCount val="17"/>
                <c:pt idx="0">
                  <c:v>-0.93567143682162501</c:v>
                </c:pt>
                <c:pt idx="1">
                  <c:v>-0.89482611219229757</c:v>
                </c:pt>
                <c:pt idx="2">
                  <c:v>-0.84269193278455312</c:v>
                </c:pt>
                <c:pt idx="3">
                  <c:v>-0.78100943988166782</c:v>
                </c:pt>
                <c:pt idx="4">
                  <c:v>-0.71242345118592665</c:v>
                </c:pt>
                <c:pt idx="5">
                  <c:v>-0.63997666916532903</c:v>
                </c:pt>
                <c:pt idx="6">
                  <c:v>-0.56665658907905203</c:v>
                </c:pt>
                <c:pt idx="7">
                  <c:v>-0.49507092011561626</c:v>
                </c:pt>
                <c:pt idx="8">
                  <c:v>-0.42726824069695946</c:v>
                </c:pt>
                <c:pt idx="9">
                  <c:v>-0.36468367724410999</c:v>
                </c:pt>
                <c:pt idx="10">
                  <c:v>-0.30817362101832413</c:v>
                </c:pt>
                <c:pt idx="11">
                  <c:v>-0.25810246366170242</c:v>
                </c:pt>
                <c:pt idx="12">
                  <c:v>-0.21445103070189353</c:v>
                </c:pt>
                <c:pt idx="13">
                  <c:v>-0.17692558288666238</c:v>
                </c:pt>
                <c:pt idx="14">
                  <c:v>-0.14505487619059876</c:v>
                </c:pt>
                <c:pt idx="15">
                  <c:v>-0.11826948842735363</c:v>
                </c:pt>
                <c:pt idx="16">
                  <c:v>-9.5962181134868874E-2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27C-CC45-8B53-9EB9157D7EB2}"/>
            </c:ext>
          </c:extLst>
        </c:ser>
        <c:ser>
          <c:idx val="10"/>
          <c:order val="10"/>
          <c:tx>
            <c:strRef>
              <c:f>PutGkTable!$AB$6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PutGkTable!$Q$7:$Q$23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PutGkTable!$AB$7:$AB$23</c:f>
              <c:numCache>
                <c:formatCode>0.0000</c:formatCode>
                <c:ptCount val="17"/>
                <c:pt idx="0">
                  <c:v>-0.82760802885631146</c:v>
                </c:pt>
                <c:pt idx="1">
                  <c:v>-0.77520315606192436</c:v>
                </c:pt>
                <c:pt idx="2">
                  <c:v>-0.71952075660120351</c:v>
                </c:pt>
                <c:pt idx="3">
                  <c:v>-0.66231908916757454</c:v>
                </c:pt>
                <c:pt idx="4">
                  <c:v>-0.60514295751881164</c:v>
                </c:pt>
                <c:pt idx="5">
                  <c:v>-0.54925855366537546</c:v>
                </c:pt>
                <c:pt idx="6">
                  <c:v>-0.49563750571488163</c:v>
                </c:pt>
                <c:pt idx="7">
                  <c:v>-0.44497280460428268</c:v>
                </c:pt>
                <c:pt idx="8">
                  <c:v>-0.39771250319529661</c:v>
                </c:pt>
                <c:pt idx="9">
                  <c:v>-0.35410097844860078</c:v>
                </c:pt>
                <c:pt idx="10">
                  <c:v>-0.31422106223939261</c:v>
                </c:pt>
                <c:pt idx="11">
                  <c:v>-0.27803309935298359</c:v>
                </c:pt>
                <c:pt idx="12">
                  <c:v>-0.245408953933274</c:v>
                </c:pt>
                <c:pt idx="13">
                  <c:v>-0.21616027879298261</c:v>
                </c:pt>
                <c:pt idx="14">
                  <c:v>-0.19006114648737371</c:v>
                </c:pt>
                <c:pt idx="15">
                  <c:v>-0.16686556750780079</c:v>
                </c:pt>
                <c:pt idx="16">
                  <c:v>-0.14632061111336547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27C-CC45-8B53-9EB9157D7EB2}"/>
            </c:ext>
          </c:extLst>
        </c:ser>
        <c:ser>
          <c:idx val="11"/>
          <c:order val="11"/>
          <c:tx>
            <c:strRef>
              <c:f>PutGkTable!$AC$6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PutGkTable!$Q$7:$Q$23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PutGkTable!$AC$7:$AC$23</c:f>
              <c:numCache>
                <c:formatCode>0.0000</c:formatCode>
                <c:ptCount val="17"/>
                <c:pt idx="0">
                  <c:v>-0.74714796680976803</c:v>
                </c:pt>
                <c:pt idx="1">
                  <c:v>-0.6954993169592607</c:v>
                </c:pt>
                <c:pt idx="2">
                  <c:v>-0.64389089311574621</c:v>
                </c:pt>
                <c:pt idx="3">
                  <c:v>-0.59332314529799546</c:v>
                </c:pt>
                <c:pt idx="4">
                  <c:v>-0.54454758788761459</c:v>
                </c:pt>
                <c:pt idx="5">
                  <c:v>-0.49809512869829664</c:v>
                </c:pt>
                <c:pt idx="6">
                  <c:v>-0.45431124070599771</c:v>
                </c:pt>
                <c:pt idx="7">
                  <c:v>-0.41339176139808453</c:v>
                </c:pt>
                <c:pt idx="8">
                  <c:v>-0.37541594204455841</c:v>
                </c:pt>
                <c:pt idx="9">
                  <c:v>-0.34037519782795722</c:v>
                </c:pt>
                <c:pt idx="10">
                  <c:v>-0.30819711245370862</c:v>
                </c:pt>
                <c:pt idx="11">
                  <c:v>-0.27876486598286454</c:v>
                </c:pt>
                <c:pt idx="12">
                  <c:v>-0.25193255955166927</c:v>
                </c:pt>
                <c:pt idx="13">
                  <c:v>-0.22753702816334076</c:v>
                </c:pt>
                <c:pt idx="14">
                  <c:v>-0.20540674368816236</c:v>
                </c:pt>
                <c:pt idx="15">
                  <c:v>-0.18536836561406411</c:v>
                </c:pt>
                <c:pt idx="16">
                  <c:v>-0.16725142786114877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27C-CC45-8B53-9EB9157D7EB2}"/>
            </c:ext>
          </c:extLst>
        </c:ser>
        <c:ser>
          <c:idx val="12"/>
          <c:order val="12"/>
          <c:tx>
            <c:strRef>
              <c:f>PutGkTable!$AD$6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PutGkTable!$Q$7:$Q$23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PutGkTable!$AD$7:$AD$23</c:f>
              <c:numCache>
                <c:formatCode>0.0000</c:formatCode>
                <c:ptCount val="17"/>
                <c:pt idx="0">
                  <c:v>-0.68605874158405855</c:v>
                </c:pt>
                <c:pt idx="1">
                  <c:v>-0.63732017542195851</c:v>
                </c:pt>
                <c:pt idx="2">
                  <c:v>-0.59009586095973765</c:v>
                </c:pt>
                <c:pt idx="3">
                  <c:v>-0.54490681007005426</c:v>
                </c:pt>
                <c:pt idx="4">
                  <c:v>-0.50209014965405951</c:v>
                </c:pt>
                <c:pt idx="5">
                  <c:v>-0.46183900015825552</c:v>
                </c:pt>
                <c:pt idx="6">
                  <c:v>-0.42423701798348556</c:v>
                </c:pt>
                <c:pt idx="7">
                  <c:v>-0.38928699917989928</c:v>
                </c:pt>
                <c:pt idx="8">
                  <c:v>-0.35693383673749857</c:v>
                </c:pt>
                <c:pt idx="9">
                  <c:v>-0.32708251377171815</c:v>
                </c:pt>
                <c:pt idx="10">
                  <c:v>-0.29961193101075256</c:v>
                </c:pt>
                <c:pt idx="11">
                  <c:v>-0.27438534458062125</c:v>
                </c:pt>
                <c:pt idx="12">
                  <c:v>-0.25125810561422335</c:v>
                </c:pt>
                <c:pt idx="13">
                  <c:v>-0.23008328807271095</c:v>
                </c:pt>
                <c:pt idx="14">
                  <c:v>-0.21071568645830396</c:v>
                </c:pt>
                <c:pt idx="15">
                  <c:v>-0.19301457050780468</c:v>
                </c:pt>
                <c:pt idx="16">
                  <c:v>-0.17684550299325896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27C-CC45-8B53-9EB9157D7EB2}"/>
            </c:ext>
          </c:extLst>
        </c:ser>
        <c:ser>
          <c:idx val="13"/>
          <c:order val="13"/>
          <c:tx>
            <c:strRef>
              <c:f>PutGkTable!$AE$6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PutGkTable!$Q$7:$Q$23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PutGkTable!$AE$7:$AE$23</c:f>
              <c:numCache>
                <c:formatCode>0.0000</c:formatCode>
                <c:ptCount val="17"/>
                <c:pt idx="0">
                  <c:v>-0.63741139706825356</c:v>
                </c:pt>
                <c:pt idx="1">
                  <c:v>-0.59181932468991505</c:v>
                </c:pt>
                <c:pt idx="2">
                  <c:v>-0.54845300509914008</c:v>
                </c:pt>
                <c:pt idx="3">
                  <c:v>-0.50754168118532883</c:v>
                </c:pt>
                <c:pt idx="4">
                  <c:v>-0.46919124044230576</c:v>
                </c:pt>
                <c:pt idx="5">
                  <c:v>-0.43341874291344296</c:v>
                </c:pt>
                <c:pt idx="6">
                  <c:v>-0.40017907667774644</c:v>
                </c:pt>
                <c:pt idx="7">
                  <c:v>-0.36938513644082593</c:v>
                </c:pt>
                <c:pt idx="8">
                  <c:v>-0.34092285507232256</c:v>
                </c:pt>
                <c:pt idx="9">
                  <c:v>-0.31466223641772739</c:v>
                </c:pt>
                <c:pt idx="10">
                  <c:v>-0.29046533054367063</c:v>
                </c:pt>
                <c:pt idx="11">
                  <c:v>-0.2681918990694907</c:v>
                </c:pt>
                <c:pt idx="12">
                  <c:v>-0.24770335266730614</c:v>
                </c:pt>
                <c:pt idx="13">
                  <c:v>-0.22886540770586983</c:v>
                </c:pt>
                <c:pt idx="14">
                  <c:v>-0.21154980187022532</c:v>
                </c:pt>
                <c:pt idx="15">
                  <c:v>-0.19563532516962057</c:v>
                </c:pt>
                <c:pt idx="16">
                  <c:v>-0.18100835859699094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27C-CC45-8B53-9EB9157D7EB2}"/>
            </c:ext>
          </c:extLst>
        </c:ser>
        <c:bandFmts>
          <c:bandFmt>
            <c:idx val="0"/>
            <c:spPr>
              <a:solidFill>
                <a:schemeClr val="accent2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95000"/>
                </a:schemeClr>
              </a:solidFill>
              <a:ln/>
              <a:effectLst/>
              <a:sp3d/>
            </c:spPr>
          </c:bandFmt>
        </c:bandFmts>
        <c:axId val="1630063680"/>
        <c:axId val="1630065472"/>
        <c:axId val="1557105664"/>
      </c:surface3DChart>
      <c:catAx>
        <c:axId val="1630063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065472"/>
        <c:crosses val="autoZero"/>
        <c:auto val="1"/>
        <c:lblAlgn val="ctr"/>
        <c:lblOffset val="100"/>
        <c:noMultiLvlLbl val="0"/>
      </c:catAx>
      <c:valAx>
        <c:axId val="163006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063680"/>
        <c:crosses val="autoZero"/>
        <c:crossBetween val="midCat"/>
      </c:valAx>
      <c:serAx>
        <c:axId val="15571056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06547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</a:t>
            </a:r>
            <a:r>
              <a:rPr lang="en-US" baseline="0"/>
              <a:t> - 10%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PutGkTable!$AH$6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PutGkTable!$AG$7:$AG$23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PutGkTable!$AH$7:$AH$23</c:f>
              <c:numCache>
                <c:formatCode>0.0000</c:formatCode>
                <c:ptCount val="17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-0.99999999999879974</c:v>
                </c:pt>
                <c:pt idx="5">
                  <c:v>-0.99999982272133159</c:v>
                </c:pt>
                <c:pt idx="6">
                  <c:v>-0.99948892482853091</c:v>
                </c:pt>
                <c:pt idx="7">
                  <c:v>-0.94232585548392311</c:v>
                </c:pt>
                <c:pt idx="8">
                  <c:v>-0.48108360000070371</c:v>
                </c:pt>
                <c:pt idx="9">
                  <c:v>-5.5881951625111226E-2</c:v>
                </c:pt>
                <c:pt idx="10">
                  <c:v>-1.1014982272458118E-3</c:v>
                </c:pt>
                <c:pt idx="11">
                  <c:v>-3.964449127424885E-6</c:v>
                </c:pt>
                <c:pt idx="12">
                  <c:v>-3.0691061914112083E-9</c:v>
                </c:pt>
                <c:pt idx="13">
                  <c:v>-6.0662586065518553E-13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81-A84B-AE54-44AAB43B7DFE}"/>
            </c:ext>
          </c:extLst>
        </c:ser>
        <c:ser>
          <c:idx val="1"/>
          <c:order val="1"/>
          <c:tx>
            <c:strRef>
              <c:f>PutGkTable!$AI$6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PutGkTable!$AG$7:$AG$23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PutGkTable!$AI$7:$AI$23</c:f>
              <c:numCache>
                <c:formatCode>0.0000</c:formatCode>
                <c:ptCount val="17"/>
                <c:pt idx="0">
                  <c:v>-1</c:v>
                </c:pt>
                <c:pt idx="1">
                  <c:v>-1</c:v>
                </c:pt>
                <c:pt idx="2">
                  <c:v>-0.99999999999999867</c:v>
                </c:pt>
                <c:pt idx="3">
                  <c:v>-0.99999999990278976</c:v>
                </c:pt>
                <c:pt idx="4">
                  <c:v>-0.99999957290199704</c:v>
                </c:pt>
                <c:pt idx="5">
                  <c:v>-0.99981942099236665</c:v>
                </c:pt>
                <c:pt idx="6">
                  <c:v>-0.9889559860924052</c:v>
                </c:pt>
                <c:pt idx="7">
                  <c:v>-0.85990016135422198</c:v>
                </c:pt>
                <c:pt idx="8">
                  <c:v>-0.4732581961130774</c:v>
                </c:pt>
                <c:pt idx="9">
                  <c:v>-0.12341910750431651</c:v>
                </c:pt>
                <c:pt idx="10">
                  <c:v>-1.3964492157249486E-2</c:v>
                </c:pt>
                <c:pt idx="11">
                  <c:v>-7.0583548483338365E-4</c:v>
                </c:pt>
                <c:pt idx="12">
                  <c:v>-1.7071243458399721E-5</c:v>
                </c:pt>
                <c:pt idx="13">
                  <c:v>-2.132604316473774E-7</c:v>
                </c:pt>
                <c:pt idx="14">
                  <c:v>-1.4806853521065477E-9</c:v>
                </c:pt>
                <c:pt idx="15">
                  <c:v>-6.1083360591851488E-12</c:v>
                </c:pt>
                <c:pt idx="16">
                  <c:v>-1.5876189252139739E-14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81-A84B-AE54-44AAB43B7DFE}"/>
            </c:ext>
          </c:extLst>
        </c:ser>
        <c:ser>
          <c:idx val="2"/>
          <c:order val="2"/>
          <c:tx>
            <c:strRef>
              <c:f>PutGkTable!$AJ$6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PutGkTable!$AG$7:$AG$23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PutGkTable!$AJ$7:$AJ$23</c:f>
              <c:numCache>
                <c:formatCode>0.0000</c:formatCode>
                <c:ptCount val="17"/>
                <c:pt idx="0">
                  <c:v>-1</c:v>
                </c:pt>
                <c:pt idx="1">
                  <c:v>-0.99999999999999645</c:v>
                </c:pt>
                <c:pt idx="2">
                  <c:v>-0.99999999993611632</c:v>
                </c:pt>
                <c:pt idx="3">
                  <c:v>-0.99999988306170484</c:v>
                </c:pt>
                <c:pt idx="4">
                  <c:v>-0.99996722240854641</c:v>
                </c:pt>
                <c:pt idx="5">
                  <c:v>-0.99804304196816829</c:v>
                </c:pt>
                <c:pt idx="6">
                  <c:v>-0.96722237353959195</c:v>
                </c:pt>
                <c:pt idx="7">
                  <c:v>-0.80353746475916554</c:v>
                </c:pt>
                <c:pt idx="8">
                  <c:v>-0.46726038328732289</c:v>
                </c:pt>
                <c:pt idx="9">
                  <c:v>-0.16529135445498921</c:v>
                </c:pt>
                <c:pt idx="10">
                  <c:v>-3.420654138486845E-2</c:v>
                </c:pt>
                <c:pt idx="11">
                  <c:v>-4.22113045457706E-3</c:v>
                </c:pt>
                <c:pt idx="12">
                  <c:v>-3.2376867290062616E-4</c:v>
                </c:pt>
                <c:pt idx="13">
                  <c:v>-1.6180389819542285E-5</c:v>
                </c:pt>
                <c:pt idx="14">
                  <c:v>-5.5166492773928155E-7</c:v>
                </c:pt>
                <c:pt idx="15">
                  <c:v>-1.3389116704232151E-8</c:v>
                </c:pt>
                <c:pt idx="16">
                  <c:v>-2.4035928802845774E-10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81-A84B-AE54-44AAB43B7DFE}"/>
            </c:ext>
          </c:extLst>
        </c:ser>
        <c:ser>
          <c:idx val="3"/>
          <c:order val="3"/>
          <c:tx>
            <c:strRef>
              <c:f>PutGkTable!$AK$6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PutGkTable!$AG$7:$AG$23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PutGkTable!$AK$7:$AK$23</c:f>
              <c:numCache>
                <c:formatCode>0.0000</c:formatCode>
                <c:ptCount val="17"/>
                <c:pt idx="0">
                  <c:v>-0.99999999999999933</c:v>
                </c:pt>
                <c:pt idx="1">
                  <c:v>-0.99999999999068701</c:v>
                </c:pt>
                <c:pt idx="2">
                  <c:v>-0.99999998527351153</c:v>
                </c:pt>
                <c:pt idx="3">
                  <c:v>-0.9999957815132362</c:v>
                </c:pt>
                <c:pt idx="4">
                  <c:v>-0.99970190412486359</c:v>
                </c:pt>
                <c:pt idx="5">
                  <c:v>-0.99333411575638086</c:v>
                </c:pt>
                <c:pt idx="6">
                  <c:v>-0.94191189201267966</c:v>
                </c:pt>
                <c:pt idx="7">
                  <c:v>-0.76305059187866298</c:v>
                </c:pt>
                <c:pt idx="8">
                  <c:v>-0.46220970609333534</c:v>
                </c:pt>
                <c:pt idx="9">
                  <c:v>-0.19316048645017747</c:v>
                </c:pt>
                <c:pt idx="10">
                  <c:v>-5.4593883865311277E-2</c:v>
                </c:pt>
                <c:pt idx="11">
                  <c:v>-1.0591727709338028E-2</c:v>
                </c:pt>
                <c:pt idx="12">
                  <c:v>-1.4524545858777271E-3</c:v>
                </c:pt>
                <c:pt idx="13">
                  <c:v>-1.4555918115333188E-4</c:v>
                </c:pt>
                <c:pt idx="14">
                  <c:v>-1.101717495310961E-5</c:v>
                </c:pt>
                <c:pt idx="15">
                  <c:v>-6.4939633814820041E-7</c:v>
                </c:pt>
                <c:pt idx="16">
                  <c:v>-3.0650944671251068E-8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81-A84B-AE54-44AAB43B7DFE}"/>
            </c:ext>
          </c:extLst>
        </c:ser>
        <c:ser>
          <c:idx val="4"/>
          <c:order val="4"/>
          <c:tx>
            <c:strRef>
              <c:f>PutGkTable!$AL$6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PutGkTable!$AG$7:$AG$23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PutGkTable!$AL$7:$AL$23</c:f>
              <c:numCache>
                <c:formatCode>0.0000</c:formatCode>
                <c:ptCount val="17"/>
                <c:pt idx="0">
                  <c:v>-0.99999999999945288</c:v>
                </c:pt>
                <c:pt idx="1">
                  <c:v>-0.99999999892549984</c:v>
                </c:pt>
                <c:pt idx="2">
                  <c:v>-0.99999960552141942</c:v>
                </c:pt>
                <c:pt idx="3">
                  <c:v>-0.99996289573776764</c:v>
                </c:pt>
                <c:pt idx="4">
                  <c:v>-0.99885449850928076</c:v>
                </c:pt>
                <c:pt idx="5">
                  <c:v>-0.98582102812389361</c:v>
                </c:pt>
                <c:pt idx="6">
                  <c:v>-0.91681414086730562</c:v>
                </c:pt>
                <c:pt idx="7">
                  <c:v>-0.73215074084786935</c:v>
                </c:pt>
                <c:pt idx="8">
                  <c:v>-0.45776498668838594</c:v>
                </c:pt>
                <c:pt idx="9">
                  <c:v>-0.21299766973229939</c:v>
                </c:pt>
                <c:pt idx="10">
                  <c:v>-7.2979321151961596E-2</c:v>
                </c:pt>
                <c:pt idx="11">
                  <c:v>-1.8643924359551423E-2</c:v>
                </c:pt>
                <c:pt idx="12">
                  <c:v>-3.6321125620839556E-3</c:v>
                </c:pt>
                <c:pt idx="13">
                  <c:v>-5.5355097682452392E-4</c:v>
                </c:pt>
                <c:pt idx="14">
                  <c:v>-6.769082007296312E-5</c:v>
                </c:pt>
                <c:pt idx="15">
                  <c:v>-6.8011094226383406E-6</c:v>
                </c:pt>
                <c:pt idx="16">
                  <c:v>-5.7372667472410654E-7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81-A84B-AE54-44AAB43B7DFE}"/>
            </c:ext>
          </c:extLst>
        </c:ser>
        <c:ser>
          <c:idx val="5"/>
          <c:order val="5"/>
          <c:tx>
            <c:strRef>
              <c:f>PutGkTable!$AM$6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PutGkTable!$AG$7:$AG$23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PutGkTable!$AM$7:$AM$23</c:f>
              <c:numCache>
                <c:formatCode>0.0000</c:formatCode>
                <c:ptCount val="17"/>
                <c:pt idx="0">
                  <c:v>-0.99999999995369315</c:v>
                </c:pt>
                <c:pt idx="1">
                  <c:v>-0.99999997412552788</c:v>
                </c:pt>
                <c:pt idx="2">
                  <c:v>-0.99999641307660381</c:v>
                </c:pt>
                <c:pt idx="3">
                  <c:v>-0.99983952143013566</c:v>
                </c:pt>
                <c:pt idx="4">
                  <c:v>-0.99715020541618327</c:v>
                </c:pt>
                <c:pt idx="5">
                  <c:v>-0.97625595044034874</c:v>
                </c:pt>
                <c:pt idx="6">
                  <c:v>-0.89325185776813143</c:v>
                </c:pt>
                <c:pt idx="7">
                  <c:v>-0.70746843461389441</c:v>
                </c:pt>
                <c:pt idx="8">
                  <c:v>-0.45375117893531969</c:v>
                </c:pt>
                <c:pt idx="9">
                  <c:v>-0.22781322631362888</c:v>
                </c:pt>
                <c:pt idx="10">
                  <c:v>-8.9048323051647005E-2</c:v>
                </c:pt>
                <c:pt idx="11">
                  <c:v>-2.7396855446360169E-2</c:v>
                </c:pt>
                <c:pt idx="12">
                  <c:v>-6.7565841192067655E-3</c:v>
                </c:pt>
                <c:pt idx="13">
                  <c:v>-1.3634308405563456E-3</c:v>
                </c:pt>
                <c:pt idx="14">
                  <c:v>-2.2976787752915229E-4</c:v>
                </c:pt>
                <c:pt idx="15">
                  <c:v>-3.2963859568746479E-5</c:v>
                </c:pt>
                <c:pt idx="16">
                  <c:v>-4.097458834229073E-6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81-A84B-AE54-44AAB43B7DFE}"/>
            </c:ext>
          </c:extLst>
        </c:ser>
        <c:ser>
          <c:idx val="6"/>
          <c:order val="6"/>
          <c:tx>
            <c:strRef>
              <c:f>PutGkTable!$AN$6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PutGkTable!$AG$7:$AG$23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PutGkTable!$AN$7:$AN$23</c:f>
              <c:numCache>
                <c:formatCode>0.0000</c:formatCode>
                <c:ptCount val="17"/>
                <c:pt idx="0">
                  <c:v>-0.9999999988845516</c:v>
                </c:pt>
                <c:pt idx="1">
                  <c:v>-0.99999974609953168</c:v>
                </c:pt>
                <c:pt idx="2">
                  <c:v>-0.9999824507459707</c:v>
                </c:pt>
                <c:pt idx="3">
                  <c:v>-0.99953842815149707</c:v>
                </c:pt>
                <c:pt idx="4">
                  <c:v>-0.99448231126656217</c:v>
                </c:pt>
                <c:pt idx="5">
                  <c:v>-0.96538943258594301</c:v>
                </c:pt>
                <c:pt idx="6">
                  <c:v>-0.87156077913162922</c:v>
                </c:pt>
                <c:pt idx="7">
                  <c:v>-0.68707388235667555</c:v>
                </c:pt>
                <c:pt idx="8">
                  <c:v>-0.45006425675703965</c:v>
                </c:pt>
                <c:pt idx="9">
                  <c:v>-0.23926991749476589</c:v>
                </c:pt>
                <c:pt idx="10">
                  <c:v>-0.1029941893437627</c:v>
                </c:pt>
                <c:pt idx="11">
                  <c:v>-3.6249348015701011E-2</c:v>
                </c:pt>
                <c:pt idx="12">
                  <c:v>-1.0592855898519771E-2</c:v>
                </c:pt>
                <c:pt idx="13">
                  <c:v>-2.6145206848648961E-3</c:v>
                </c:pt>
                <c:pt idx="14">
                  <c:v>-5.5441197797978514E-4</c:v>
                </c:pt>
                <c:pt idx="15">
                  <c:v>-1.0263741426164152E-4</c:v>
                </c:pt>
                <c:pt idx="16">
                  <c:v>-1.6834810336541217E-5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81-A84B-AE54-44AAB43B7DFE}"/>
            </c:ext>
          </c:extLst>
        </c:ser>
        <c:ser>
          <c:idx val="7"/>
          <c:order val="7"/>
          <c:tx>
            <c:strRef>
              <c:f>PutGkTable!$AO$6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PutGkTable!$AG$7:$AG$23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PutGkTable!$AO$7:$AO$23</c:f>
              <c:numCache>
                <c:formatCode>0.0000</c:formatCode>
                <c:ptCount val="17"/>
                <c:pt idx="0">
                  <c:v>-0.99999998776771981</c:v>
                </c:pt>
                <c:pt idx="1">
                  <c:v>-0.99999858049035051</c:v>
                </c:pt>
                <c:pt idx="2">
                  <c:v>-0.99994179911634218</c:v>
                </c:pt>
                <c:pt idx="3">
                  <c:v>-0.99897268285935592</c:v>
                </c:pt>
                <c:pt idx="4">
                  <c:v>-0.99087869452629052</c:v>
                </c:pt>
                <c:pt idx="5">
                  <c:v>-0.95379820378478741</c:v>
                </c:pt>
                <c:pt idx="6">
                  <c:v>-0.85171156569915274</c:v>
                </c:pt>
                <c:pt idx="7">
                  <c:v>-0.66978239987143284</c:v>
                </c:pt>
                <c:pt idx="8">
                  <c:v>-0.44663641507110596</c:v>
                </c:pt>
                <c:pt idx="9">
                  <c:v>-0.24836156369458307</c:v>
                </c:pt>
                <c:pt idx="10">
                  <c:v>-0.11511544953316066</c:v>
                </c:pt>
                <c:pt idx="11">
                  <c:v>-4.4871958417935009E-2</c:v>
                </c:pt>
                <c:pt idx="12">
                  <c:v>-1.4905931616100987E-2</c:v>
                </c:pt>
                <c:pt idx="13">
                  <c:v>-4.2820091080512102E-3</c:v>
                </c:pt>
                <c:pt idx="14">
                  <c:v>-1.0793388372125623E-3</c:v>
                </c:pt>
                <c:pt idx="15">
                  <c:v>-2.4202099636327912E-4</c:v>
                </c:pt>
                <c:pt idx="16">
                  <c:v>-4.8889517762384926E-5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81-A84B-AE54-44AAB43B7DFE}"/>
            </c:ext>
          </c:extLst>
        </c:ser>
        <c:ser>
          <c:idx val="8"/>
          <c:order val="8"/>
          <c:tx>
            <c:strRef>
              <c:f>PutGkTable!$AP$6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PutGkTable!$AG$7:$AG$23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PutGkTable!$AP$7:$AP$23</c:f>
              <c:numCache>
                <c:formatCode>0.0000</c:formatCode>
                <c:ptCount val="17"/>
                <c:pt idx="0">
                  <c:v>-0.99999992069449628</c:v>
                </c:pt>
                <c:pt idx="1">
                  <c:v>-0.99999455112734237</c:v>
                </c:pt>
                <c:pt idx="2">
                  <c:v>-0.99985120076411815</c:v>
                </c:pt>
                <c:pt idx="3">
                  <c:v>-0.99807460447904706</c:v>
                </c:pt>
                <c:pt idx="4">
                  <c:v>-0.98644176377083581</c:v>
                </c:pt>
                <c:pt idx="5">
                  <c:v>-0.94188514642659571</c:v>
                </c:pt>
                <c:pt idx="6">
                  <c:v>-0.83355143322926772</c:v>
                </c:pt>
                <c:pt idx="7">
                  <c:v>-0.65482358809332131</c:v>
                </c:pt>
                <c:pt idx="8">
                  <c:v>-0.44342053804454018</c:v>
                </c:pt>
                <c:pt idx="9">
                  <c:v>-0.25572036656605568</c:v>
                </c:pt>
                <c:pt idx="10">
                  <c:v>-0.12569907598544605</c:v>
                </c:pt>
                <c:pt idx="11">
                  <c:v>-5.3098771928445476E-2</c:v>
                </c:pt>
                <c:pt idx="12">
                  <c:v>-1.9502200944108816E-2</c:v>
                </c:pt>
                <c:pt idx="13">
                  <c:v>-6.3077661675613461E-3</c:v>
                </c:pt>
                <c:pt idx="14">
                  <c:v>-1.8195289047336916E-3</c:v>
                </c:pt>
                <c:pt idx="15">
                  <c:v>-4.737266396053208E-4</c:v>
                </c:pt>
                <c:pt idx="16">
                  <c:v>-1.125547698992424E-4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81-A84B-AE54-44AAB43B7DFE}"/>
            </c:ext>
          </c:extLst>
        </c:ser>
        <c:ser>
          <c:idx val="9"/>
          <c:order val="9"/>
          <c:tx>
            <c:strRef>
              <c:f>PutGkTable!$AQ$6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PutGkTable!$AG$7:$AG$23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PutGkTable!$AQ$7:$AQ$23</c:f>
              <c:numCache>
                <c:formatCode>0.0000</c:formatCode>
                <c:ptCount val="17"/>
                <c:pt idx="0">
                  <c:v>-0.99999964435644462</c:v>
                </c:pt>
                <c:pt idx="1">
                  <c:v>-0.99998393569273369</c:v>
                </c:pt>
                <c:pt idx="2">
                  <c:v>-0.99968313211324389</c:v>
                </c:pt>
                <c:pt idx="3">
                  <c:v>-0.99680261138352733</c:v>
                </c:pt>
                <c:pt idx="4">
                  <c:v>-0.98130296953188956</c:v>
                </c:pt>
                <c:pt idx="5">
                  <c:v>-0.92991917065856655</c:v>
                </c:pt>
                <c:pt idx="6">
                  <c:v>-0.81689759699323372</c:v>
                </c:pt>
                <c:pt idx="7">
                  <c:v>-0.64167251171171547</c:v>
                </c:pt>
                <c:pt idx="8">
                  <c:v>-0.4403823076297575</c:v>
                </c:pt>
                <c:pt idx="9">
                  <c:v>-0.26176885450951881</c:v>
                </c:pt>
                <c:pt idx="10">
                  <c:v>-0.13499148005453798</c:v>
                </c:pt>
                <c:pt idx="11">
                  <c:v>-6.08569760408737E-2</c:v>
                </c:pt>
                <c:pt idx="12">
                  <c:v>-2.4235503765815403E-2</c:v>
                </c:pt>
                <c:pt idx="13">
                  <c:v>-8.6226549586319035E-3</c:v>
                </c:pt>
                <c:pt idx="14">
                  <c:v>-2.7716266237037823E-3</c:v>
                </c:pt>
                <c:pt idx="15">
                  <c:v>-8.1343453919457964E-4</c:v>
                </c:pt>
                <c:pt idx="16">
                  <c:v>-2.2010697477903296E-4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81-A84B-AE54-44AAB43B7DFE}"/>
            </c:ext>
          </c:extLst>
        </c:ser>
        <c:ser>
          <c:idx val="10"/>
          <c:order val="10"/>
          <c:tx>
            <c:strRef>
              <c:f>PutGkTable!$AR$6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PutGkTable!$AG$7:$AG$23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PutGkTable!$AR$7:$AR$23</c:f>
              <c:numCache>
                <c:formatCode>0.0000</c:formatCode>
                <c:ptCount val="17"/>
                <c:pt idx="0">
                  <c:v>-0.99966300984690104</c:v>
                </c:pt>
                <c:pt idx="1">
                  <c:v>-0.99770126854070174</c:v>
                </c:pt>
                <c:pt idx="2">
                  <c:v>-0.98955428078343977</c:v>
                </c:pt>
                <c:pt idx="3">
                  <c:v>-0.9657791379984273</c:v>
                </c:pt>
                <c:pt idx="4">
                  <c:v>-0.91398831809174919</c:v>
                </c:pt>
                <c:pt idx="5">
                  <c:v>-0.82563366708758723</c:v>
                </c:pt>
                <c:pt idx="6">
                  <c:v>-0.70294143810382681</c:v>
                </c:pt>
                <c:pt idx="7">
                  <c:v>-0.55984108777794528</c:v>
                </c:pt>
                <c:pt idx="8">
                  <c:v>-0.41600201428631822</c:v>
                </c:pt>
                <c:pt idx="9">
                  <c:v>-0.28871910308263193</c:v>
                </c:pt>
                <c:pt idx="10">
                  <c:v>-0.18778807755388893</c:v>
                </c:pt>
                <c:pt idx="11">
                  <c:v>-0.11499236256428202</c:v>
                </c:pt>
                <c:pt idx="12">
                  <c:v>-6.6633805759227727E-2</c:v>
                </c:pt>
                <c:pt idx="13">
                  <c:v>-3.6727340119913188E-2</c:v>
                </c:pt>
                <c:pt idx="14">
                  <c:v>-1.93516504591843E-2</c:v>
                </c:pt>
                <c:pt idx="15">
                  <c:v>-9.7928364033782467E-3</c:v>
                </c:pt>
                <c:pt idx="16">
                  <c:v>-4.7800098788316481E-3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81-A84B-AE54-44AAB43B7DFE}"/>
            </c:ext>
          </c:extLst>
        </c:ser>
        <c:ser>
          <c:idx val="11"/>
          <c:order val="11"/>
          <c:tx>
            <c:strRef>
              <c:f>PutGkTable!$AS$6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PutGkTable!$AG$7:$AG$23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PutGkTable!$AS$7:$AS$23</c:f>
              <c:numCache>
                <c:formatCode>0.0000</c:formatCode>
                <c:ptCount val="17"/>
                <c:pt idx="0">
                  <c:v>-0.99642145828700812</c:v>
                </c:pt>
                <c:pt idx="1">
                  <c:v>-0.98703700934248551</c:v>
                </c:pt>
                <c:pt idx="2">
                  <c:v>-0.96402672107027587</c:v>
                </c:pt>
                <c:pt idx="3">
                  <c:v>-0.91941174103204293</c:v>
                </c:pt>
                <c:pt idx="4">
                  <c:v>-0.84814553967118989</c:v>
                </c:pt>
                <c:pt idx="5">
                  <c:v>-0.75127132472481861</c:v>
                </c:pt>
                <c:pt idx="6">
                  <c:v>-0.6362644892772813</c:v>
                </c:pt>
                <c:pt idx="7">
                  <c:v>-0.51449212049483484</c:v>
                </c:pt>
                <c:pt idx="8">
                  <c:v>-0.39750608598211912</c:v>
                </c:pt>
                <c:pt idx="9">
                  <c:v>-0.29408226876632038</c:v>
                </c:pt>
                <c:pt idx="10">
                  <c:v>-0.20894675405446184</c:v>
                </c:pt>
                <c:pt idx="11">
                  <c:v>-0.14304833986221999</c:v>
                </c:pt>
                <c:pt idx="12">
                  <c:v>-9.468558585603748E-2</c:v>
                </c:pt>
                <c:pt idx="13">
                  <c:v>-6.07957993015249E-2</c:v>
                </c:pt>
                <c:pt idx="14">
                  <c:v>-3.7984588705097355E-2</c:v>
                </c:pt>
                <c:pt idx="15">
                  <c:v>-2.316017918913893E-2</c:v>
                </c:pt>
                <c:pt idx="16">
                  <c:v>-1.3817439592029412E-2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81-A84B-AE54-44AAB43B7DFE}"/>
            </c:ext>
          </c:extLst>
        </c:ser>
        <c:ser>
          <c:idx val="12"/>
          <c:order val="12"/>
          <c:tx>
            <c:strRef>
              <c:f>PutGkTable!$AT$6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PutGkTable!$AG$7:$AG$23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PutGkTable!$AT$7:$AT$23</c:f>
              <c:numCache>
                <c:formatCode>0.0000</c:formatCode>
                <c:ptCount val="17"/>
                <c:pt idx="0">
                  <c:v>-0.98790594541152554</c:v>
                </c:pt>
                <c:pt idx="1">
                  <c:v>-0.96812430920432424</c:v>
                </c:pt>
                <c:pt idx="2">
                  <c:v>-0.93101255988538445</c:v>
                </c:pt>
                <c:pt idx="3">
                  <c:v>-0.87252541543240303</c:v>
                </c:pt>
                <c:pt idx="4">
                  <c:v>-0.79266920954781528</c:v>
                </c:pt>
                <c:pt idx="5">
                  <c:v>-0.69588255094248597</c:v>
                </c:pt>
                <c:pt idx="6">
                  <c:v>-0.5897113706196716</c:v>
                </c:pt>
                <c:pt idx="7">
                  <c:v>-0.48263811916107868</c:v>
                </c:pt>
                <c:pt idx="8">
                  <c:v>-0.38208857781104733</c:v>
                </c:pt>
                <c:pt idx="9">
                  <c:v>-0.29323765778258948</c:v>
                </c:pt>
                <c:pt idx="10">
                  <c:v>-0.21871189000521374</c:v>
                </c:pt>
                <c:pt idx="11">
                  <c:v>-0.15894344022156293</c:v>
                </c:pt>
                <c:pt idx="12">
                  <c:v>-0.11283127675234184</c:v>
                </c:pt>
                <c:pt idx="13">
                  <c:v>-7.8429078701002797E-2</c:v>
                </c:pt>
                <c:pt idx="14">
                  <c:v>-5.3500413442041594E-2</c:v>
                </c:pt>
                <c:pt idx="15">
                  <c:v>-3.5889050588990501E-2</c:v>
                </c:pt>
                <c:pt idx="16">
                  <c:v>-2.3719415395278443E-2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81-A84B-AE54-44AAB43B7DFE}"/>
            </c:ext>
          </c:extLst>
        </c:ser>
        <c:ser>
          <c:idx val="13"/>
          <c:order val="13"/>
          <c:tx>
            <c:strRef>
              <c:f>PutGkTable!$AU$6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PutGkTable!$AG$7:$AG$23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PutGkTable!$AU$7:$AU$23</c:f>
              <c:numCache>
                <c:formatCode>0.0000</c:formatCode>
                <c:ptCount val="17"/>
                <c:pt idx="0">
                  <c:v>-0.974356553225038</c:v>
                </c:pt>
                <c:pt idx="1">
                  <c:v>-0.94420754055435308</c:v>
                </c:pt>
                <c:pt idx="2">
                  <c:v>-0.89610914829245725</c:v>
                </c:pt>
                <c:pt idx="3">
                  <c:v>-0.82923414186780242</c:v>
                </c:pt>
                <c:pt idx="4">
                  <c:v>-0.74618038134057052</c:v>
                </c:pt>
                <c:pt idx="5">
                  <c:v>-0.65224792947554422</c:v>
                </c:pt>
                <c:pt idx="6">
                  <c:v>-0.55400095752449929</c:v>
                </c:pt>
                <c:pt idx="7">
                  <c:v>-0.45778339645558364</c:v>
                </c:pt>
                <c:pt idx="8">
                  <c:v>-0.36865783860820911</c:v>
                </c:pt>
                <c:pt idx="9">
                  <c:v>-0.28992410745836317</c:v>
                </c:pt>
                <c:pt idx="10">
                  <c:v>-0.22313437909788203</c:v>
                </c:pt>
                <c:pt idx="11">
                  <c:v>-0.16841574919746671</c:v>
                </c:pt>
                <c:pt idx="12">
                  <c:v>-0.12491199749354731</c:v>
                </c:pt>
                <c:pt idx="13">
                  <c:v>-9.1210373067739825E-2</c:v>
                </c:pt>
                <c:pt idx="14">
                  <c:v>-6.5682765684590083E-2</c:v>
                </c:pt>
                <c:pt idx="15">
                  <c:v>-4.67205445320521E-2</c:v>
                </c:pt>
                <c:pt idx="16">
                  <c:v>-3.2872391158081826E-2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81-A84B-AE54-44AAB43B7DFE}"/>
            </c:ext>
          </c:extLst>
        </c:ser>
        <c:bandFmts>
          <c:bandFmt>
            <c:idx val="0"/>
            <c:spPr>
              <a:solidFill>
                <a:schemeClr val="accent2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95000"/>
                </a:schemeClr>
              </a:solidFill>
              <a:ln/>
              <a:effectLst/>
              <a:sp3d/>
            </c:spPr>
          </c:bandFmt>
        </c:bandFmts>
        <c:axId val="1630547776"/>
        <c:axId val="1630549568"/>
        <c:axId val="1561045504"/>
      </c:surface3DChart>
      <c:catAx>
        <c:axId val="1630547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549568"/>
        <c:crosses val="autoZero"/>
        <c:auto val="1"/>
        <c:lblAlgn val="ctr"/>
        <c:lblOffset val="100"/>
        <c:noMultiLvlLbl val="0"/>
      </c:catAx>
      <c:valAx>
        <c:axId val="1630549568"/>
        <c:scaling>
          <c:orientation val="minMax"/>
          <c:max val="0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547776"/>
        <c:crosses val="autoZero"/>
        <c:crossBetween val="midCat"/>
      </c:valAx>
      <c:serAx>
        <c:axId val="15610455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54956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</a:t>
            </a:r>
            <a:r>
              <a:rPr lang="en-US" baseline="0"/>
              <a:t> - 20%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PutGkTable!$B$26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PutGkTable!$A$27:$A$43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PutGkTable!$B$27:$B$43</c:f>
              <c:numCache>
                <c:formatCode>0.0000</c:formatCode>
                <c:ptCount val="17"/>
                <c:pt idx="0">
                  <c:v>1.0516556577990481E-15</c:v>
                </c:pt>
                <c:pt idx="1">
                  <c:v>1.1286957540817281E-11</c:v>
                </c:pt>
                <c:pt idx="2">
                  <c:v>1.4597010892531749E-8</c:v>
                </c:pt>
                <c:pt idx="3">
                  <c:v>3.3512354645083046E-6</c:v>
                </c:pt>
                <c:pt idx="4">
                  <c:v>1.8444991272199745E-4</c:v>
                </c:pt>
                <c:pt idx="5">
                  <c:v>3.0836372935947143E-3</c:v>
                </c:pt>
                <c:pt idx="6">
                  <c:v>1.8916378586336526E-2</c:v>
                </c:pt>
                <c:pt idx="7">
                  <c:v>4.9607400575778247E-2</c:v>
                </c:pt>
                <c:pt idx="8">
                  <c:v>6.3007389850102583E-2</c:v>
                </c:pt>
                <c:pt idx="9">
                  <c:v>4.2961708392642108E-2</c:v>
                </c:pt>
                <c:pt idx="10">
                  <c:v>1.7132125878144413E-2</c:v>
                </c:pt>
                <c:pt idx="11">
                  <c:v>4.293033327812704E-3</c:v>
                </c:pt>
                <c:pt idx="12">
                  <c:v>7.1823787351586244E-4</c:v>
                </c:pt>
                <c:pt idx="13">
                  <c:v>8.446823286585097E-5</c:v>
                </c:pt>
                <c:pt idx="14">
                  <c:v>7.2972234478141031E-6</c:v>
                </c:pt>
                <c:pt idx="15">
                  <c:v>4.8093577566927397E-7</c:v>
                </c:pt>
                <c:pt idx="16">
                  <c:v>2.4984119686305784E-8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3B-6A4A-83D2-07A93F701212}"/>
            </c:ext>
          </c:extLst>
        </c:ser>
        <c:ser>
          <c:idx val="1"/>
          <c:order val="1"/>
          <c:tx>
            <c:strRef>
              <c:f>PutGkTable!$C$26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PutGkTable!$A$27:$A$43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PutGkTable!$C$27:$C$43</c:f>
              <c:numCache>
                <c:formatCode>0.0000</c:formatCode>
                <c:ptCount val="17"/>
                <c:pt idx="0">
                  <c:v>8.9897290546272933E-9</c:v>
                </c:pt>
                <c:pt idx="1">
                  <c:v>8.6832323834608022E-7</c:v>
                </c:pt>
                <c:pt idx="2">
                  <c:v>2.9265998523210966E-5</c:v>
                </c:pt>
                <c:pt idx="3">
                  <c:v>4.1746111765088794E-4</c:v>
                </c:pt>
                <c:pt idx="4">
                  <c:v>2.9270332354272232E-3</c:v>
                </c:pt>
                <c:pt idx="5">
                  <c:v>1.134964427745312E-2</c:v>
                </c:pt>
                <c:pt idx="6">
                  <c:v>2.6739234389615493E-2</c:v>
                </c:pt>
                <c:pt idx="7">
                  <c:v>4.1300684164172589E-2</c:v>
                </c:pt>
                <c:pt idx="8">
                  <c:v>4.4502858739261318E-2</c:v>
                </c:pt>
                <c:pt idx="9">
                  <c:v>3.5212130286942131E-2</c:v>
                </c:pt>
                <c:pt idx="10">
                  <c:v>2.1349081451222499E-2</c:v>
                </c:pt>
                <c:pt idx="11">
                  <c:v>1.0279303406877476E-2</c:v>
                </c:pt>
                <c:pt idx="12">
                  <c:v>4.0508179535475647E-3</c:v>
                </c:pt>
                <c:pt idx="13">
                  <c:v>1.3404252747399995E-3</c:v>
                </c:pt>
                <c:pt idx="14">
                  <c:v>3.806891985019321E-4</c:v>
                </c:pt>
                <c:pt idx="15">
                  <c:v>9.4556994587265296E-5</c:v>
                </c:pt>
                <c:pt idx="16">
                  <c:v>2.0876714879530862E-5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3B-6A4A-83D2-07A93F701212}"/>
            </c:ext>
          </c:extLst>
        </c:ser>
        <c:ser>
          <c:idx val="2"/>
          <c:order val="2"/>
          <c:tx>
            <c:strRef>
              <c:f>PutGkTable!$D$26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PutGkTable!$A$27:$A$43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PutGkTable!$D$27:$D$43</c:f>
              <c:numCache>
                <c:formatCode>0.0000</c:formatCode>
                <c:ptCount val="17"/>
                <c:pt idx="0">
                  <c:v>1.683337757156276E-6</c:v>
                </c:pt>
                <c:pt idx="1">
                  <c:v>3.3820751258091636E-5</c:v>
                </c:pt>
                <c:pt idx="2">
                  <c:v>3.3795857220289077E-4</c:v>
                </c:pt>
                <c:pt idx="3">
                  <c:v>1.9093551185000314E-3</c:v>
                </c:pt>
                <c:pt idx="4">
                  <c:v>6.7361389316554247E-3</c:v>
                </c:pt>
                <c:pt idx="5">
                  <c:v>1.6048048164004222E-2</c:v>
                </c:pt>
                <c:pt idx="6">
                  <c:v>2.7482291431425856E-2</c:v>
                </c:pt>
                <c:pt idx="7">
                  <c:v>3.5581792279001205E-2</c:v>
                </c:pt>
                <c:pt idx="8">
                  <c:v>3.6295576501642057E-2</c:v>
                </c:pt>
                <c:pt idx="9">
                  <c:v>3.0178399358531966E-2</c:v>
                </c:pt>
                <c:pt idx="10">
                  <c:v>2.1039503593612036E-2</c:v>
                </c:pt>
                <c:pt idx="11">
                  <c:v>1.259400347775148E-2</c:v>
                </c:pt>
                <c:pt idx="12">
                  <c:v>6.6034037139998071E-3</c:v>
                </c:pt>
                <c:pt idx="13">
                  <c:v>3.0847927412867735E-3</c:v>
                </c:pt>
                <c:pt idx="14">
                  <c:v>1.3026922814580184E-3</c:v>
                </c:pt>
                <c:pt idx="15">
                  <c:v>5.0353481185787989E-4</c:v>
                </c:pt>
                <c:pt idx="16">
                  <c:v>1.800784918926651E-4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3B-6A4A-83D2-07A93F701212}"/>
            </c:ext>
          </c:extLst>
        </c:ser>
        <c:ser>
          <c:idx val="3"/>
          <c:order val="3"/>
          <c:tx>
            <c:strRef>
              <c:f>PutGkTable!$E$26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PutGkTable!$A$27:$A$43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PutGkTable!$E$27:$E$43</c:f>
              <c:numCache>
                <c:formatCode>0.0000</c:formatCode>
                <c:ptCount val="17"/>
                <c:pt idx="0">
                  <c:v>2.2064431982817096E-5</c:v>
                </c:pt>
                <c:pt idx="1">
                  <c:v>2.0218238688417132E-4</c:v>
                </c:pt>
                <c:pt idx="2">
                  <c:v>1.100075981489598E-3</c:v>
                </c:pt>
                <c:pt idx="3">
                  <c:v>3.9113907532951553E-3</c:v>
                </c:pt>
                <c:pt idx="4">
                  <c:v>9.7884039294375228E-3</c:v>
                </c:pt>
                <c:pt idx="5">
                  <c:v>1.8278954822369093E-2</c:v>
                </c:pt>
                <c:pt idx="6">
                  <c:v>2.6687880405210137E-2</c:v>
                </c:pt>
                <c:pt idx="7">
                  <c:v>3.1635322258043573E-2</c:v>
                </c:pt>
                <c:pt idx="8">
                  <c:v>3.1397549176385632E-2</c:v>
                </c:pt>
                <c:pt idx="9">
                  <c:v>2.6761306237360671E-2</c:v>
                </c:pt>
                <c:pt idx="10">
                  <c:v>2.0006577096239694E-2</c:v>
                </c:pt>
                <c:pt idx="11">
                  <c:v>1.3352820984703351E-2</c:v>
                </c:pt>
                <c:pt idx="12">
                  <c:v>8.0758746095868535E-3</c:v>
                </c:pt>
                <c:pt idx="13">
                  <c:v>4.4825674910614196E-3</c:v>
                </c:pt>
                <c:pt idx="14">
                  <c:v>2.3082701661092642E-3</c:v>
                </c:pt>
                <c:pt idx="15">
                  <c:v>1.1130292486590081E-3</c:v>
                </c:pt>
                <c:pt idx="16">
                  <c:v>5.0660659975445036E-4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3B-6A4A-83D2-07A93F701212}"/>
            </c:ext>
          </c:extLst>
        </c:ser>
        <c:ser>
          <c:idx val="4"/>
          <c:order val="4"/>
          <c:tx>
            <c:strRef>
              <c:f>PutGkTable!$F$26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PutGkTable!$A$27:$A$43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PutGkTable!$F$27:$F$43</c:f>
              <c:numCache>
                <c:formatCode>0.0000</c:formatCode>
                <c:ptCount val="17"/>
                <c:pt idx="0">
                  <c:v>1.0070170546498094E-4</c:v>
                </c:pt>
                <c:pt idx="1">
                  <c:v>5.7611680391896742E-4</c:v>
                </c:pt>
                <c:pt idx="2">
                  <c:v>2.1766539744157011E-3</c:v>
                </c:pt>
                <c:pt idx="3">
                  <c:v>5.8617741810673704E-3</c:v>
                </c:pt>
                <c:pt idx="4">
                  <c:v>1.1937780047109169E-2</c:v>
                </c:pt>
                <c:pt idx="5">
                  <c:v>1.926193999623425E-2</c:v>
                </c:pt>
                <c:pt idx="6">
                  <c:v>2.5556533759819557E-2</c:v>
                </c:pt>
                <c:pt idx="7">
                  <c:v>2.8732281352043247E-2</c:v>
                </c:pt>
                <c:pt idx="8">
                  <c:v>2.8051246304186251E-2</c:v>
                </c:pt>
                <c:pt idx="9">
                  <c:v>2.4267506445708336E-2</c:v>
                </c:pt>
                <c:pt idx="10">
                  <c:v>1.8918485039079759E-2</c:v>
                </c:pt>
                <c:pt idx="11">
                  <c:v>1.3478753756809105E-2</c:v>
                </c:pt>
                <c:pt idx="12">
                  <c:v>8.881243547387634E-3</c:v>
                </c:pt>
                <c:pt idx="13">
                  <c:v>5.4668672380470719E-3</c:v>
                </c:pt>
                <c:pt idx="14">
                  <c:v>3.1709157235184286E-3</c:v>
                </c:pt>
                <c:pt idx="15">
                  <c:v>1.7459186523562449E-3</c:v>
                </c:pt>
                <c:pt idx="16">
                  <c:v>9.1839058774420643E-4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3B-6A4A-83D2-07A93F701212}"/>
            </c:ext>
          </c:extLst>
        </c:ser>
        <c:ser>
          <c:idx val="5"/>
          <c:order val="5"/>
          <c:tx>
            <c:strRef>
              <c:f>PutGkTable!$G$26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PutGkTable!$A$27:$A$43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PutGkTable!$G$27:$G$43</c:f>
              <c:numCache>
                <c:formatCode>0.0000</c:formatCode>
                <c:ptCount val="17"/>
                <c:pt idx="0">
                  <c:v>2.7236380704730455E-4</c:v>
                </c:pt>
                <c:pt idx="1">
                  <c:v>1.1382523244176247E-3</c:v>
                </c:pt>
                <c:pt idx="2">
                  <c:v>3.3722289783455596E-3</c:v>
                </c:pt>
                <c:pt idx="3">
                  <c:v>7.5458967272333394E-3</c:v>
                </c:pt>
                <c:pt idx="4">
                  <c:v>1.3395159432299537E-2</c:v>
                </c:pt>
                <c:pt idx="5">
                  <c:v>1.9607203543702156E-2</c:v>
                </c:pt>
                <c:pt idx="6">
                  <c:v>2.4406774147524606E-2</c:v>
                </c:pt>
                <c:pt idx="7">
                  <c:v>2.6488164394297603E-2</c:v>
                </c:pt>
                <c:pt idx="8">
                  <c:v>2.55783754134996E-2</c:v>
                </c:pt>
                <c:pt idx="9">
                  <c:v>2.2348767206295847E-2</c:v>
                </c:pt>
                <c:pt idx="10">
                  <c:v>1.7916173218194175E-2</c:v>
                </c:pt>
                <c:pt idx="11">
                  <c:v>1.3332678349343829E-2</c:v>
                </c:pt>
                <c:pt idx="12">
                  <c:v>9.3013597568778455E-3</c:v>
                </c:pt>
                <c:pt idx="13">
                  <c:v>6.1342693499021788E-3</c:v>
                </c:pt>
                <c:pt idx="14">
                  <c:v>3.8518254155354287E-3</c:v>
                </c:pt>
                <c:pt idx="15">
                  <c:v>2.3169614647433373E-3</c:v>
                </c:pt>
                <c:pt idx="16">
                  <c:v>1.3421930911671856E-3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F3B-6A4A-83D2-07A93F701212}"/>
            </c:ext>
          </c:extLst>
        </c:ser>
        <c:ser>
          <c:idx val="6"/>
          <c:order val="6"/>
          <c:tx>
            <c:strRef>
              <c:f>PutGkTable!$H$26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PutGkTable!$A$27:$A$43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PutGkTable!$H$27:$H$43</c:f>
              <c:numCache>
                <c:formatCode>0.0000</c:formatCode>
                <c:ptCount val="17"/>
                <c:pt idx="0">
                  <c:v>5.4760481596518001E-4</c:v>
                </c:pt>
                <c:pt idx="1">
                  <c:v>1.8286848240875091E-3</c:v>
                </c:pt>
                <c:pt idx="2">
                  <c:v>4.5539531232495038E-3</c:v>
                </c:pt>
                <c:pt idx="3">
                  <c:v>8.9273180622224217E-3</c:v>
                </c:pt>
                <c:pt idx="4">
                  <c:v>1.4366321033900606E-2</c:v>
                </c:pt>
                <c:pt idx="5">
                  <c:v>1.9615204928584505E-2</c:v>
                </c:pt>
                <c:pt idx="6">
                  <c:v>2.3329031963279279E-2</c:v>
                </c:pt>
                <c:pt idx="7">
                  <c:v>2.4688265009858643E-2</c:v>
                </c:pt>
                <c:pt idx="8">
                  <c:v>2.3654347961507349E-2</c:v>
                </c:pt>
                <c:pt idx="9">
                  <c:v>2.0814619144845083E-2</c:v>
                </c:pt>
                <c:pt idx="10">
                  <c:v>1.7022556226213847E-2</c:v>
                </c:pt>
                <c:pt idx="11">
                  <c:v>1.306782132810054E-2</c:v>
                </c:pt>
                <c:pt idx="12">
                  <c:v>9.496205086649636E-3</c:v>
                </c:pt>
                <c:pt idx="13">
                  <c:v>6.5790096216856199E-3</c:v>
                </c:pt>
                <c:pt idx="14">
                  <c:v>4.3719665660242636E-3</c:v>
                </c:pt>
                <c:pt idx="15">
                  <c:v>2.8013465758306819E-3</c:v>
                </c:pt>
                <c:pt idx="16">
                  <c:v>1.7385470025647579E-3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F3B-6A4A-83D2-07A93F701212}"/>
            </c:ext>
          </c:extLst>
        </c:ser>
        <c:ser>
          <c:idx val="7"/>
          <c:order val="7"/>
          <c:tx>
            <c:strRef>
              <c:f>PutGkTable!$I$26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PutGkTable!$A$27:$A$43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PutGkTable!$I$27:$I$43</c:f>
              <c:numCache>
                <c:formatCode>0.0000</c:formatCode>
                <c:ptCount val="17"/>
                <c:pt idx="0">
                  <c:v>9.1609936771568209E-4</c:v>
                </c:pt>
                <c:pt idx="1">
                  <c:v>2.585538590771336E-3</c:v>
                </c:pt>
                <c:pt idx="2">
                  <c:v>5.6523508060789462E-3</c:v>
                </c:pt>
                <c:pt idx="3">
                  <c:v>1.0033802504733586E-2</c:v>
                </c:pt>
                <c:pt idx="4">
                  <c:v>1.5001364182628535E-2</c:v>
                </c:pt>
                <c:pt idx="5">
                  <c:v>1.944073459830415E-2</c:v>
                </c:pt>
                <c:pt idx="6">
                  <c:v>2.2344641814505347E-2</c:v>
                </c:pt>
                <c:pt idx="7">
                  <c:v>2.3203661883923712E-2</c:v>
                </c:pt>
                <c:pt idx="8">
                  <c:v>2.2101737998123483E-2</c:v>
                </c:pt>
                <c:pt idx="9">
                  <c:v>1.9552017122180458E-2</c:v>
                </c:pt>
                <c:pt idx="10">
                  <c:v>1.6231040004613291E-2</c:v>
                </c:pt>
                <c:pt idx="11">
                  <c:v>1.2754236173725023E-2</c:v>
                </c:pt>
                <c:pt idx="12">
                  <c:v>9.5562993383245896E-3</c:v>
                </c:pt>
                <c:pt idx="13">
                  <c:v>6.8698255498420117E-3</c:v>
                </c:pt>
                <c:pt idx="14">
                  <c:v>4.763448098667143E-3</c:v>
                </c:pt>
                <c:pt idx="15">
                  <c:v>3.2002933770762325E-3</c:v>
                </c:pt>
                <c:pt idx="16">
                  <c:v>2.0914714572423769E-3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F3B-6A4A-83D2-07A93F701212}"/>
            </c:ext>
          </c:extLst>
        </c:ser>
        <c:ser>
          <c:idx val="8"/>
          <c:order val="8"/>
          <c:tx>
            <c:strRef>
              <c:f>PutGkTable!$J$26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PutGkTable!$A$27:$A$43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PutGkTable!$J$27:$J$43</c:f>
              <c:numCache>
                <c:formatCode>0.0000</c:formatCode>
                <c:ptCount val="17"/>
                <c:pt idx="0">
                  <c:v>1.3571389458380515E-3</c:v>
                </c:pt>
                <c:pt idx="1">
                  <c:v>3.3605151026574525E-3</c:v>
                </c:pt>
                <c:pt idx="2">
                  <c:v>6.6387114573764538E-3</c:v>
                </c:pt>
                <c:pt idx="3">
                  <c:v>1.090940622330224E-2</c:v>
                </c:pt>
                <c:pt idx="4">
                  <c:v>1.5403132263133369E-2</c:v>
                </c:pt>
                <c:pt idx="5">
                  <c:v>1.9167361944162006E-2</c:v>
                </c:pt>
                <c:pt idx="6">
                  <c:v>2.1452524339852529E-2</c:v>
                </c:pt>
                <c:pt idx="7">
                  <c:v>2.1952066922098782E-2</c:v>
                </c:pt>
                <c:pt idx="8">
                  <c:v>2.0814289167512139E-2</c:v>
                </c:pt>
                <c:pt idx="9">
                  <c:v>1.8489346824041981E-2</c:v>
                </c:pt>
                <c:pt idx="10">
                  <c:v>1.5528543194402064E-2</c:v>
                </c:pt>
                <c:pt idx="11">
                  <c:v>1.2425602990436633E-2</c:v>
                </c:pt>
                <c:pt idx="12">
                  <c:v>9.5342861100476337E-3</c:v>
                </c:pt>
                <c:pt idx="13">
                  <c:v>7.0538139252298493E-3</c:v>
                </c:pt>
                <c:pt idx="14">
                  <c:v>5.0554177985015743E-3</c:v>
                </c:pt>
                <c:pt idx="15">
                  <c:v>3.5239585209983202E-3</c:v>
                </c:pt>
                <c:pt idx="16">
                  <c:v>2.3974428180687469E-3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F3B-6A4A-83D2-07A93F701212}"/>
            </c:ext>
          </c:extLst>
        </c:ser>
        <c:ser>
          <c:idx val="9"/>
          <c:order val="9"/>
          <c:tx>
            <c:strRef>
              <c:f>PutGkTable!$K$26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PutGkTable!$A$27:$A$43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PutGkTable!$K$27:$K$43</c:f>
              <c:numCache>
                <c:formatCode>0.0000</c:formatCode>
                <c:ptCount val="17"/>
                <c:pt idx="0">
                  <c:v>1.8477969471792112E-3</c:v>
                </c:pt>
                <c:pt idx="1">
                  <c:v>4.1207309613217006E-3</c:v>
                </c:pt>
                <c:pt idx="2">
                  <c:v>7.5067523489369872E-3</c:v>
                </c:pt>
                <c:pt idx="3">
                  <c:v>1.1597225794774839E-2</c:v>
                </c:pt>
                <c:pt idx="4">
                  <c:v>1.5641421674019225E-2</c:v>
                </c:pt>
                <c:pt idx="5">
                  <c:v>1.8841983940109525E-2</c:v>
                </c:pt>
                <c:pt idx="6">
                  <c:v>2.0644622964645625E-2</c:v>
                </c:pt>
                <c:pt idx="7">
                  <c:v>2.087829727981377E-2</c:v>
                </c:pt>
                <c:pt idx="8">
                  <c:v>1.9723966545394447E-2</c:v>
                </c:pt>
                <c:pt idx="9">
                  <c:v>1.7578836087368842E-2</c:v>
                </c:pt>
                <c:pt idx="10">
                  <c:v>1.4901938093572724E-2</c:v>
                </c:pt>
                <c:pt idx="11">
                  <c:v>1.2098525266351955E-2</c:v>
                </c:pt>
                <c:pt idx="12">
                  <c:v>9.46175015661453E-3</c:v>
                </c:pt>
                <c:pt idx="13">
                  <c:v>7.162937779782763E-3</c:v>
                </c:pt>
                <c:pt idx="14">
                  <c:v>5.2712072632879253E-3</c:v>
                </c:pt>
                <c:pt idx="15">
                  <c:v>3.7843224261389784E-3</c:v>
                </c:pt>
                <c:pt idx="16">
                  <c:v>2.6587031941631982E-3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F3B-6A4A-83D2-07A93F701212}"/>
            </c:ext>
          </c:extLst>
        </c:ser>
        <c:ser>
          <c:idx val="10"/>
          <c:order val="10"/>
          <c:tx>
            <c:strRef>
              <c:f>PutGkTable!$L$26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PutGkTable!$A$27:$A$43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PutGkTable!$L$27:$L$43</c:f>
              <c:numCache>
                <c:formatCode>0.0000</c:formatCode>
                <c:ptCount val="17"/>
                <c:pt idx="0">
                  <c:v>6.5999568536451924E-3</c:v>
                </c:pt>
                <c:pt idx="1">
                  <c:v>9.1893387459059377E-3</c:v>
                </c:pt>
                <c:pt idx="2">
                  <c:v>1.1624159945686188E-2</c:v>
                </c:pt>
                <c:pt idx="3">
                  <c:v>1.3601749391133747E-2</c:v>
                </c:pt>
                <c:pt idx="4">
                  <c:v>1.4928999083209112E-2</c:v>
                </c:pt>
                <c:pt idx="5">
                  <c:v>1.5538821309956895E-2</c:v>
                </c:pt>
                <c:pt idx="6">
                  <c:v>1.5471684475151491E-2</c:v>
                </c:pt>
                <c:pt idx="7">
                  <c:v>1.4840061535306965E-2</c:v>
                </c:pt>
                <c:pt idx="8">
                  <c:v>1.3790926583135299E-2</c:v>
                </c:pt>
                <c:pt idx="9">
                  <c:v>1.2475292570391814E-2</c:v>
                </c:pt>
                <c:pt idx="10">
                  <c:v>1.1028059378052653E-2</c:v>
                </c:pt>
                <c:pt idx="11">
                  <c:v>9.5576676672171155E-3</c:v>
                </c:pt>
                <c:pt idx="12">
                  <c:v>8.1432630811320347E-3</c:v>
                </c:pt>
                <c:pt idx="13">
                  <c:v>6.8366861897907437E-3</c:v>
                </c:pt>
                <c:pt idx="14">
                  <c:v>5.6669702285113378E-3</c:v>
                </c:pt>
                <c:pt idx="15">
                  <c:v>4.6456697775222461E-3</c:v>
                </c:pt>
                <c:pt idx="16">
                  <c:v>3.7719785580502146E-3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F3B-6A4A-83D2-07A93F701212}"/>
            </c:ext>
          </c:extLst>
        </c:ser>
        <c:ser>
          <c:idx val="11"/>
          <c:order val="11"/>
          <c:tx>
            <c:strRef>
              <c:f>PutGkTable!$M$26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PutGkTable!$A$27:$A$43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PutGkTable!$M$27:$M$43</c:f>
              <c:numCache>
                <c:formatCode>0.0000</c:formatCode>
                <c:ptCount val="17"/>
                <c:pt idx="0">
                  <c:v>9.1771016304238069E-3</c:v>
                </c:pt>
                <c:pt idx="1">
                  <c:v>1.0920849507992856E-2</c:v>
                </c:pt>
                <c:pt idx="2">
                  <c:v>1.2233016676571298E-2</c:v>
                </c:pt>
                <c:pt idx="3">
                  <c:v>1.304799601147523E-2</c:v>
                </c:pt>
                <c:pt idx="4">
                  <c:v>1.337060343987685E-2</c:v>
                </c:pt>
                <c:pt idx="5">
                  <c:v>1.3255131727717093E-2</c:v>
                </c:pt>
                <c:pt idx="6">
                  <c:v>1.2783505889003444E-2</c:v>
                </c:pt>
                <c:pt idx="7">
                  <c:v>1.2047161650680642E-2</c:v>
                </c:pt>
                <c:pt idx="8">
                  <c:v>1.1134276551152787E-2</c:v>
                </c:pt>
                <c:pt idx="9">
                  <c:v>1.0122157910866229E-2</c:v>
                </c:pt>
                <c:pt idx="10">
                  <c:v>9.0737477955800411E-3</c:v>
                </c:pt>
                <c:pt idx="11">
                  <c:v>8.0369990403848408E-3</c:v>
                </c:pt>
                <c:pt idx="12">
                  <c:v>7.0460051549628569E-3</c:v>
                </c:pt>
                <c:pt idx="13">
                  <c:v>6.1230240136718652E-3</c:v>
                </c:pt>
                <c:pt idx="14">
                  <c:v>5.2808038728821578E-3</c:v>
                </c:pt>
                <c:pt idx="15">
                  <c:v>4.5248469998567702E-3</c:v>
                </c:pt>
                <c:pt idx="16">
                  <c:v>3.8554152638824216E-3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F3B-6A4A-83D2-07A93F701212}"/>
            </c:ext>
          </c:extLst>
        </c:ser>
        <c:ser>
          <c:idx val="12"/>
          <c:order val="12"/>
          <c:tx>
            <c:strRef>
              <c:f>PutGkTable!$N$26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PutGkTable!$A$27:$A$43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PutGkTable!$N$27:$N$43</c:f>
              <c:numCache>
                <c:formatCode>0.0000</c:formatCode>
                <c:ptCount val="17"/>
                <c:pt idx="0">
                  <c:v>1.0313315500073909E-2</c:v>
                </c:pt>
                <c:pt idx="1">
                  <c:v>1.1346268148064857E-2</c:v>
                </c:pt>
                <c:pt idx="2">
                  <c:v>1.1959970353331821E-2</c:v>
                </c:pt>
                <c:pt idx="3">
                  <c:v>1.2179483699411454E-2</c:v>
                </c:pt>
                <c:pt idx="4">
                  <c:v>1.2059289097501428E-2</c:v>
                </c:pt>
                <c:pt idx="5">
                  <c:v>1.1667493720574828E-2</c:v>
                </c:pt>
                <c:pt idx="6">
                  <c:v>1.1074310697636872E-2</c:v>
                </c:pt>
                <c:pt idx="7">
                  <c:v>1.034474514620942E-2</c:v>
                </c:pt>
                <c:pt idx="8">
                  <c:v>9.5346953865131021E-3</c:v>
                </c:pt>
                <c:pt idx="9">
                  <c:v>8.6895009017126795E-3</c:v>
                </c:pt>
                <c:pt idx="10">
                  <c:v>7.8440625463605997E-3</c:v>
                </c:pt>
                <c:pt idx="11">
                  <c:v>7.0238536178371452E-3</c:v>
                </c:pt>
                <c:pt idx="12">
                  <c:v>6.2463417557349936E-3</c:v>
                </c:pt>
                <c:pt idx="13">
                  <c:v>5.5225119093422646E-3</c:v>
                </c:pt>
                <c:pt idx="14">
                  <c:v>4.8583089812879602E-3</c:v>
                </c:pt>
                <c:pt idx="15">
                  <c:v>4.2559078918170063E-3</c:v>
                </c:pt>
                <c:pt idx="16">
                  <c:v>3.7147763845488601E-3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F3B-6A4A-83D2-07A93F701212}"/>
            </c:ext>
          </c:extLst>
        </c:ser>
        <c:ser>
          <c:idx val="13"/>
          <c:order val="13"/>
          <c:tx>
            <c:strRef>
              <c:f>PutGkTable!$O$26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PutGkTable!$A$27:$A$43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PutGkTable!$O$27:$O$43</c:f>
              <c:numCache>
                <c:formatCode>0.0000</c:formatCode>
                <c:ptCount val="17"/>
                <c:pt idx="0">
                  <c:v>1.073708151996329E-2</c:v>
                </c:pt>
                <c:pt idx="1">
                  <c:v>1.1268946181697022E-2</c:v>
                </c:pt>
                <c:pt idx="2">
                  <c:v>1.1453027766679769E-2</c:v>
                </c:pt>
                <c:pt idx="3">
                  <c:v>1.1343634002882845E-2</c:v>
                </c:pt>
                <c:pt idx="4">
                  <c:v>1.1002627628314172E-2</c:v>
                </c:pt>
                <c:pt idx="5">
                  <c:v>1.0490736571836448E-2</c:v>
                </c:pt>
                <c:pt idx="6">
                  <c:v>9.8625457284395677E-3</c:v>
                </c:pt>
                <c:pt idx="7">
                  <c:v>9.1641696406864256E-3</c:v>
                </c:pt>
                <c:pt idx="8">
                  <c:v>8.4326874401380626E-3</c:v>
                </c:pt>
                <c:pt idx="9">
                  <c:v>7.6966219777363509E-3</c:v>
                </c:pt>
                <c:pt idx="10">
                  <c:v>6.9769553505238452E-3</c:v>
                </c:pt>
                <c:pt idx="11">
                  <c:v>6.2883493733863092E-3</c:v>
                </c:pt>
                <c:pt idx="12">
                  <c:v>5.6403714114604637E-3</c:v>
                </c:pt>
                <c:pt idx="13">
                  <c:v>5.0386172534840892E-3</c:v>
                </c:pt>
                <c:pt idx="14">
                  <c:v>4.4856819490140852E-3</c:v>
                </c:pt>
                <c:pt idx="15">
                  <c:v>3.9819655859202495E-3</c:v>
                </c:pt>
                <c:pt idx="16">
                  <c:v>3.5263212434632849E-3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F3B-6A4A-83D2-07A93F701212}"/>
            </c:ext>
          </c:extLst>
        </c:ser>
        <c:bandFmts>
          <c:bandFmt>
            <c:idx val="0"/>
            <c:spPr>
              <a:solidFill>
                <a:schemeClr val="accent2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8000"/>
                </a:schemeClr>
              </a:solidFill>
              <a:ln/>
              <a:effectLst/>
              <a:sp3d/>
            </c:spPr>
          </c:bandFmt>
        </c:bandFmts>
        <c:axId val="1635539072"/>
        <c:axId val="1635939456"/>
        <c:axId val="1598862336"/>
      </c:surface3DChart>
      <c:catAx>
        <c:axId val="1635539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5939456"/>
        <c:crosses val="autoZero"/>
        <c:auto val="1"/>
        <c:lblAlgn val="ctr"/>
        <c:lblOffset val="100"/>
        <c:noMultiLvlLbl val="0"/>
      </c:catAx>
      <c:valAx>
        <c:axId val="1635939456"/>
        <c:scaling>
          <c:orientation val="minMax"/>
          <c:max val="0.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5539072"/>
        <c:crosses val="autoZero"/>
        <c:crossBetween val="midCat"/>
      </c:valAx>
      <c:serAx>
        <c:axId val="15988623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5939456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</a:t>
            </a:r>
            <a:r>
              <a:rPr lang="en-US" baseline="0"/>
              <a:t> - 30%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PutGkTable!$R$26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PutGkTable!$Q$27:$Q$43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PutGkTable!$R$27:$R$43</c:f>
              <c:numCache>
                <c:formatCode>0.0000</c:formatCode>
                <c:ptCount val="17"/>
                <c:pt idx="0">
                  <c:v>4.8371729163416148E-8</c:v>
                </c:pt>
                <c:pt idx="1">
                  <c:v>2.7992835519207707E-6</c:v>
                </c:pt>
                <c:pt idx="2">
                  <c:v>6.35621151820228E-5</c:v>
                </c:pt>
                <c:pt idx="3">
                  <c:v>6.7225819369320016E-4</c:v>
                </c:pt>
                <c:pt idx="4">
                  <c:v>3.7827836741325771E-3</c:v>
                </c:pt>
                <c:pt idx="5">
                  <c:v>1.257501258451457E-2</c:v>
                </c:pt>
                <c:pt idx="6">
                  <c:v>2.6849994493107553E-2</c:v>
                </c:pt>
                <c:pt idx="7">
                  <c:v>3.9397555493342631E-2</c:v>
                </c:pt>
                <c:pt idx="8">
                  <c:v>4.1981596977461712E-2</c:v>
                </c:pt>
                <c:pt idx="9">
                  <c:v>3.4000529020197345E-2</c:v>
                </c:pt>
                <c:pt idx="10">
                  <c:v>2.1736822486638243E-2</c:v>
                </c:pt>
                <c:pt idx="11">
                  <c:v>1.1323389096223548E-2</c:v>
                </c:pt>
                <c:pt idx="12">
                  <c:v>4.9370130845059271E-3</c:v>
                </c:pt>
                <c:pt idx="13">
                  <c:v>1.843087308399202E-3</c:v>
                </c:pt>
                <c:pt idx="14">
                  <c:v>6.0071558236562614E-4</c:v>
                </c:pt>
                <c:pt idx="15">
                  <c:v>1.738160868120766E-4</c:v>
                </c:pt>
                <c:pt idx="16">
                  <c:v>4.5297412812204583E-5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7E-C143-8C44-83EC64C7593E}"/>
            </c:ext>
          </c:extLst>
        </c:ser>
        <c:ser>
          <c:idx val="1"/>
          <c:order val="1"/>
          <c:tx>
            <c:strRef>
              <c:f>PutGkTable!$S$26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PutGkTable!$Q$27:$Q$43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PutGkTable!$S$27:$S$43</c:f>
              <c:numCache>
                <c:formatCode>0.0000</c:formatCode>
                <c:ptCount val="17"/>
                <c:pt idx="0">
                  <c:v>4.8005602280442924E-5</c:v>
                </c:pt>
                <c:pt idx="1">
                  <c:v>3.4238659642402483E-4</c:v>
                </c:pt>
                <c:pt idx="2">
                  <c:v>1.5369719040112578E-3</c:v>
                </c:pt>
                <c:pt idx="3">
                  <c:v>4.7282210181891797E-3</c:v>
                </c:pt>
                <c:pt idx="4">
                  <c:v>1.0647723775453425E-2</c:v>
                </c:pt>
                <c:pt idx="5">
                  <c:v>1.8488250396356997E-2</c:v>
                </c:pt>
                <c:pt idx="6">
                  <c:v>2.5799834788109946E-2</c:v>
                </c:pt>
                <c:pt idx="7">
                  <c:v>2.9920175402764981E-2</c:v>
                </c:pt>
                <c:pt idx="8">
                  <c:v>2.9635625719445866E-2</c:v>
                </c:pt>
                <c:pt idx="9">
                  <c:v>2.5642378317564649E-2</c:v>
                </c:pt>
                <c:pt idx="10">
                  <c:v>1.9748701502398162E-2</c:v>
                </c:pt>
                <c:pt idx="11">
                  <c:v>1.3752363931184041E-2</c:v>
                </c:pt>
                <c:pt idx="12">
                  <c:v>8.7746917760978451E-3</c:v>
                </c:pt>
                <c:pt idx="13">
                  <c:v>5.1878950118337819E-3</c:v>
                </c:pt>
                <c:pt idx="14">
                  <c:v>2.8696661309163176E-3</c:v>
                </c:pt>
                <c:pt idx="15">
                  <c:v>1.4974023713320017E-3</c:v>
                </c:pt>
                <c:pt idx="16">
                  <c:v>7.4234719458286542E-4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7E-C143-8C44-83EC64C7593E}"/>
            </c:ext>
          </c:extLst>
        </c:ser>
        <c:ser>
          <c:idx val="2"/>
          <c:order val="2"/>
          <c:tx>
            <c:strRef>
              <c:f>PutGkTable!$T$26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PutGkTable!$Q$27:$Q$43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PutGkTable!$T$27:$T$43</c:f>
              <c:numCache>
                <c:formatCode>0.0000</c:formatCode>
                <c:ptCount val="17"/>
                <c:pt idx="0">
                  <c:v>4.3836057898992057E-4</c:v>
                </c:pt>
                <c:pt idx="1">
                  <c:v>1.5558922158995399E-3</c:v>
                </c:pt>
                <c:pt idx="2">
                  <c:v>4.068752351690158E-3</c:v>
                </c:pt>
                <c:pt idx="3">
                  <c:v>8.2932442565351958E-3</c:v>
                </c:pt>
                <c:pt idx="4">
                  <c:v>1.3762943653982109E-2</c:v>
                </c:pt>
                <c:pt idx="5">
                  <c:v>1.9245583173855801E-2</c:v>
                </c:pt>
                <c:pt idx="6">
                  <c:v>2.3306691732956811E-2</c:v>
                </c:pt>
                <c:pt idx="7">
                  <c:v>2.4990132225163459E-2</c:v>
                </c:pt>
                <c:pt idx="8">
                  <c:v>2.4156756171112039E-2</c:v>
                </c:pt>
                <c:pt idx="9">
                  <c:v>2.1367578691690262E-2</c:v>
                </c:pt>
                <c:pt idx="10">
                  <c:v>1.7510243021562299E-2</c:v>
                </c:pt>
                <c:pt idx="11">
                  <c:v>1.3432302518922605E-2</c:v>
                </c:pt>
                <c:pt idx="12">
                  <c:v>9.7303217208305603E-3</c:v>
                </c:pt>
                <c:pt idx="13">
                  <c:v>6.705724926415333E-3</c:v>
                </c:pt>
                <c:pt idx="14">
                  <c:v>4.4244401962093699E-3</c:v>
                </c:pt>
                <c:pt idx="15">
                  <c:v>2.8101370337925164E-3</c:v>
                </c:pt>
                <c:pt idx="16">
                  <c:v>1.7261999326371306E-3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7E-C143-8C44-83EC64C7593E}"/>
            </c:ext>
          </c:extLst>
        </c:ser>
        <c:ser>
          <c:idx val="3"/>
          <c:order val="3"/>
          <c:tx>
            <c:strRef>
              <c:f>PutGkTable!$U$26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PutGkTable!$Q$27:$Q$43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PutGkTable!$U$27:$U$43</c:f>
              <c:numCache>
                <c:formatCode>0.0000</c:formatCode>
                <c:ptCount val="17"/>
                <c:pt idx="0">
                  <c:v>1.2684980236185477E-3</c:v>
                </c:pt>
                <c:pt idx="1">
                  <c:v>3.1761382873591237E-3</c:v>
                </c:pt>
                <c:pt idx="2">
                  <c:v>6.3393895489089096E-3</c:v>
                </c:pt>
                <c:pt idx="3">
                  <c:v>1.0517834159617732E-2</c:v>
                </c:pt>
                <c:pt idx="4">
                  <c:v>1.4983978051139484E-2</c:v>
                </c:pt>
                <c:pt idx="5">
                  <c:v>1.8803436356655608E-2</c:v>
                </c:pt>
                <c:pt idx="6">
                  <c:v>2.1212946857819121E-2</c:v>
                </c:pt>
                <c:pt idx="7">
                  <c:v>2.187052870331763E-2</c:v>
                </c:pt>
                <c:pt idx="8">
                  <c:v>2.0885236208200961E-2</c:v>
                </c:pt>
                <c:pt idx="9">
                  <c:v>1.8678514542129085E-2</c:v>
                </c:pt>
                <c:pt idx="10">
                  <c:v>1.5789104753624824E-2</c:v>
                </c:pt>
                <c:pt idx="11">
                  <c:v>1.2712341075815795E-2</c:v>
                </c:pt>
                <c:pt idx="12">
                  <c:v>9.8121320272589446E-3</c:v>
                </c:pt>
                <c:pt idx="13">
                  <c:v>7.3006500382870026E-3</c:v>
                </c:pt>
                <c:pt idx="14">
                  <c:v>5.2609033868653296E-3</c:v>
                </c:pt>
                <c:pt idx="15">
                  <c:v>3.686468334203065E-3</c:v>
                </c:pt>
                <c:pt idx="16">
                  <c:v>2.5207026945741873E-3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7E-C143-8C44-83EC64C7593E}"/>
            </c:ext>
          </c:extLst>
        </c:ser>
        <c:ser>
          <c:idx val="4"/>
          <c:order val="4"/>
          <c:tx>
            <c:strRef>
              <c:f>PutGkTable!$V$26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PutGkTable!$Q$27:$Q$43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PutGkTable!$V$27:$V$43</c:f>
              <c:numCache>
                <c:formatCode>0.0000</c:formatCode>
                <c:ptCount val="17"/>
                <c:pt idx="0">
                  <c:v>2.3382957957450976E-3</c:v>
                </c:pt>
                <c:pt idx="1">
                  <c:v>4.7488233231175476E-3</c:v>
                </c:pt>
                <c:pt idx="2">
                  <c:v>8.059977346624966E-3</c:v>
                </c:pt>
                <c:pt idx="3">
                  <c:v>1.1819037433225307E-2</c:v>
                </c:pt>
                <c:pt idx="4">
                  <c:v>1.5364246918448026E-2</c:v>
                </c:pt>
                <c:pt idx="5">
                  <c:v>1.8068228988525177E-2</c:v>
                </c:pt>
                <c:pt idx="6">
                  <c:v>1.9534751872486739E-2</c:v>
                </c:pt>
                <c:pt idx="7">
                  <c:v>1.9671994336736279E-2</c:v>
                </c:pt>
                <c:pt idx="8">
                  <c:v>1.8648956198551999E-2</c:v>
                </c:pt>
                <c:pt idx="9">
                  <c:v>1.6789169768697553E-2</c:v>
                </c:pt>
                <c:pt idx="10">
                  <c:v>1.4458770943216178E-2</c:v>
                </c:pt>
                <c:pt idx="11">
                  <c:v>1.1984095247208171E-2</c:v>
                </c:pt>
                <c:pt idx="12">
                  <c:v>9.6090347795308416E-3</c:v>
                </c:pt>
                <c:pt idx="13">
                  <c:v>7.4859286012427398E-3</c:v>
                </c:pt>
                <c:pt idx="14">
                  <c:v>5.6874317310270685E-3</c:v>
                </c:pt>
                <c:pt idx="15">
                  <c:v>4.2274159872265245E-3</c:v>
                </c:pt>
                <c:pt idx="16">
                  <c:v>3.08258184226789E-3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7E-C143-8C44-83EC64C7593E}"/>
            </c:ext>
          </c:extLst>
        </c:ser>
        <c:ser>
          <c:idx val="5"/>
          <c:order val="5"/>
          <c:tx>
            <c:strRef>
              <c:f>PutGkTable!$W$26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PutGkTable!$Q$27:$Q$43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PutGkTable!$W$27:$W$43</c:f>
              <c:numCache>
                <c:formatCode>0.0000</c:formatCode>
                <c:ptCount val="17"/>
                <c:pt idx="0">
                  <c:v>3.4549517028754709E-3</c:v>
                </c:pt>
                <c:pt idx="1">
                  <c:v>6.1025757786037117E-3</c:v>
                </c:pt>
                <c:pt idx="2">
                  <c:v>9.296671919160799E-3</c:v>
                </c:pt>
                <c:pt idx="3">
                  <c:v>1.255515456723554E-2</c:v>
                </c:pt>
                <c:pt idx="4">
                  <c:v>1.5354539900425004E-2</c:v>
                </c:pt>
                <c:pt idx="5">
                  <c:v>1.7291682643531966E-2</c:v>
                </c:pt>
                <c:pt idx="6">
                  <c:v>1.8172524320191754E-2</c:v>
                </c:pt>
                <c:pt idx="7">
                  <c:v>1.8015399304984771E-2</c:v>
                </c:pt>
                <c:pt idx="8">
                  <c:v>1.6995504070964784E-2</c:v>
                </c:pt>
                <c:pt idx="9">
                  <c:v>1.5368208376167368E-2</c:v>
                </c:pt>
                <c:pt idx="10">
                  <c:v>1.3400367884206782E-2</c:v>
                </c:pt>
                <c:pt idx="11">
                  <c:v>1.1323860006353008E-2</c:v>
                </c:pt>
                <c:pt idx="12">
                  <c:v>9.3130824817801022E-3</c:v>
                </c:pt>
                <c:pt idx="13">
                  <c:v>7.4811990466972442E-3</c:v>
                </c:pt>
                <c:pt idx="14">
                  <c:v>5.8878427994134399E-3</c:v>
                </c:pt>
                <c:pt idx="15">
                  <c:v>4.5518443181372789E-3</c:v>
                </c:pt>
                <c:pt idx="16">
                  <c:v>3.4645436604697206E-3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7E-C143-8C44-83EC64C7593E}"/>
            </c:ext>
          </c:extLst>
        </c:ser>
        <c:ser>
          <c:idx val="6"/>
          <c:order val="6"/>
          <c:tx>
            <c:strRef>
              <c:f>PutGkTable!$X$26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PutGkTable!$Q$27:$Q$43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PutGkTable!$X$27:$X$43</c:f>
              <c:numCache>
                <c:formatCode>0.0000</c:formatCode>
                <c:ptCount val="17"/>
                <c:pt idx="0">
                  <c:v>4.5096296845151063E-3</c:v>
                </c:pt>
                <c:pt idx="1">
                  <c:v>7.2096701015754916E-3</c:v>
                </c:pt>
                <c:pt idx="2">
                  <c:v>1.0167303762997194E-2</c:v>
                </c:pt>
                <c:pt idx="3">
                  <c:v>1.2946786325768763E-2</c:v>
                </c:pt>
                <c:pt idx="4">
                  <c:v>1.5157858484034765E-2</c:v>
                </c:pt>
                <c:pt idx="5">
                  <c:v>1.655034187397918E-2</c:v>
                </c:pt>
                <c:pt idx="6">
                  <c:v>1.7044687194816176E-2</c:v>
                </c:pt>
                <c:pt idx="7">
                  <c:v>1.6709061466729097E-2</c:v>
                </c:pt>
                <c:pt idx="8">
                  <c:v>1.5708358311106813E-2</c:v>
                </c:pt>
                <c:pt idx="9">
                  <c:v>1.4249101786859474E-2</c:v>
                </c:pt>
                <c:pt idx="10">
                  <c:v>1.2535218696786308E-2</c:v>
                </c:pt>
                <c:pt idx="11">
                  <c:v>1.0740202466580619E-2</c:v>
                </c:pt>
                <c:pt idx="12">
                  <c:v>8.9946864621100794E-3</c:v>
                </c:pt>
                <c:pt idx="13">
                  <c:v>7.3853698760191306E-3</c:v>
                </c:pt>
                <c:pt idx="14">
                  <c:v>5.9606848610583791E-3</c:v>
                </c:pt>
                <c:pt idx="15">
                  <c:v>4.7393843504899558E-3</c:v>
                </c:pt>
                <c:pt idx="16">
                  <c:v>3.7194597267081689E-3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7E-C143-8C44-83EC64C7593E}"/>
            </c:ext>
          </c:extLst>
        </c:ser>
        <c:ser>
          <c:idx val="7"/>
          <c:order val="7"/>
          <c:tx>
            <c:strRef>
              <c:f>PutGkTable!$Y$26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PutGkTable!$Q$27:$Q$43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PutGkTable!$Y$27:$Y$43</c:f>
              <c:numCache>
                <c:formatCode>0.0000</c:formatCode>
                <c:ptCount val="17"/>
                <c:pt idx="0">
                  <c:v>5.4555892387964195E-3</c:v>
                </c:pt>
                <c:pt idx="1">
                  <c:v>8.0936358441935641E-3</c:v>
                </c:pt>
                <c:pt idx="2">
                  <c:v>1.0771870609204374E-2</c:v>
                </c:pt>
                <c:pt idx="3">
                  <c:v>1.3124825156577537E-2</c:v>
                </c:pt>
                <c:pt idx="4">
                  <c:v>1.4871858249720593E-2</c:v>
                </c:pt>
                <c:pt idx="5">
                  <c:v>1.5865759347980533E-2</c:v>
                </c:pt>
                <c:pt idx="6">
                  <c:v>1.6093332217008621E-2</c:v>
                </c:pt>
                <c:pt idx="7">
                  <c:v>1.5644431582997612E-2</c:v>
                </c:pt>
                <c:pt idx="8">
                  <c:v>1.4669150678135829E-2</c:v>
                </c:pt>
                <c:pt idx="9">
                  <c:v>1.3337894677823488E-2</c:v>
                </c:pt>
                <c:pt idx="10">
                  <c:v>1.1811904293602779E-2</c:v>
                </c:pt>
                <c:pt idx="11">
                  <c:v>1.0225923975723967E-2</c:v>
                </c:pt>
                <c:pt idx="12">
                  <c:v>8.6812461969082502E-3</c:v>
                </c:pt>
                <c:pt idx="13">
                  <c:v>7.2460218594597317E-3</c:v>
                </c:pt>
                <c:pt idx="14">
                  <c:v>5.9597458042224306E-3</c:v>
                </c:pt>
                <c:pt idx="15">
                  <c:v>4.8394882133299885E-3</c:v>
                </c:pt>
                <c:pt idx="16">
                  <c:v>3.8862598492258598E-3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7E-C143-8C44-83EC64C7593E}"/>
            </c:ext>
          </c:extLst>
        </c:ser>
        <c:ser>
          <c:idx val="8"/>
          <c:order val="8"/>
          <c:tx>
            <c:strRef>
              <c:f>PutGkTable!$Z$26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PutGkTable!$Q$27:$Q$43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PutGkTable!$Z$27:$Z$43</c:f>
              <c:numCache>
                <c:formatCode>0.0000</c:formatCode>
                <c:ptCount val="17"/>
                <c:pt idx="0">
                  <c:v>6.2802722099484769E-3</c:v>
                </c:pt>
                <c:pt idx="1">
                  <c:v>8.7907122230331206E-3</c:v>
                </c:pt>
                <c:pt idx="2">
                  <c:v>1.1184482954854207E-2</c:v>
                </c:pt>
                <c:pt idx="3">
                  <c:v>1.3168033532704496E-2</c:v>
                </c:pt>
                <c:pt idx="4">
                  <c:v>1.4546046008012571E-2</c:v>
                </c:pt>
                <c:pt idx="5">
                  <c:v>1.524072549459882E-2</c:v>
                </c:pt>
                <c:pt idx="6">
                  <c:v>1.5277763824001957E-2</c:v>
                </c:pt>
                <c:pt idx="7">
                  <c:v>1.4754868041798959E-2</c:v>
                </c:pt>
                <c:pt idx="8">
                  <c:v>1.3806984978133097E-2</c:v>
                </c:pt>
                <c:pt idx="9">
                  <c:v>1.2577052515957669E-2</c:v>
                </c:pt>
                <c:pt idx="10">
                  <c:v>1.1195871235951031E-2</c:v>
                </c:pt>
                <c:pt idx="11">
                  <c:v>9.7710707636894829E-3</c:v>
                </c:pt>
                <c:pt idx="12">
                  <c:v>8.3833035199653554E-3</c:v>
                </c:pt>
                <c:pt idx="13">
                  <c:v>7.0872762215001793E-3</c:v>
                </c:pt>
                <c:pt idx="14">
                  <c:v>5.91545955769436E-3</c:v>
                </c:pt>
                <c:pt idx="15">
                  <c:v>4.882853467973125E-3</c:v>
                </c:pt>
                <c:pt idx="16">
                  <c:v>3.991756222193033E-3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7E-C143-8C44-83EC64C7593E}"/>
            </c:ext>
          </c:extLst>
        </c:ser>
        <c:ser>
          <c:idx val="9"/>
          <c:order val="9"/>
          <c:tx>
            <c:strRef>
              <c:f>PutGkTable!$AA$26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PutGkTable!$Q$27:$Q$43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PutGkTable!$AA$27:$AA$43</c:f>
              <c:numCache>
                <c:formatCode>0.0000</c:formatCode>
                <c:ptCount val="17"/>
                <c:pt idx="0">
                  <c:v>6.9875383385906891E-3</c:v>
                </c:pt>
                <c:pt idx="1">
                  <c:v>9.336082432746199E-3</c:v>
                </c:pt>
                <c:pt idx="2">
                  <c:v>1.1458084787714838E-2</c:v>
                </c:pt>
                <c:pt idx="3">
                  <c:v>1.3124994619891273E-2</c:v>
                </c:pt>
                <c:pt idx="4">
                  <c:v>1.4206432265572271E-2</c:v>
                </c:pt>
                <c:pt idx="5">
                  <c:v>1.4671609392337213E-2</c:v>
                </c:pt>
                <c:pt idx="6">
                  <c:v>1.4568912566910484E-2</c:v>
                </c:pt>
                <c:pt idx="7">
                  <c:v>1.3996906305568678E-2</c:v>
                </c:pt>
                <c:pt idx="8">
                  <c:v>1.307646184852442E-2</c:v>
                </c:pt>
                <c:pt idx="9">
                  <c:v>1.1929120878360653E-2</c:v>
                </c:pt>
                <c:pt idx="10">
                  <c:v>1.0663126660408759E-2</c:v>
                </c:pt>
                <c:pt idx="11">
                  <c:v>9.366344559542529E-3</c:v>
                </c:pt>
                <c:pt idx="12">
                  <c:v>8.1043460458643246E-3</c:v>
                </c:pt>
                <c:pt idx="13">
                  <c:v>6.921806072432455E-3</c:v>
                </c:pt>
                <c:pt idx="14">
                  <c:v>5.8456577452828994E-3</c:v>
                </c:pt>
                <c:pt idx="15">
                  <c:v>4.8888801197403868E-3</c:v>
                </c:pt>
                <c:pt idx="16">
                  <c:v>4.054208161540623E-3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7E-C143-8C44-83EC64C7593E}"/>
            </c:ext>
          </c:extLst>
        </c:ser>
        <c:ser>
          <c:idx val="10"/>
          <c:order val="10"/>
          <c:tx>
            <c:strRef>
              <c:f>PutGkTable!$AB$26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PutGkTable!$Q$27:$Q$43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PutGkTable!$AB$27:$AB$43</c:f>
              <c:numCache>
                <c:formatCode>0.0000</c:formatCode>
                <c:ptCount val="17"/>
                <c:pt idx="0">
                  <c:v>1.0030097674802636E-2</c:v>
                </c:pt>
                <c:pt idx="1">
                  <c:v>1.0869825982032191E-2</c:v>
                </c:pt>
                <c:pt idx="2">
                  <c:v>1.1344091423781004E-2</c:v>
                </c:pt>
                <c:pt idx="3">
                  <c:v>1.1484873818246508E-2</c:v>
                </c:pt>
                <c:pt idx="4">
                  <c:v>1.1343327721716878E-2</c:v>
                </c:pt>
                <c:pt idx="5">
                  <c:v>1.0978106060139997E-2</c:v>
                </c:pt>
                <c:pt idx="6">
                  <c:v>1.0447330574272131E-2</c:v>
                </c:pt>
                <c:pt idx="7">
                  <c:v>9.8037554378220936E-3</c:v>
                </c:pt>
                <c:pt idx="8">
                  <c:v>9.092361475410371E-3</c:v>
                </c:pt>
                <c:pt idx="9">
                  <c:v>8.3496184427614955E-3</c:v>
                </c:pt>
                <c:pt idx="10">
                  <c:v>7.603783522576131E-3</c:v>
                </c:pt>
                <c:pt idx="11">
                  <c:v>6.8757669831697619E-3</c:v>
                </c:pt>
                <c:pt idx="12">
                  <c:v>6.1802445927498393E-3</c:v>
                </c:pt>
                <c:pt idx="13">
                  <c:v>5.5268144202571517E-3</c:v>
                </c:pt>
                <c:pt idx="14">
                  <c:v>4.9210815203458427E-3</c:v>
                </c:pt>
                <c:pt idx="15">
                  <c:v>4.3656123603575455E-3</c:v>
                </c:pt>
                <c:pt idx="16">
                  <c:v>3.860738073303574E-3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7E-C143-8C44-83EC64C7593E}"/>
            </c:ext>
          </c:extLst>
        </c:ser>
        <c:ser>
          <c:idx val="11"/>
          <c:order val="11"/>
          <c:tx>
            <c:strRef>
              <c:f>PutGkTable!$AC$26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PutGkTable!$Q$27:$Q$43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PutGkTable!$AC$27:$AC$43</c:f>
              <c:numCache>
                <c:formatCode>0.0000</c:formatCode>
                <c:ptCount val="17"/>
                <c:pt idx="0">
                  <c:v>1.0253980286650038E-2</c:v>
                </c:pt>
                <c:pt idx="1">
                  <c:v>1.0363399155444453E-2</c:v>
                </c:pt>
                <c:pt idx="2">
                  <c:v>1.0246666696571996E-2</c:v>
                </c:pt>
                <c:pt idx="3">
                  <c:v>9.9554811818721185E-3</c:v>
                </c:pt>
                <c:pt idx="4">
                  <c:v>9.5371649510801199E-3</c:v>
                </c:pt>
                <c:pt idx="5">
                  <c:v>9.0324238181826739E-3</c:v>
                </c:pt>
                <c:pt idx="6">
                  <c:v>8.4747143075524257E-3</c:v>
                </c:pt>
                <c:pt idx="7">
                  <c:v>7.8905317151781781E-3</c:v>
                </c:pt>
                <c:pt idx="8">
                  <c:v>7.300162098009451E-3</c:v>
                </c:pt>
                <c:pt idx="9">
                  <c:v>6.7186139847336453E-3</c:v>
                </c:pt>
                <c:pt idx="10">
                  <c:v>6.1565649557768741E-3</c:v>
                </c:pt>
                <c:pt idx="11">
                  <c:v>5.6212360131347814E-3</c:v>
                </c:pt>
                <c:pt idx="12">
                  <c:v>5.1171548019673793E-3</c:v>
                </c:pt>
                <c:pt idx="13">
                  <c:v>4.6467969605679983E-3</c:v>
                </c:pt>
                <c:pt idx="14">
                  <c:v>4.2111102732515686E-3</c:v>
                </c:pt>
                <c:pt idx="15">
                  <c:v>3.8099337821083396E-3</c:v>
                </c:pt>
                <c:pt idx="16">
                  <c:v>3.4423268142812495E-3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7E-C143-8C44-83EC64C7593E}"/>
            </c:ext>
          </c:extLst>
        </c:ser>
        <c:ser>
          <c:idx val="12"/>
          <c:order val="12"/>
          <c:tx>
            <c:strRef>
              <c:f>PutGkTable!$AD$26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PutGkTable!$Q$27:$Q$43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PutGkTable!$AD$27:$AD$43</c:f>
              <c:numCache>
                <c:formatCode>0.0000</c:formatCode>
                <c:ptCount val="17"/>
                <c:pt idx="0">
                  <c:v>9.8534950455954461E-3</c:v>
                </c:pt>
                <c:pt idx="1">
                  <c:v>9.6171460019162294E-3</c:v>
                </c:pt>
                <c:pt idx="2">
                  <c:v>9.255358000051405E-3</c:v>
                </c:pt>
                <c:pt idx="3">
                  <c:v>8.8091587418353077E-3</c:v>
                </c:pt>
                <c:pt idx="4">
                  <c:v>8.3111834375704362E-3</c:v>
                </c:pt>
                <c:pt idx="5">
                  <c:v>7.7865829825335148E-3</c:v>
                </c:pt>
                <c:pt idx="6">
                  <c:v>7.2541928646975579E-3</c:v>
                </c:pt>
                <c:pt idx="7">
                  <c:v>6.7277111439822531E-3</c:v>
                </c:pt>
                <c:pt idx="8">
                  <c:v>6.2167667801221425E-3</c:v>
                </c:pt>
                <c:pt idx="9">
                  <c:v>5.7278335105389279E-3</c:v>
                </c:pt>
                <c:pt idx="10">
                  <c:v>5.2649832426331956E-3</c:v>
                </c:pt>
                <c:pt idx="11">
                  <c:v>4.8304914892427558E-3</c:v>
                </c:pt>
                <c:pt idx="12">
                  <c:v>4.4253147744497462E-3</c:v>
                </c:pt>
                <c:pt idx="13">
                  <c:v>4.0494614630788676E-3</c:v>
                </c:pt>
                <c:pt idx="14">
                  <c:v>3.7022761379487913E-3</c:v>
                </c:pt>
                <c:pt idx="15">
                  <c:v>3.3826551294348179E-3</c:v>
                </c:pt>
                <c:pt idx="16">
                  <c:v>3.089207972330324E-3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27E-C143-8C44-83EC64C7593E}"/>
            </c:ext>
          </c:extLst>
        </c:ser>
        <c:ser>
          <c:idx val="13"/>
          <c:order val="13"/>
          <c:tx>
            <c:strRef>
              <c:f>PutGkTable!$AE$26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PutGkTable!$Q$27:$Q$43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PutGkTable!$AE$27:$AE$43</c:f>
              <c:numCache>
                <c:formatCode>0.0000</c:formatCode>
                <c:ptCount val="17"/>
                <c:pt idx="0">
                  <c:v>9.3178601442685666E-3</c:v>
                </c:pt>
                <c:pt idx="1">
                  <c:v>8.9059405124312912E-3</c:v>
                </c:pt>
                <c:pt idx="2">
                  <c:v>8.4330908674948215E-3</c:v>
                </c:pt>
                <c:pt idx="3">
                  <c:v>7.9280236081079453E-3</c:v>
                </c:pt>
                <c:pt idx="4">
                  <c:v>7.4116721863495584E-3</c:v>
                </c:pt>
                <c:pt idx="5">
                  <c:v>6.8988971767481675E-3</c:v>
                </c:pt>
                <c:pt idx="6">
                  <c:v>6.3999223842824441E-3</c:v>
                </c:pt>
                <c:pt idx="7">
                  <c:v>5.9214922774464777E-3</c:v>
                </c:pt>
                <c:pt idx="8">
                  <c:v>5.4677797056007175E-3</c:v>
                </c:pt>
                <c:pt idx="9">
                  <c:v>5.0410846970877594E-3</c:v>
                </c:pt>
                <c:pt idx="10">
                  <c:v>4.6423651796184996E-3</c:v>
                </c:pt>
                <c:pt idx="11">
                  <c:v>4.2716357498546308E-3</c:v>
                </c:pt>
                <c:pt idx="12">
                  <c:v>3.928264530213923E-3</c:v>
                </c:pt>
                <c:pt idx="13">
                  <c:v>3.6111922111984628E-3</c:v>
                </c:pt>
                <c:pt idx="14">
                  <c:v>3.3190921842812552E-3</c:v>
                </c:pt>
                <c:pt idx="15">
                  <c:v>3.0504863785204561E-3</c:v>
                </c:pt>
                <c:pt idx="16">
                  <c:v>2.8038279821686937E-3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27E-C143-8C44-83EC64C7593E}"/>
            </c:ext>
          </c:extLst>
        </c:ser>
        <c:bandFmts>
          <c:bandFmt>
            <c:idx val="0"/>
            <c:spPr>
              <a:solidFill>
                <a:schemeClr val="accent2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8000"/>
                </a:schemeClr>
              </a:solidFill>
              <a:ln/>
              <a:effectLst/>
              <a:sp3d/>
            </c:spPr>
          </c:bandFmt>
        </c:bandFmts>
        <c:axId val="1642040832"/>
        <c:axId val="1642043072"/>
        <c:axId val="1598851584"/>
      </c:surface3DChart>
      <c:catAx>
        <c:axId val="1642040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043072"/>
        <c:crosses val="autoZero"/>
        <c:auto val="1"/>
        <c:lblAlgn val="ctr"/>
        <c:lblOffset val="100"/>
        <c:noMultiLvlLbl val="0"/>
      </c:catAx>
      <c:valAx>
        <c:axId val="1642043072"/>
        <c:scaling>
          <c:orientation val="minMax"/>
          <c:max val="0.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040832"/>
        <c:crosses val="autoZero"/>
        <c:crossBetween val="midCat"/>
      </c:valAx>
      <c:serAx>
        <c:axId val="159885158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04307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</a:t>
            </a:r>
            <a:r>
              <a:rPr lang="en-US" baseline="0"/>
              <a:t> - 10%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PutGkTable!$AH$26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PutGkTable!$AG$27:$AG$43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PutGkTable!$AH$27:$AH$43</c:f>
              <c:numCache>
                <c:formatCode>0.0000</c:formatCode>
                <c:ptCount val="17"/>
                <c:pt idx="0">
                  <c:v>9.8181668070309807E-58</c:v>
                </c:pt>
                <c:pt idx="1">
                  <c:v>1.8675541334492263E-41</c:v>
                </c:pt>
                <c:pt idx="2">
                  <c:v>7.2920970083606943E-29</c:v>
                </c:pt>
                <c:pt idx="3">
                  <c:v>2.7634460319906593E-19</c:v>
                </c:pt>
                <c:pt idx="4">
                  <c:v>3.3905822708430672E-12</c:v>
                </c:pt>
                <c:pt idx="5">
                  <c:v>3.4793158250122273E-7</c:v>
                </c:pt>
                <c:pt idx="6">
                  <c:v>6.3723381042931433E-4</c:v>
                </c:pt>
                <c:pt idx="7">
                  <c:v>3.8441261874572016E-2</c:v>
                </c:pt>
                <c:pt idx="8">
                  <c:v>0.12601477970020517</c:v>
                </c:pt>
                <c:pt idx="9">
                  <c:v>3.3926069444668285E-2</c:v>
                </c:pt>
                <c:pt idx="10">
                  <c:v>1.0577125055269184E-3</c:v>
                </c:pt>
                <c:pt idx="11">
                  <c:v>5.0939285700327113E-6</c:v>
                </c:pt>
                <c:pt idx="12">
                  <c:v>4.8333065983836836E-9</c:v>
                </c:pt>
                <c:pt idx="13">
                  <c:v>1.1110259985098477E-12</c:v>
                </c:pt>
                <c:pt idx="14">
                  <c:v>7.382971539826821E-17</c:v>
                </c:pt>
                <c:pt idx="15">
                  <c:v>1.6508431991277696E-21</c:v>
                </c:pt>
                <c:pt idx="16">
                  <c:v>1.4160803501951788E-26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2D-EC44-A5DC-C88C335FD9EF}"/>
            </c:ext>
          </c:extLst>
        </c:ser>
        <c:ser>
          <c:idx val="1"/>
          <c:order val="1"/>
          <c:tx>
            <c:strRef>
              <c:f>PutGkTable!$AI$26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PutGkTable!$AG$27:$AG$43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PutGkTable!$AI$27:$AI$43</c:f>
              <c:numCache>
                <c:formatCode>0.0000</c:formatCode>
                <c:ptCount val="17"/>
                <c:pt idx="0">
                  <c:v>1.4877614568192042E-29</c:v>
                </c:pt>
                <c:pt idx="1">
                  <c:v>1.8565304082520432E-21</c:v>
                </c:pt>
                <c:pt idx="2">
                  <c:v>3.3439581371571192E-15</c:v>
                </c:pt>
                <c:pt idx="3">
                  <c:v>1.8884525527510622E-10</c:v>
                </c:pt>
                <c:pt idx="4">
                  <c:v>6.1021351588952594E-7</c:v>
                </c:pt>
                <c:pt idx="5">
                  <c:v>1.8120927891742718E-4</c:v>
                </c:pt>
                <c:pt idx="6">
                  <c:v>7.2202698909513219E-3</c:v>
                </c:pt>
                <c:pt idx="7">
                  <c:v>5.2414503254015782E-2</c:v>
                </c:pt>
                <c:pt idx="8">
                  <c:v>8.9005717478522636E-2</c:v>
                </c:pt>
                <c:pt idx="9">
                  <c:v>4.3449753071981678E-2</c:v>
                </c:pt>
                <c:pt idx="10">
                  <c:v>7.2385257929532482E-3</c:v>
                </c:pt>
                <c:pt idx="11">
                  <c:v>4.751834300064429E-4</c:v>
                </c:pt>
                <c:pt idx="12">
                  <c:v>1.3878827508435486E-5</c:v>
                </c:pt>
                <c:pt idx="13">
                  <c:v>1.9995476488667823E-7</c:v>
                </c:pt>
                <c:pt idx="14">
                  <c:v>1.5520066218442016E-9</c:v>
                </c:pt>
                <c:pt idx="15">
                  <c:v>7.0007225305255781E-12</c:v>
                </c:pt>
                <c:pt idx="16">
                  <c:v>1.9592554647687471E-14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2D-EC44-A5DC-C88C335FD9EF}"/>
            </c:ext>
          </c:extLst>
        </c:ser>
        <c:ser>
          <c:idx val="2"/>
          <c:order val="2"/>
          <c:tx>
            <c:strRef>
              <c:f>PutGkTable!$AJ$26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PutGkTable!$AG$27:$AG$43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PutGkTable!$AJ$27:$AJ$43</c:f>
              <c:numCache>
                <c:formatCode>0.0000</c:formatCode>
                <c:ptCount val="17"/>
                <c:pt idx="0">
                  <c:v>3.37158866065404E-20</c:v>
                </c:pt>
                <c:pt idx="1">
                  <c:v>7.8761142092032751E-15</c:v>
                </c:pt>
                <c:pt idx="2">
                  <c:v>1.0961347486332762E-10</c:v>
                </c:pt>
                <c:pt idx="3">
                  <c:v>1.523320979336045E-7</c:v>
                </c:pt>
                <c:pt idx="4">
                  <c:v>3.155135271549592E-5</c:v>
                </c:pt>
                <c:pt idx="5">
                  <c:v>1.3351896003566924E-3</c:v>
                </c:pt>
                <c:pt idx="6">
                  <c:v>1.4851555899595281E-2</c:v>
                </c:pt>
                <c:pt idx="7">
                  <c:v>5.3227540948401576E-2</c:v>
                </c:pt>
                <c:pt idx="8">
                  <c:v>7.2591153003284115E-2</c:v>
                </c:pt>
                <c:pt idx="9">
                  <c:v>4.3212117686085308E-2</c:v>
                </c:pt>
                <c:pt idx="10">
                  <c:v>1.2585716288856257E-2</c:v>
                </c:pt>
                <c:pt idx="11">
                  <c:v>1.9736239926009679E-3</c:v>
                </c:pt>
                <c:pt idx="12">
                  <c:v>1.8065746203269184E-4</c:v>
                </c:pt>
                <c:pt idx="13">
                  <c:v>1.0338747257813659E-5</c:v>
                </c:pt>
                <c:pt idx="14">
                  <c:v>3.9226661156427301E-7</c:v>
                </c:pt>
                <c:pt idx="15">
                  <c:v>1.0377407251949232E-8</c:v>
                </c:pt>
                <c:pt idx="16">
                  <c:v>1.9993666289338756E-10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2D-EC44-A5DC-C88C335FD9EF}"/>
            </c:ext>
          </c:extLst>
        </c:ser>
        <c:ser>
          <c:idx val="3"/>
          <c:order val="3"/>
          <c:tx>
            <c:strRef>
              <c:f>PutGkTable!$AK$26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PutGkTable!$AG$27:$AG$43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PutGkTable!$AK$27:$AK$43</c:f>
              <c:numCache>
                <c:formatCode>0.0000</c:formatCode>
                <c:ptCount val="17"/>
                <c:pt idx="0">
                  <c:v>1.5374265651823466E-15</c:v>
                </c:pt>
                <c:pt idx="1">
                  <c:v>1.553910960400279E-11</c:v>
                </c:pt>
                <c:pt idx="2">
                  <c:v>1.9009673521623239E-8</c:v>
                </c:pt>
                <c:pt idx="3">
                  <c:v>4.1442242901485525E-6</c:v>
                </c:pt>
                <c:pt idx="4">
                  <c:v>2.1731776002153875E-4</c:v>
                </c:pt>
                <c:pt idx="5">
                  <c:v>3.4716293491663342E-3</c:v>
                </c:pt>
                <c:pt idx="6">
                  <c:v>2.0402828136932078E-2</c:v>
                </c:pt>
                <c:pt idx="7">
                  <c:v>5.1379281037838453E-2</c:v>
                </c:pt>
                <c:pt idx="8">
                  <c:v>6.2795098352771264E-2</c:v>
                </c:pt>
                <c:pt idx="9">
                  <c:v>4.1278492158452369E-2</c:v>
                </c:pt>
                <c:pt idx="10">
                  <c:v>1.5896481134192911E-2</c:v>
                </c:pt>
                <c:pt idx="11">
                  <c:v>3.852788206715317E-3</c:v>
                </c:pt>
                <c:pt idx="12">
                  <c:v>6.2433347878451618E-4</c:v>
                </c:pt>
                <c:pt idx="13">
                  <c:v>7.121068360385758E-5</c:v>
                </c:pt>
                <c:pt idx="14">
                  <c:v>5.9735759091088044E-6</c:v>
                </c:pt>
                <c:pt idx="15">
                  <c:v>3.8271106091862608E-7</c:v>
                </c:pt>
                <c:pt idx="16">
                  <c:v>1.9346494359707465E-8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2D-EC44-A5DC-C88C335FD9EF}"/>
            </c:ext>
          </c:extLst>
        </c:ser>
        <c:ser>
          <c:idx val="4"/>
          <c:order val="4"/>
          <c:tx>
            <c:strRef>
              <c:f>PutGkTable!$AL$26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PutGkTable!$AG$27:$AG$43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PutGkTable!$AL$27:$AL$43</c:f>
              <c:numCache>
                <c:formatCode>0.0000</c:formatCode>
                <c:ptCount val="17"/>
                <c:pt idx="0">
                  <c:v>9.3540877738932821E-13</c:v>
                </c:pt>
                <c:pt idx="1">
                  <c:v>1.4365666725428593E-9</c:v>
                </c:pt>
                <c:pt idx="2">
                  <c:v>4.0857545005606403E-7</c:v>
                </c:pt>
                <c:pt idx="3">
                  <c:v>2.931335523260756E-5</c:v>
                </c:pt>
                <c:pt idx="4">
                  <c:v>6.7417515498728673E-4</c:v>
                </c:pt>
                <c:pt idx="5">
                  <c:v>6.0028678035568012E-3</c:v>
                </c:pt>
                <c:pt idx="6">
                  <c:v>2.4058724750173604E-2</c:v>
                </c:pt>
                <c:pt idx="7">
                  <c:v>4.9024161779533067E-2</c:v>
                </c:pt>
                <c:pt idx="8">
                  <c:v>5.6102492608372502E-2</c:v>
                </c:pt>
                <c:pt idx="9">
                  <c:v>3.9140464152421513E-2</c:v>
                </c:pt>
                <c:pt idx="10">
                  <c:v>1.7823213843019738E-2</c:v>
                </c:pt>
                <c:pt idx="11">
                  <c:v>5.6093527215653801E-3</c:v>
                </c:pt>
                <c:pt idx="12">
                  <c:v>1.280513723504407E-3</c:v>
                </c:pt>
                <c:pt idx="13">
                  <c:v>2.2091371478623337E-4</c:v>
                </c:pt>
                <c:pt idx="14">
                  <c:v>2.9830284442140866E-5</c:v>
                </c:pt>
                <c:pt idx="15">
                  <c:v>3.249162919518064E-6</c:v>
                </c:pt>
                <c:pt idx="16">
                  <c:v>2.9299443269233378E-7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92D-EC44-A5DC-C88C335FD9EF}"/>
            </c:ext>
          </c:extLst>
        </c:ser>
        <c:ser>
          <c:idx val="5"/>
          <c:order val="5"/>
          <c:tx>
            <c:strRef>
              <c:f>PutGkTable!$AM$26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PutGkTable!$AG$27:$AG$43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PutGkTable!$AM$27:$AM$43</c:f>
              <c:numCache>
                <c:formatCode>0.0000</c:formatCode>
                <c:ptCount val="17"/>
                <c:pt idx="0">
                  <c:v>6.60221001258594E-11</c:v>
                </c:pt>
                <c:pt idx="1">
                  <c:v>2.8871903156587547E-8</c:v>
                </c:pt>
                <c:pt idx="2">
                  <c:v>3.1047063387496911E-6</c:v>
                </c:pt>
                <c:pt idx="3">
                  <c:v>1.0617694808839044E-4</c:v>
                </c:pt>
                <c:pt idx="4">
                  <c:v>1.4096380488958426E-3</c:v>
                </c:pt>
                <c:pt idx="5">
                  <c:v>8.5007827825346501E-3</c:v>
                </c:pt>
                <c:pt idx="6">
                  <c:v>2.6396354113062126E-2</c:v>
                </c:pt>
                <c:pt idx="7">
                  <c:v>4.670622857015766E-2</c:v>
                </c:pt>
                <c:pt idx="8">
                  <c:v>5.1156750826999199E-2</c:v>
                </c:pt>
                <c:pt idx="9">
                  <c:v>3.7134472308525492E-2</c:v>
                </c:pt>
                <c:pt idx="10">
                  <c:v>1.8908593172743498E-2</c:v>
                </c:pt>
                <c:pt idx="11">
                  <c:v>7.0830615084530816E-3</c:v>
                </c:pt>
                <c:pt idx="12">
                  <c:v>2.0319475824949755E-3</c:v>
                </c:pt>
                <c:pt idx="13">
                  <c:v>4.6191019586218839E-4</c:v>
                </c:pt>
                <c:pt idx="14">
                  <c:v>8.5668780985105099E-5</c:v>
                </c:pt>
                <c:pt idx="15">
                  <c:v>1.3291938562945938E-5</c:v>
                </c:pt>
                <c:pt idx="16">
                  <c:v>1.762979573893959E-6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92D-EC44-A5DC-C88C335FD9EF}"/>
            </c:ext>
          </c:extLst>
        </c:ser>
        <c:ser>
          <c:idx val="6"/>
          <c:order val="6"/>
          <c:tx>
            <c:strRef>
              <c:f>PutGkTable!$AN$26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PutGkTable!$AG$27:$AG$43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PutGkTable!$AN$27:$AN$43</c:f>
              <c:numCache>
                <c:formatCode>0.0000</c:formatCode>
                <c:ptCount val="17"/>
                <c:pt idx="0">
                  <c:v>1.3641015888556874E-9</c:v>
                </c:pt>
                <c:pt idx="1">
                  <c:v>2.4319945667214557E-7</c:v>
                </c:pt>
                <c:pt idx="2">
                  <c:v>1.3055468334454288E-5</c:v>
                </c:pt>
                <c:pt idx="3">
                  <c:v>2.630006185665992E-4</c:v>
                </c:pt>
                <c:pt idx="4">
                  <c:v>2.3582196949555518E-3</c:v>
                </c:pt>
                <c:pt idx="5">
                  <c:v>1.0765981199439559E-2</c:v>
                </c:pt>
                <c:pt idx="6">
                  <c:v>2.7859621858699932E-2</c:v>
                </c:pt>
                <c:pt idx="7">
                  <c:v>4.4567221413124185E-2</c:v>
                </c:pt>
                <c:pt idx="8">
                  <c:v>4.7308695923014697E-2</c:v>
                </c:pt>
                <c:pt idx="9">
                  <c:v>3.5328302741473978E-2</c:v>
                </c:pt>
                <c:pt idx="10">
                  <c:v>1.9483332622964509E-2</c:v>
                </c:pt>
                <c:pt idx="11">
                  <c:v>8.2651375479295131E-3</c:v>
                </c:pt>
                <c:pt idx="12">
                  <c:v>2.7913416838140051E-3</c:v>
                </c:pt>
                <c:pt idx="13">
                  <c:v>7.7274142964303336E-4</c:v>
                </c:pt>
                <c:pt idx="14">
                  <c:v>1.797833489515302E-4</c:v>
                </c:pt>
                <c:pt idx="15">
                  <c:v>3.5914215033327016E-5</c:v>
                </c:pt>
                <c:pt idx="16">
                  <c:v>6.275075552985542E-6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92D-EC44-A5DC-C88C335FD9EF}"/>
            </c:ext>
          </c:extLst>
        </c:ser>
        <c:ser>
          <c:idx val="7"/>
          <c:order val="7"/>
          <c:tx>
            <c:strRef>
              <c:f>PutGkTable!$AO$26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PutGkTable!$AG$27:$AG$43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PutGkTable!$AO$27:$AO$43</c:f>
              <c:numCache>
                <c:formatCode>0.0000</c:formatCode>
                <c:ptCount val="17"/>
                <c:pt idx="0">
                  <c:v>1.309790020055326E-8</c:v>
                </c:pt>
                <c:pt idx="1">
                  <c:v>1.1914200891051552E-6</c:v>
                </c:pt>
                <c:pt idx="2">
                  <c:v>3.7984667450688666E-5</c:v>
                </c:pt>
                <c:pt idx="3">
                  <c:v>5.1450381124671068E-4</c:v>
                </c:pt>
                <c:pt idx="4">
                  <c:v>3.4369932223750682E-3</c:v>
                </c:pt>
                <c:pt idx="5">
                  <c:v>1.2734636942227625E-2</c:v>
                </c:pt>
                <c:pt idx="6">
                  <c:v>2.8743231871235127E-2</c:v>
                </c:pt>
                <c:pt idx="7">
                  <c:v>4.2631739576590874E-2</c:v>
                </c:pt>
                <c:pt idx="8">
                  <c:v>4.4203475996246966E-2</c:v>
                </c:pt>
                <c:pt idx="9">
                  <c:v>3.3718545937390328E-2</c:v>
                </c:pt>
                <c:pt idx="10">
                  <c:v>1.9742547542846395E-2</c:v>
                </c:pt>
                <c:pt idx="11">
                  <c:v>9.19409140342148E-3</c:v>
                </c:pt>
                <c:pt idx="12">
                  <c:v>3.5093388466936421E-3</c:v>
                </c:pt>
                <c:pt idx="13">
                  <c:v>1.1262339391078598E-3</c:v>
                </c:pt>
                <c:pt idx="14">
                  <c:v>3.105857690040662E-4</c:v>
                </c:pt>
                <c:pt idx="15">
                  <c:v>7.4991466396696723E-5</c:v>
                </c:pt>
                <c:pt idx="16">
                  <c:v>1.6111450652008537E-5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92D-EC44-A5DC-C88C335FD9EF}"/>
            </c:ext>
          </c:extLst>
        </c:ser>
        <c:ser>
          <c:idx val="8"/>
          <c:order val="8"/>
          <c:tx>
            <c:strRef>
              <c:f>PutGkTable!$AP$26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PutGkTable!$AG$27:$AG$43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PutGkTable!$AP$27:$AP$43</c:f>
              <c:numCache>
                <c:formatCode>0.0000</c:formatCode>
                <c:ptCount val="17"/>
                <c:pt idx="0">
                  <c:v>7.5530633187758507E-8</c:v>
                </c:pt>
                <c:pt idx="1">
                  <c:v>4.070790527191798E-6</c:v>
                </c:pt>
                <c:pt idx="2">
                  <c:v>8.6540937665519226E-5</c:v>
                </c:pt>
                <c:pt idx="3">
                  <c:v>8.6084583659867787E-4</c:v>
                </c:pt>
                <c:pt idx="4">
                  <c:v>4.5738968285542487E-3</c:v>
                </c:pt>
                <c:pt idx="5">
                  <c:v>1.4407206646598534E-2</c:v>
                </c:pt>
                <c:pt idx="6">
                  <c:v>2.9238167534758403E-2</c:v>
                </c:pt>
                <c:pt idx="7">
                  <c:v>4.0888684659269085E-2</c:v>
                </c:pt>
                <c:pt idx="8">
                  <c:v>4.1628578335024279E-2</c:v>
                </c:pt>
                <c:pt idx="9">
                  <c:v>3.2283704705699044E-2</c:v>
                </c:pt>
                <c:pt idx="10">
                  <c:v>1.9803191408745979E-2</c:v>
                </c:pt>
                <c:pt idx="11">
                  <c:v>9.9164315716425786E-3</c:v>
                </c:pt>
                <c:pt idx="12">
                  <c:v>4.1630686520652089E-3</c:v>
                </c:pt>
                <c:pt idx="13">
                  <c:v>1.4987745127806543E-3</c:v>
                </c:pt>
                <c:pt idx="14">
                  <c:v>4.7175720539731353E-4</c:v>
                </c:pt>
                <c:pt idx="15">
                  <c:v>1.3199891273585568E-4</c:v>
                </c:pt>
                <c:pt idx="16">
                  <c:v>3.3305383198972805E-5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2D-EC44-A5DC-C88C335FD9EF}"/>
            </c:ext>
          </c:extLst>
        </c:ser>
        <c:ser>
          <c:idx val="9"/>
          <c:order val="9"/>
          <c:tx>
            <c:strRef>
              <c:f>PutGkTable!$AQ$26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PutGkTable!$AG$27:$AG$43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PutGkTable!$AQ$27:$AQ$43</c:f>
              <c:numCache>
                <c:formatCode>0.0000</c:formatCode>
                <c:ptCount val="17"/>
                <c:pt idx="0">
                  <c:v>3.0503159925846771E-7</c:v>
                </c:pt>
                <c:pt idx="1">
                  <c:v>1.0815693509621757E-5</c:v>
                </c:pt>
                <c:pt idx="2">
                  <c:v>1.6626343859570762E-4</c:v>
                </c:pt>
                <c:pt idx="3">
                  <c:v>1.2919311227899846E-3</c:v>
                </c:pt>
                <c:pt idx="4">
                  <c:v>5.7155372876400061E-3</c:v>
                </c:pt>
                <c:pt idx="5">
                  <c:v>1.5810256172317044E-2</c:v>
                </c:pt>
                <c:pt idx="6">
                  <c:v>2.9469063817634214E-2</c:v>
                </c:pt>
                <c:pt idx="7">
                  <c:v>3.931730631905752E-2</c:v>
                </c:pt>
                <c:pt idx="8">
                  <c:v>3.9447933090788895E-2</c:v>
                </c:pt>
                <c:pt idx="9">
                  <c:v>3.0999845988993836E-2</c:v>
                </c:pt>
                <c:pt idx="10">
                  <c:v>1.9737190221859435E-2</c:v>
                </c:pt>
                <c:pt idx="11">
                  <c:v>1.0474112849205516E-2</c:v>
                </c:pt>
                <c:pt idx="12">
                  <c:v>4.7451367772989445E-3</c:v>
                </c:pt>
                <c:pt idx="13">
                  <c:v>1.8728672584138739E-3</c:v>
                </c:pt>
                <c:pt idx="14">
                  <c:v>6.5528870342850616E-4</c:v>
                </c:pt>
                <c:pt idx="15">
                  <c:v>2.063011779914903E-4</c:v>
                </c:pt>
                <c:pt idx="16">
                  <c:v>5.9197424706742854E-5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92D-EC44-A5DC-C88C335FD9EF}"/>
            </c:ext>
          </c:extLst>
        </c:ser>
        <c:ser>
          <c:idx val="10"/>
          <c:order val="10"/>
          <c:tx>
            <c:strRef>
              <c:f>PutGkTable!$AR$26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PutGkTable!$AG$27:$AG$43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PutGkTable!$AR$27:$AR$43</c:f>
              <c:numCache>
                <c:formatCode>0.0000</c:formatCode>
                <c:ptCount val="17"/>
                <c:pt idx="0">
                  <c:v>1.4524281869372614E-4</c:v>
                </c:pt>
                <c:pt idx="1">
                  <c:v>7.8252244975754123E-4</c:v>
                </c:pt>
                <c:pt idx="2">
                  <c:v>2.7966437332461501E-3</c:v>
                </c:pt>
                <c:pt idx="3">
                  <c:v>7.1516197776597054E-3</c:v>
                </c:pt>
                <c:pt idx="4">
                  <c:v>1.3876417664915324E-2</c:v>
                </c:pt>
                <c:pt idx="5">
                  <c:v>2.139474487152776E-2</c:v>
                </c:pt>
                <c:pt idx="6">
                  <c:v>2.7195143108108635E-2</c:v>
                </c:pt>
                <c:pt idx="7">
                  <c:v>2.9359502161316497E-2</c:v>
                </c:pt>
                <c:pt idx="8">
                  <c:v>2.7581853166270598E-2</c:v>
                </c:pt>
                <c:pt idx="9">
                  <c:v>2.3004058320651034E-2</c:v>
                </c:pt>
                <c:pt idx="10">
                  <c:v>1.7318613598151577E-2</c:v>
                </c:pt>
                <c:pt idx="11">
                  <c:v>1.1934318929118741E-2</c:v>
                </c:pt>
                <c:pt idx="12">
                  <c:v>7.6165645282489083E-3</c:v>
                </c:pt>
                <c:pt idx="13">
                  <c:v>4.5470245404394495E-3</c:v>
                </c:pt>
                <c:pt idx="14">
                  <c:v>2.5609344709387875E-3</c:v>
                </c:pt>
                <c:pt idx="15">
                  <c:v>1.3707080362701776E-3</c:v>
                </c:pt>
                <c:pt idx="16">
                  <c:v>7.016211594893701E-4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92D-EC44-A5DC-C88C335FD9EF}"/>
            </c:ext>
          </c:extLst>
        </c:ser>
        <c:ser>
          <c:idx val="11"/>
          <c:order val="11"/>
          <c:tx>
            <c:strRef>
              <c:f>PutGkTable!$AS$26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PutGkTable!$AG$27:$AG$43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PutGkTable!$AS$27:$AS$43</c:f>
              <c:numCache>
                <c:formatCode>0.0000</c:formatCode>
                <c:ptCount val="17"/>
                <c:pt idx="0">
                  <c:v>1.0316841901525139E-3</c:v>
                </c:pt>
                <c:pt idx="1">
                  <c:v>2.9660589498737315E-3</c:v>
                </c:pt>
                <c:pt idx="2">
                  <c:v>6.5180762218454997E-3</c:v>
                </c:pt>
                <c:pt idx="3">
                  <c:v>1.1507869542832888E-2</c:v>
                </c:pt>
                <c:pt idx="4">
                  <c:v>1.6964964604488354E-2</c:v>
                </c:pt>
                <c:pt idx="5">
                  <c:v>2.1526099405862077E-2</c:v>
                </c:pt>
                <c:pt idx="6">
                  <c:v>2.4084363839664263E-2</c:v>
                </c:pt>
                <c:pt idx="7">
                  <c:v>2.422920467390802E-2</c:v>
                </c:pt>
                <c:pt idx="8">
                  <c:v>2.2268553102305574E-2</c:v>
                </c:pt>
                <c:pt idx="9">
                  <c:v>1.8944723118837964E-2</c:v>
                </c:pt>
                <c:pt idx="10">
                  <c:v>1.5081963394812057E-2</c:v>
                </c:pt>
                <c:pt idx="11">
                  <c:v>1.1338612960202374E-2</c:v>
                </c:pt>
                <c:pt idx="12">
                  <c:v>8.1120649104783824E-3</c:v>
                </c:pt>
                <c:pt idx="13">
                  <c:v>5.5590796015987428E-3</c:v>
                </c:pt>
                <c:pt idx="14">
                  <c:v>3.6693507025244649E-3</c:v>
                </c:pt>
                <c:pt idx="15">
                  <c:v>2.3440212104340022E-3</c:v>
                </c:pt>
                <c:pt idx="16">
                  <c:v>1.4551400495073856E-3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92D-EC44-A5DC-C88C335FD9EF}"/>
            </c:ext>
          </c:extLst>
        </c:ser>
        <c:ser>
          <c:idx val="12"/>
          <c:order val="12"/>
          <c:tx>
            <c:strRef>
              <c:f>PutGkTable!$AT$26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PutGkTable!$AG$27:$AG$43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PutGkTable!$AT$27:$AT$43</c:f>
              <c:numCache>
                <c:formatCode>0.0000</c:formatCode>
                <c:ptCount val="17"/>
                <c:pt idx="0">
                  <c:v>2.6204952010288863E-3</c:v>
                </c:pt>
                <c:pt idx="1">
                  <c:v>5.5034091875470377E-3</c:v>
                </c:pt>
                <c:pt idx="2">
                  <c:v>9.4835539632301003E-3</c:v>
                </c:pt>
                <c:pt idx="3">
                  <c:v>1.3912357420204602E-2</c:v>
                </c:pt>
                <c:pt idx="4">
                  <c:v>1.7877273947675215E-2</c:v>
                </c:pt>
                <c:pt idx="5">
                  <c:v>2.0578086869191908E-2</c:v>
                </c:pt>
                <c:pt idx="6">
                  <c:v>2.1600690529166151E-2</c:v>
                </c:pt>
                <c:pt idx="7">
                  <c:v>2.0977075164115507E-2</c:v>
                </c:pt>
                <c:pt idx="8">
                  <c:v>1.9069390773026208E-2</c:v>
                </c:pt>
                <c:pt idx="9">
                  <c:v>1.6384783361470954E-2</c:v>
                </c:pt>
                <c:pt idx="10">
                  <c:v>1.3413459498534529E-2</c:v>
                </c:pt>
                <c:pt idx="11">
                  <c:v>1.053298866360371E-2</c:v>
                </c:pt>
                <c:pt idx="12">
                  <c:v>7.9786259054980633E-3</c:v>
                </c:pt>
                <c:pt idx="13">
                  <c:v>5.8580251271742132E-3</c:v>
                </c:pt>
                <c:pt idx="14">
                  <c:v>4.1859606357164706E-3</c:v>
                </c:pt>
                <c:pt idx="15">
                  <c:v>2.9213283025393976E-3</c:v>
                </c:pt>
                <c:pt idx="16">
                  <c:v>1.9971762450752021E-3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92D-EC44-A5DC-C88C335FD9EF}"/>
            </c:ext>
          </c:extLst>
        </c:ser>
        <c:ser>
          <c:idx val="13"/>
          <c:order val="13"/>
          <c:tx>
            <c:strRef>
              <c:f>PutGkTable!$AU$26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PutGkTable!$AG$27:$AG$43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PutGkTable!$AU$27:$AU$43</c:f>
              <c:numCache>
                <c:formatCode>0.0000</c:formatCode>
                <c:ptCount val="17"/>
                <c:pt idx="0">
                  <c:v>4.4499754398238511E-3</c:v>
                </c:pt>
                <c:pt idx="1">
                  <c:v>7.7406121902881759E-3</c:v>
                </c:pt>
                <c:pt idx="2">
                  <c:v>1.1528012005023357E-2</c:v>
                </c:pt>
                <c:pt idx="3">
                  <c:v>1.5132702486471092E-2</c:v>
                </c:pt>
                <c:pt idx="4">
                  <c:v>1.7906989830010486E-2</c:v>
                </c:pt>
                <c:pt idx="5">
                  <c:v>1.9442006249843848E-2</c:v>
                </c:pt>
                <c:pt idx="6">
                  <c:v>1.9641714650531644E-2</c:v>
                </c:pt>
                <c:pt idx="7">
                  <c:v>1.8675003380643759E-2</c:v>
                </c:pt>
                <c:pt idx="8">
                  <c:v>1.6865374880276125E-2</c:v>
                </c:pt>
                <c:pt idx="9">
                  <c:v>1.457754724330231E-2</c:v>
                </c:pt>
                <c:pt idx="10">
                  <c:v>1.2135644435772964E-2</c:v>
                </c:pt>
                <c:pt idx="11">
                  <c:v>9.7818031211006854E-3</c:v>
                </c:pt>
                <c:pt idx="12">
                  <c:v>7.6679346587994893E-3</c:v>
                </c:pt>
                <c:pt idx="13">
                  <c:v>5.8677624274978352E-3</c:v>
                </c:pt>
                <c:pt idx="14">
                  <c:v>4.3973494544828021E-3</c:v>
                </c:pt>
                <c:pt idx="15">
                  <c:v>3.2361150487909911E-3</c:v>
                </c:pt>
                <c:pt idx="16">
                  <c:v>2.3442052804045392E-3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92D-EC44-A5DC-C88C335FD9EF}"/>
            </c:ext>
          </c:extLst>
        </c:ser>
        <c:bandFmts>
          <c:bandFmt>
            <c:idx val="0"/>
            <c:spPr>
              <a:solidFill>
                <a:schemeClr val="accent2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8000"/>
                </a:schemeClr>
              </a:solidFill>
              <a:ln/>
              <a:effectLst/>
              <a:sp3d/>
            </c:spPr>
          </c:bandFmt>
        </c:bandFmts>
        <c:axId val="1643147520"/>
        <c:axId val="1643138560"/>
        <c:axId val="1636395520"/>
      </c:surface3DChart>
      <c:catAx>
        <c:axId val="1643147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138560"/>
        <c:crosses val="autoZero"/>
        <c:auto val="1"/>
        <c:lblAlgn val="ctr"/>
        <c:lblOffset val="100"/>
        <c:noMultiLvlLbl val="0"/>
      </c:catAx>
      <c:valAx>
        <c:axId val="1643138560"/>
        <c:scaling>
          <c:orientation val="minMax"/>
          <c:max val="0.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147520"/>
        <c:crosses val="autoZero"/>
        <c:crossBetween val="midCat"/>
      </c:valAx>
      <c:serAx>
        <c:axId val="163639552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138560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</a:t>
            </a:r>
            <a:r>
              <a:rPr lang="en-US" baseline="0"/>
              <a:t> - 20%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PutGkTable!$B$46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PutGkTable!$A$47:$A$63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PutGkTable!$B$47:$B$63</c:f>
              <c:numCache>
                <c:formatCode>0.0000</c:formatCode>
                <c:ptCount val="17"/>
                <c:pt idx="0">
                  <c:v>2.7369876707761614E-3</c:v>
                </c:pt>
                <c:pt idx="1">
                  <c:v>2.7369876681515035E-3</c:v>
                </c:pt>
                <c:pt idx="2">
                  <c:v>2.7369837302933173E-3</c:v>
                </c:pt>
                <c:pt idx="3">
                  <c:v>2.7359479027115495E-3</c:v>
                </c:pt>
                <c:pt idx="4">
                  <c:v>2.6717645775621779E-3</c:v>
                </c:pt>
                <c:pt idx="5">
                  <c:v>1.5028967980634915E-3</c:v>
                </c:pt>
                <c:pt idx="6">
                  <c:v>-5.7855324286142469E-3</c:v>
                </c:pt>
                <c:pt idx="7">
                  <c:v>-2.2353693340459065E-2</c:v>
                </c:pt>
                <c:pt idx="8">
                  <c:v>-3.3138839605564338E-2</c:v>
                </c:pt>
                <c:pt idx="9">
                  <c:v>-2.5337933274044773E-2</c:v>
                </c:pt>
                <c:pt idx="10">
                  <c:v>-1.1172834498652391E-2</c:v>
                </c:pt>
                <c:pt idx="11">
                  <c:v>-3.0723408263804881E-3</c:v>
                </c:pt>
                <c:pt idx="12">
                  <c:v>-5.6104741696458066E-4</c:v>
                </c:pt>
                <c:pt idx="13">
                  <c:v>-7.17109683386807E-5</c:v>
                </c:pt>
                <c:pt idx="14">
                  <c:v>-6.708328784006191E-6</c:v>
                </c:pt>
                <c:pt idx="15">
                  <c:v>-4.7719318281401868E-7</c:v>
                </c:pt>
                <c:pt idx="16">
                  <c:v>-2.6677459502810323E-8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07-8A4A-9A47-7E76A44F5686}"/>
            </c:ext>
          </c:extLst>
        </c:ser>
        <c:ser>
          <c:idx val="1"/>
          <c:order val="1"/>
          <c:tx>
            <c:strRef>
              <c:f>PutGkTable!$C$46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PutGkTable!$A$47:$A$63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PutGkTable!$C$47:$C$63</c:f>
              <c:numCache>
                <c:formatCode>0.0000</c:formatCode>
                <c:ptCount val="17"/>
                <c:pt idx="0">
                  <c:v>2.7342502643824419E-3</c:v>
                </c:pt>
                <c:pt idx="1">
                  <c:v>2.7340492412950088E-3</c:v>
                </c:pt>
                <c:pt idx="2">
                  <c:v>2.7263113586952744E-3</c:v>
                </c:pt>
                <c:pt idx="3">
                  <c:v>2.6039411944277975E-3</c:v>
                </c:pt>
                <c:pt idx="4">
                  <c:v>1.6916127881992887E-3</c:v>
                </c:pt>
                <c:pt idx="5">
                  <c:v>-1.8490017602469807E-3</c:v>
                </c:pt>
                <c:pt idx="6">
                  <c:v>-9.448028391835412E-3</c:v>
                </c:pt>
                <c:pt idx="7">
                  <c:v>-1.8443459652378272E-2</c:v>
                </c:pt>
                <c:pt idx="8">
                  <c:v>-2.2993612858065116E-2</c:v>
                </c:pt>
                <c:pt idx="9">
                  <c:v>-2.0450501631154604E-2</c:v>
                </c:pt>
                <c:pt idx="10">
                  <c:v>-1.3748919358963569E-2</c:v>
                </c:pt>
                <c:pt idx="11">
                  <c:v>-7.2801271656312378E-3</c:v>
                </c:pt>
                <c:pt idx="12">
                  <c:v>-3.136389797684581E-3</c:v>
                </c:pt>
                <c:pt idx="13">
                  <c:v>-1.1292793655355523E-3</c:v>
                </c:pt>
                <c:pt idx="14">
                  <c:v>-3.476026125224739E-4</c:v>
                </c:pt>
                <c:pt idx="15">
                  <c:v>-9.3252521724367763E-5</c:v>
                </c:pt>
                <c:pt idx="16">
                  <c:v>-2.2168953354892648E-5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07-8A4A-9A47-7E76A44F5686}"/>
            </c:ext>
          </c:extLst>
        </c:ser>
        <c:ser>
          <c:idx val="2"/>
          <c:order val="2"/>
          <c:tx>
            <c:strRef>
              <c:f>PutGkTable!$D$46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PutGkTable!$A$47:$A$63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PutGkTable!$D$47:$D$63</c:f>
              <c:numCache>
                <c:formatCode>0.0000</c:formatCode>
                <c:ptCount val="17"/>
                <c:pt idx="0">
                  <c:v>2.7311833890562628E-3</c:v>
                </c:pt>
                <c:pt idx="1">
                  <c:v>2.7235870145911321E-3</c:v>
                </c:pt>
                <c:pt idx="2">
                  <c:v>2.6393786805498434E-3</c:v>
                </c:pt>
                <c:pt idx="3">
                  <c:v>2.1321410984476998E-3</c:v>
                </c:pt>
                <c:pt idx="4">
                  <c:v>3.1601953838322793E-4</c:v>
                </c:pt>
                <c:pt idx="5">
                  <c:v>-3.8003837784603206E-3</c:v>
                </c:pt>
                <c:pt idx="6">
                  <c:v>-9.9066528213895035E-3</c:v>
                </c:pt>
                <c:pt idx="7">
                  <c:v>-1.5711393758076776E-2</c:v>
                </c:pt>
                <c:pt idx="8">
                  <c:v>-1.8492388101505823E-2</c:v>
                </c:pt>
                <c:pt idx="9">
                  <c:v>-1.7307884271300207E-2</c:v>
                </c:pt>
                <c:pt idx="10">
                  <c:v>-1.3403979058221757E-2</c:v>
                </c:pt>
                <c:pt idx="11">
                  <c:v>-8.8369860716336762E-3</c:v>
                </c:pt>
                <c:pt idx="12">
                  <c:v>-5.0715467988013624E-3</c:v>
                </c:pt>
                <c:pt idx="13">
                  <c:v>-2.5803533415990165E-3</c:v>
                </c:pt>
                <c:pt idx="14">
                  <c:v>-1.1818803747454104E-3</c:v>
                </c:pt>
                <c:pt idx="15">
                  <c:v>-4.9371602905945943E-4</c:v>
                </c:pt>
                <c:pt idx="16">
                  <c:v>-1.9021274365654939E-4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07-8A4A-9A47-7E76A44F5686}"/>
            </c:ext>
          </c:extLst>
        </c:ser>
        <c:ser>
          <c:idx val="3"/>
          <c:order val="3"/>
          <c:tx>
            <c:strRef>
              <c:f>PutGkTable!$E$46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PutGkTable!$A$47:$A$63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PutGkTable!$E$47:$E$63</c:f>
              <c:numCache>
                <c:formatCode>0.0000</c:formatCode>
                <c:ptCount val="17"/>
                <c:pt idx="0">
                  <c:v>2.7243724463814679E-3</c:v>
                </c:pt>
                <c:pt idx="1">
                  <c:v>2.6811806459428435E-3</c:v>
                </c:pt>
                <c:pt idx="2">
                  <c:v>2.4274870564234192E-3</c:v>
                </c:pt>
                <c:pt idx="3">
                  <c:v>1.4944162689969106E-3</c:v>
                </c:pt>
                <c:pt idx="4">
                  <c:v>-8.0282702751496946E-4</c:v>
                </c:pt>
                <c:pt idx="5">
                  <c:v>-4.764212581221494E-3</c:v>
                </c:pt>
                <c:pt idx="6">
                  <c:v>-9.6446379181134544E-3</c:v>
                </c:pt>
                <c:pt idx="7">
                  <c:v>-1.3818778486852866E-2</c:v>
                </c:pt>
                <c:pt idx="8">
                  <c:v>-1.5805322284266576E-2</c:v>
                </c:pt>
                <c:pt idx="9">
                  <c:v>-1.517994164338104E-2</c:v>
                </c:pt>
                <c:pt idx="10">
                  <c:v>-1.2622858717771739E-2</c:v>
                </c:pt>
                <c:pt idx="11">
                  <c:v>-9.2899077420582187E-3</c:v>
                </c:pt>
                <c:pt idx="12">
                  <c:v>-6.1557878360793076E-3</c:v>
                </c:pt>
                <c:pt idx="13">
                  <c:v>-3.7243136575382928E-3</c:v>
                </c:pt>
                <c:pt idx="14">
                  <c:v>-2.0814487313496398E-3</c:v>
                </c:pt>
                <c:pt idx="15">
                  <c:v>-1.0852581265595434E-3</c:v>
                </c:pt>
                <c:pt idx="16">
                  <c:v>-5.3237761856354099E-4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07-8A4A-9A47-7E76A44F5686}"/>
            </c:ext>
          </c:extLst>
        </c:ser>
        <c:ser>
          <c:idx val="4"/>
          <c:order val="4"/>
          <c:tx>
            <c:strRef>
              <c:f>PutGkTable!$F$46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PutGkTable!$A$47:$A$63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PutGkTable!$F$47:$F$63</c:f>
              <c:numCache>
                <c:formatCode>0.0000</c:formatCode>
                <c:ptCount val="17"/>
                <c:pt idx="0">
                  <c:v>2.7058361172622833E-3</c:v>
                </c:pt>
                <c:pt idx="1">
                  <c:v>2.5898788296770648E-3</c:v>
                </c:pt>
                <c:pt idx="2">
                  <c:v>2.127271829645852E-3</c:v>
                </c:pt>
                <c:pt idx="3">
                  <c:v>8.6688433771052204E-4</c:v>
                </c:pt>
                <c:pt idx="4">
                  <c:v>-1.6057693434508638E-3</c:v>
                </c:pt>
                <c:pt idx="5">
                  <c:v>-5.2215040062623076E-3</c:v>
                </c:pt>
                <c:pt idx="6">
                  <c:v>-9.2099953475645712E-3</c:v>
                </c:pt>
                <c:pt idx="7">
                  <c:v>-1.2423938185811452E-2</c:v>
                </c:pt>
                <c:pt idx="8">
                  <c:v>-1.3969072746898372E-2</c:v>
                </c:pt>
                <c:pt idx="9">
                  <c:v>-1.3628647635494213E-2</c:v>
                </c:pt>
                <c:pt idx="10">
                  <c:v>-1.183022685795228E-2</c:v>
                </c:pt>
                <c:pt idx="11">
                  <c:v>-9.3031841258980393E-3</c:v>
                </c:pt>
                <c:pt idx="12">
                  <c:v>-6.721572069511658E-3</c:v>
                </c:pt>
                <c:pt idx="13">
                  <c:v>-4.5129520648673543E-3</c:v>
                </c:pt>
                <c:pt idx="14">
                  <c:v>-2.8426010117029517E-3</c:v>
                </c:pt>
                <c:pt idx="15">
                  <c:v>-1.6932109103448476E-3</c:v>
                </c:pt>
                <c:pt idx="16">
                  <c:v>-9.6031261788383866E-4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07-8A4A-9A47-7E76A44F5686}"/>
            </c:ext>
          </c:extLst>
        </c:ser>
        <c:ser>
          <c:idx val="5"/>
          <c:order val="5"/>
          <c:tx>
            <c:strRef>
              <c:f>PutGkTable!$G$46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PutGkTable!$A$47:$A$63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PutGkTable!$G$47:$G$63</c:f>
              <c:numCache>
                <c:formatCode>0.0000</c:formatCode>
                <c:ptCount val="17"/>
                <c:pt idx="0">
                  <c:v>2.6684533991827102E-3</c:v>
                </c:pt>
                <c:pt idx="1">
                  <c:v>2.4532726531850649E-3</c:v>
                </c:pt>
                <c:pt idx="2">
                  <c:v>1.7917326461260278E-3</c:v>
                </c:pt>
                <c:pt idx="3">
                  <c:v>3.185721391347315E-4</c:v>
                </c:pt>
                <c:pt idx="4">
                  <c:v>-2.1635647121954257E-3</c:v>
                </c:pt>
                <c:pt idx="5">
                  <c:v>-5.4157270600014443E-3</c:v>
                </c:pt>
                <c:pt idx="6">
                  <c:v>-8.75230159651612E-3</c:v>
                </c:pt>
                <c:pt idx="7">
                  <c:v>-1.1344447678725895E-2</c:v>
                </c:pt>
                <c:pt idx="8">
                  <c:v>-1.2611812053725156E-2</c:v>
                </c:pt>
                <c:pt idx="9">
                  <c:v>-1.2435752478359048E-2</c:v>
                </c:pt>
                <c:pt idx="10">
                  <c:v>-1.1110304871270228E-2</c:v>
                </c:pt>
                <c:pt idx="11">
                  <c:v>-9.1334328622189338E-3</c:v>
                </c:pt>
                <c:pt idx="12">
                  <c:v>-6.9918512955230985E-3</c:v>
                </c:pt>
                <c:pt idx="13">
                  <c:v>-5.032689648778314E-3</c:v>
                </c:pt>
                <c:pt idx="14">
                  <c:v>-3.4335066038971751E-3</c:v>
                </c:pt>
                <c:pt idx="15">
                  <c:v>-2.2353029611994132E-3</c:v>
                </c:pt>
                <c:pt idx="16">
                  <c:v>-1.3966671669448816E-3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F07-8A4A-9A47-7E76A44F5686}"/>
            </c:ext>
          </c:extLst>
        </c:ser>
        <c:ser>
          <c:idx val="6"/>
          <c:order val="6"/>
          <c:tx>
            <c:strRef>
              <c:f>PutGkTable!$H$46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PutGkTable!$A$47:$A$63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PutGkTable!$H$47:$H$63</c:f>
              <c:numCache>
                <c:formatCode>0.0000</c:formatCode>
                <c:ptCount val="17"/>
                <c:pt idx="0">
                  <c:v>2.6099133627872427E-3</c:v>
                </c:pt>
                <c:pt idx="1">
                  <c:v>2.2851686389550453E-3</c:v>
                </c:pt>
                <c:pt idx="2">
                  <c:v>1.4574375252183985E-3</c:v>
                </c:pt>
                <c:pt idx="3">
                  <c:v>-1.3736968218990028E-4</c:v>
                </c:pt>
                <c:pt idx="4">
                  <c:v>-2.5473518305614883E-3</c:v>
                </c:pt>
                <c:pt idx="5">
                  <c:v>-5.4679490114194563E-3</c:v>
                </c:pt>
                <c:pt idx="6">
                  <c:v>-8.3163966315984543E-3</c:v>
                </c:pt>
                <c:pt idx="7">
                  <c:v>-1.0477948844249877E-2</c:v>
                </c:pt>
                <c:pt idx="8">
                  <c:v>-1.1555588123346852E-2</c:v>
                </c:pt>
                <c:pt idx="9">
                  <c:v>-1.1482276147885462E-2</c:v>
                </c:pt>
                <c:pt idx="10">
                  <c:v>-1.0473173138676106E-2</c:v>
                </c:pt>
                <c:pt idx="11">
                  <c:v>-8.8881062411593475E-3</c:v>
                </c:pt>
                <c:pt idx="12">
                  <c:v>-7.091938203323646E-3</c:v>
                </c:pt>
                <c:pt idx="13">
                  <c:v>-5.3654685291421563E-3</c:v>
                </c:pt>
                <c:pt idx="14">
                  <c:v>-3.8758199847353696E-3</c:v>
                </c:pt>
                <c:pt idx="15">
                  <c:v>-2.6889067992530305E-3</c:v>
                </c:pt>
                <c:pt idx="16">
                  <c:v>-1.8005564105171496E-3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F07-8A4A-9A47-7E76A44F5686}"/>
            </c:ext>
          </c:extLst>
        </c:ser>
        <c:ser>
          <c:idx val="7"/>
          <c:order val="7"/>
          <c:tx>
            <c:strRef>
              <c:f>PutGkTable!$I$46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PutGkTable!$A$47:$A$63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PutGkTable!$I$47:$I$63</c:f>
              <c:numCache>
                <c:formatCode>0.0000</c:formatCode>
                <c:ptCount val="17"/>
                <c:pt idx="0">
                  <c:v>2.5321197887192225E-3</c:v>
                </c:pt>
                <c:pt idx="1">
                  <c:v>2.1000666026867384E-3</c:v>
                </c:pt>
                <c:pt idx="2">
                  <c:v>1.1438947914170113E-3</c:v>
                </c:pt>
                <c:pt idx="3">
                  <c:v>-5.0836527146027048E-4</c:v>
                </c:pt>
                <c:pt idx="4">
                  <c:v>-2.8096338385570317E-3</c:v>
                </c:pt>
                <c:pt idx="5">
                  <c:v>-5.441190684502782E-3</c:v>
                </c:pt>
                <c:pt idx="6">
                  <c:v>-7.914630659693174E-3</c:v>
                </c:pt>
                <c:pt idx="7">
                  <c:v>-9.7628174195835919E-3</c:v>
                </c:pt>
                <c:pt idx="8">
                  <c:v>-1.0703119067116944E-2</c:v>
                </c:pt>
                <c:pt idx="9">
                  <c:v>-1.0697729851840785E-2</c:v>
                </c:pt>
                <c:pt idx="10">
                  <c:v>-9.9113880617115978E-3</c:v>
                </c:pt>
                <c:pt idx="11">
                  <c:v>-8.6154580731875336E-3</c:v>
                </c:pt>
                <c:pt idx="12">
                  <c:v>-7.0921118946542542E-3</c:v>
                </c:pt>
                <c:pt idx="13">
                  <c:v>-5.5703695120933603E-3</c:v>
                </c:pt>
                <c:pt idx="14">
                  <c:v>-4.2003869756897889E-3</c:v>
                </c:pt>
                <c:pt idx="15">
                  <c:v>-3.0566349010857532E-3</c:v>
                </c:pt>
                <c:pt idx="16">
                  <c:v>-2.1560497796347658E-3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F07-8A4A-9A47-7E76A44F5686}"/>
            </c:ext>
          </c:extLst>
        </c:ser>
        <c:ser>
          <c:idx val="8"/>
          <c:order val="8"/>
          <c:tx>
            <c:strRef>
              <c:f>PutGkTable!$J$46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PutGkTable!$A$47:$A$63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PutGkTable!$J$47:$J$63</c:f>
              <c:numCache>
                <c:formatCode>0.0000</c:formatCode>
                <c:ptCount val="17"/>
                <c:pt idx="0">
                  <c:v>2.4391215321312278E-3</c:v>
                </c:pt>
                <c:pt idx="1">
                  <c:v>1.9094247024980878E-3</c:v>
                </c:pt>
                <c:pt idx="2">
                  <c:v>8.5949509555350754E-4</c:v>
                </c:pt>
                <c:pt idx="3">
                  <c:v>-8.0736803854946628E-4</c:v>
                </c:pt>
                <c:pt idx="4">
                  <c:v>-2.9866838245830654E-3</c:v>
                </c:pt>
                <c:pt idx="5">
                  <c:v>-5.369878636184695E-3</c:v>
                </c:pt>
                <c:pt idx="6">
                  <c:v>-7.5483910362374408E-3</c:v>
                </c:pt>
                <c:pt idx="7">
                  <c:v>-9.1596527495402015E-3</c:v>
                </c:pt>
                <c:pt idx="8">
                  <c:v>-9.9961389805360689E-3</c:v>
                </c:pt>
                <c:pt idx="9">
                  <c:v>-1.0037508628097647E-2</c:v>
                </c:pt>
                <c:pt idx="10">
                  <c:v>-9.4143099762009491E-3</c:v>
                </c:pt>
                <c:pt idx="11">
                  <c:v>-8.3381205893114374E-3</c:v>
                </c:pt>
                <c:pt idx="12">
                  <c:v>-7.032870539297003E-3</c:v>
                </c:pt>
                <c:pt idx="13">
                  <c:v>-5.6875385297949959E-3</c:v>
                </c:pt>
                <c:pt idx="14">
                  <c:v>-4.4346960683529207E-3</c:v>
                </c:pt>
                <c:pt idx="15">
                  <c:v>-3.3494776845680997E-3</c:v>
                </c:pt>
                <c:pt idx="16">
                  <c:v>-2.460261694972835E-3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F07-8A4A-9A47-7E76A44F5686}"/>
            </c:ext>
          </c:extLst>
        </c:ser>
        <c:ser>
          <c:idx val="9"/>
          <c:order val="9"/>
          <c:tx>
            <c:strRef>
              <c:f>PutGkTable!$K$46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PutGkTable!$A$47:$A$63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PutGkTable!$K$47:$K$63</c:f>
              <c:numCache>
                <c:formatCode>0.0000</c:formatCode>
                <c:ptCount val="17"/>
                <c:pt idx="0">
                  <c:v>2.3354763350554903E-3</c:v>
                </c:pt>
                <c:pt idx="1">
                  <c:v>1.7211502940559246E-3</c:v>
                </c:pt>
                <c:pt idx="2">
                  <c:v>6.0642943156033523E-4</c:v>
                </c:pt>
                <c:pt idx="3">
                  <c:v>-1.0473414030026428E-3</c:v>
                </c:pt>
                <c:pt idx="4">
                  <c:v>-3.1032982462020553E-3</c:v>
                </c:pt>
                <c:pt idx="5">
                  <c:v>-5.2736024865499883E-3</c:v>
                </c:pt>
                <c:pt idx="6">
                  <c:v>-7.2153676469695017E-3</c:v>
                </c:pt>
                <c:pt idx="7">
                  <c:v>-8.6420006790627942E-3</c:v>
                </c:pt>
                <c:pt idx="8">
                  <c:v>-9.3973369336955281E-3</c:v>
                </c:pt>
                <c:pt idx="9">
                  <c:v>-9.4718798609859673E-3</c:v>
                </c:pt>
                <c:pt idx="10">
                  <c:v>-8.9719113156662058E-3</c:v>
                </c:pt>
                <c:pt idx="11">
                  <c:v>-8.0668457030440462E-3</c:v>
                </c:pt>
                <c:pt idx="12">
                  <c:v>-6.9382662430604305E-3</c:v>
                </c:pt>
                <c:pt idx="13">
                  <c:v>-5.7440220500802582E-3</c:v>
                </c:pt>
                <c:pt idx="14">
                  <c:v>-4.600524433911876E-3</c:v>
                </c:pt>
                <c:pt idx="15">
                  <c:v>-3.5798905673844863E-3</c:v>
                </c:pt>
                <c:pt idx="16">
                  <c:v>-2.7162202795027695E-3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F07-8A4A-9A47-7E76A44F5686}"/>
            </c:ext>
          </c:extLst>
        </c:ser>
        <c:ser>
          <c:idx val="10"/>
          <c:order val="10"/>
          <c:tx>
            <c:strRef>
              <c:f>PutGkTable!$L$46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PutGkTable!$A$47:$A$63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PutGkTable!$L$47:$L$63</c:f>
              <c:numCache>
                <c:formatCode>0.0000</c:formatCode>
                <c:ptCount val="17"/>
                <c:pt idx="0">
                  <c:v>1.3022609290857391E-3</c:v>
                </c:pt>
                <c:pt idx="1">
                  <c:v>4.0905022899808899E-4</c:v>
                </c:pt>
                <c:pt idx="2">
                  <c:v>-6.8117645149719578E-4</c:v>
                </c:pt>
                <c:pt idx="3">
                  <c:v>-1.8783454086114145E-3</c:v>
                </c:pt>
                <c:pt idx="4">
                  <c:v>-3.0735485480211382E-3</c:v>
                </c:pt>
                <c:pt idx="5">
                  <c:v>-4.1627151007786693E-3</c:v>
                </c:pt>
                <c:pt idx="6">
                  <c:v>-5.0644056698343071E-3</c:v>
                </c:pt>
                <c:pt idx="7">
                  <c:v>-5.7287656216537565E-3</c:v>
                </c:pt>
                <c:pt idx="8">
                  <c:v>-6.1382414001356859E-3</c:v>
                </c:pt>
                <c:pt idx="9">
                  <c:v>-6.3025691424194955E-3</c:v>
                </c:pt>
                <c:pt idx="10">
                  <c:v>-6.2509409052981593E-3</c:v>
                </c:pt>
                <c:pt idx="11">
                  <c:v>-6.0237333331058102E-3</c:v>
                </c:pt>
                <c:pt idx="12">
                  <c:v>-5.6653259116828314E-3</c:v>
                </c:pt>
                <c:pt idx="13">
                  <c:v>-5.2187209701390711E-3</c:v>
                </c:pt>
                <c:pt idx="14">
                  <c:v>-4.7220780021840353E-3</c:v>
                </c:pt>
                <c:pt idx="15">
                  <c:v>-4.2069199577750085E-3</c:v>
                </c:pt>
                <c:pt idx="16">
                  <c:v>-3.6976151421703653E-3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F07-8A4A-9A47-7E76A44F5686}"/>
            </c:ext>
          </c:extLst>
        </c:ser>
        <c:ser>
          <c:idx val="11"/>
          <c:order val="11"/>
          <c:tx>
            <c:strRef>
              <c:f>PutGkTable!$M$46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PutGkTable!$A$47:$A$63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PutGkTable!$M$47:$M$63</c:f>
              <c:numCache>
                <c:formatCode>0.0000</c:formatCode>
                <c:ptCount val="17"/>
                <c:pt idx="0">
                  <c:v>6.9098634980145949E-4</c:v>
                </c:pt>
                <c:pt idx="1">
                  <c:v>-1.133890548593166E-4</c:v>
                </c:pt>
                <c:pt idx="2">
                  <c:v>-9.7710975123002294E-4</c:v>
                </c:pt>
                <c:pt idx="3">
                  <c:v>-1.8402756750863318E-3</c:v>
                </c:pt>
                <c:pt idx="4">
                  <c:v>-2.648174062799036E-3</c:v>
                </c:pt>
                <c:pt idx="5">
                  <c:v>-3.3577084508555448E-3</c:v>
                </c:pt>
                <c:pt idx="6">
                  <c:v>-3.9402410367218536E-3</c:v>
                </c:pt>
                <c:pt idx="7">
                  <c:v>-4.3815416867150365E-3</c:v>
                </c:pt>
                <c:pt idx="8">
                  <c:v>-4.6798522776267957E-3</c:v>
                </c:pt>
                <c:pt idx="9">
                  <c:v>-4.8430215081854125E-3</c:v>
                </c:pt>
                <c:pt idx="10">
                  <c:v>-4.8854395779968501E-3</c:v>
                </c:pt>
                <c:pt idx="11">
                  <c:v>-4.8252397801522833E-3</c:v>
                </c:pt>
                <c:pt idx="12">
                  <c:v>-4.6820071806894497E-3</c:v>
                </c:pt>
                <c:pt idx="13">
                  <c:v>-4.4750693444743838E-3</c:v>
                </c:pt>
                <c:pt idx="14">
                  <c:v>-4.2223402775834482E-3</c:v>
                </c:pt>
                <c:pt idx="15">
                  <c:v>-3.9396344046232117E-3</c:v>
                </c:pt>
                <c:pt idx="16">
                  <c:v>-3.6403476552568136E-3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F07-8A4A-9A47-7E76A44F5686}"/>
            </c:ext>
          </c:extLst>
        </c:ser>
        <c:ser>
          <c:idx val="12"/>
          <c:order val="12"/>
          <c:tx>
            <c:strRef>
              <c:f>PutGkTable!$N$46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PutGkTable!$A$47:$A$63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PutGkTable!$N$47:$N$63</c:f>
              <c:numCache>
                <c:formatCode>0.0000</c:formatCode>
                <c:ptCount val="17"/>
                <c:pt idx="0">
                  <c:v>3.761310769749192E-4</c:v>
                </c:pt>
                <c:pt idx="1">
                  <c:v>-3.0927853968273678E-4</c:v>
                </c:pt>
                <c:pt idx="2">
                  <c:v>-1.0018151422914946E-3</c:v>
                </c:pt>
                <c:pt idx="3">
                  <c:v>-1.6647853649347716E-3</c:v>
                </c:pt>
                <c:pt idx="4">
                  <c:v>-2.2687752121636389E-3</c:v>
                </c:pt>
                <c:pt idx="5">
                  <c:v>-2.793085587726426E-3</c:v>
                </c:pt>
                <c:pt idx="6">
                  <c:v>-3.2256386306901749E-3</c:v>
                </c:pt>
                <c:pt idx="7">
                  <c:v>-3.5619278970186645E-3</c:v>
                </c:pt>
                <c:pt idx="8">
                  <c:v>-3.8035018966751022E-3</c:v>
                </c:pt>
                <c:pt idx="9">
                  <c:v>-3.9563362077628958E-3</c:v>
                </c:pt>
                <c:pt idx="10">
                  <c:v>-4.0293175824571746E-3</c:v>
                </c:pt>
                <c:pt idx="11">
                  <c:v>-4.032957373223919E-3</c:v>
                </c:pt>
                <c:pt idx="12">
                  <c:v>-3.9783766429105413E-3</c:v>
                </c:pt>
                <c:pt idx="13">
                  <c:v>-3.8765581575190581E-3</c:v>
                </c:pt>
                <c:pt idx="14">
                  <c:v>-3.7378346689314257E-3</c:v>
                </c:pt>
                <c:pt idx="15">
                  <c:v>-3.571571888440709E-3</c:v>
                </c:pt>
                <c:pt idx="16">
                  <c:v>-3.3860028351736082E-3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F07-8A4A-9A47-7E76A44F5686}"/>
            </c:ext>
          </c:extLst>
        </c:ser>
        <c:ser>
          <c:idx val="13"/>
          <c:order val="13"/>
          <c:tx>
            <c:strRef>
              <c:f>PutGkTable!$O$46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PutGkTable!$A$47:$A$63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PutGkTable!$O$47:$O$63</c:f>
              <c:numCache>
                <c:formatCode>0.0000</c:formatCode>
                <c:ptCount val="17"/>
                <c:pt idx="0">
                  <c:v>2.1469384650633341E-4</c:v>
                </c:pt>
                <c:pt idx="1">
                  <c:v>-3.7064281675585519E-4</c:v>
                </c:pt>
                <c:pt idx="2">
                  <c:v>-9.4217369568633962E-4</c:v>
                </c:pt>
                <c:pt idx="3">
                  <c:v>-1.4768536767150327E-3</c:v>
                </c:pt>
                <c:pt idx="4">
                  <c:v>-1.9577605248443206E-3</c:v>
                </c:pt>
                <c:pt idx="5">
                  <c:v>-2.3740436737532339E-3</c:v>
                </c:pt>
                <c:pt idx="6">
                  <c:v>-2.7202465942149276E-3</c:v>
                </c:pt>
                <c:pt idx="7">
                  <c:v>-2.9953265990165325E-3</c:v>
                </c:pt>
                <c:pt idx="8">
                  <c:v>-3.2015978564393908E-3</c:v>
                </c:pt>
                <c:pt idx="9">
                  <c:v>-3.3437364987098516E-3</c:v>
                </c:pt>
                <c:pt idx="10">
                  <c:v>-3.4279205896141289E-3</c:v>
                </c:pt>
                <c:pt idx="11">
                  <c:v>-3.4611324953331239E-3</c:v>
                </c:pt>
                <c:pt idx="12">
                  <c:v>-3.4506231874944608E-3</c:v>
                </c:pt>
                <c:pt idx="13">
                  <c:v>-3.4035226258233085E-3</c:v>
                </c:pt>
                <c:pt idx="14">
                  <c:v>-3.3265735043869261E-3</c:v>
                </c:pt>
                <c:pt idx="15">
                  <c:v>-3.2259640839824287E-3</c:v>
                </c:pt>
                <c:pt idx="16">
                  <c:v>-3.1072372734374269E-3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F07-8A4A-9A47-7E76A44F5686}"/>
            </c:ext>
          </c:extLst>
        </c:ser>
        <c:bandFmts>
          <c:bandFmt>
            <c:idx val="0"/>
            <c:spPr>
              <a:solidFill>
                <a:schemeClr val="accent2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8000"/>
                </a:schemeClr>
              </a:solidFill>
              <a:ln/>
              <a:effectLst/>
              <a:sp3d/>
            </c:spPr>
          </c:bandFmt>
        </c:bandFmts>
        <c:axId val="1637242560"/>
        <c:axId val="1637244352"/>
        <c:axId val="1627157504"/>
      </c:surface3DChart>
      <c:catAx>
        <c:axId val="1637242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244352"/>
        <c:crosses val="autoZero"/>
        <c:auto val="1"/>
        <c:lblAlgn val="ctr"/>
        <c:lblOffset val="100"/>
        <c:noMultiLvlLbl val="0"/>
      </c:catAx>
      <c:valAx>
        <c:axId val="1637244352"/>
        <c:scaling>
          <c:orientation val="minMax"/>
          <c:max val="0"/>
          <c:min val="-0.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242560"/>
        <c:crosses val="autoZero"/>
        <c:crossBetween val="midCat"/>
      </c:valAx>
      <c:serAx>
        <c:axId val="16271575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24435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</a:t>
            </a:r>
            <a:r>
              <a:rPr lang="en-US" baseline="0"/>
              <a:t> - 30%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CallGkTable!$R$46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CallGkTable!$R$47:$R$63</c:f>
              <c:numCache>
                <c:formatCode>0.0000</c:formatCode>
                <c:ptCount val="17"/>
                <c:pt idx="0">
                  <c:v>-2.1549990018490181E-8</c:v>
                </c:pt>
                <c:pt idx="1">
                  <c:v>-1.464552122579643E-6</c:v>
                </c:pt>
                <c:pt idx="2">
                  <c:v>-3.8599251798747767E-5</c:v>
                </c:pt>
                <c:pt idx="3">
                  <c:v>-4.6914242652264476E-4</c:v>
                </c:pt>
                <c:pt idx="4">
                  <c:v>-3.0078894605649665E-3</c:v>
                </c:pt>
                <c:pt idx="5">
                  <c:v>-1.1310878555330526E-2</c:v>
                </c:pt>
                <c:pt idx="6">
                  <c:v>-2.7156950482848469E-2</c:v>
                </c:pt>
                <c:pt idx="7">
                  <c:v>-4.4607745574303262E-2</c:v>
                </c:pt>
                <c:pt idx="8">
                  <c:v>-5.308635249998659E-2</c:v>
                </c:pt>
                <c:pt idx="9">
                  <c:v>-4.8085728141050353E-2</c:v>
                </c:pt>
                <c:pt idx="10">
                  <c:v>-3.4707632288424835E-2</c:v>
                </c:pt>
                <c:pt idx="11">
                  <c:v>-2.099302244824482E-2</c:v>
                </c:pt>
                <c:pt idx="12">
                  <c:v>-1.1420537071774154E-2</c:v>
                </c:pt>
                <c:pt idx="13">
                  <c:v>-6.2592652884108004E-3</c:v>
                </c:pt>
                <c:pt idx="14">
                  <c:v>-3.9799132950344585E-3</c:v>
                </c:pt>
                <c:pt idx="15">
                  <c:v>-3.1251171514154962E-3</c:v>
                </c:pt>
                <c:pt idx="16">
                  <c:v>-2.8458324659119817E-3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2-AE4F-8125-D33CAACDFF16}"/>
            </c:ext>
          </c:extLst>
        </c:ser>
        <c:ser>
          <c:idx val="1"/>
          <c:order val="1"/>
          <c:tx>
            <c:strRef>
              <c:f>CallGkTable!$S$46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CallGkTable!$S$47:$S$63</c:f>
              <c:numCache>
                <c:formatCode>0.0000</c:formatCode>
                <c:ptCount val="17"/>
                <c:pt idx="0">
                  <c:v>-2.1461836222321897E-5</c:v>
                </c:pt>
                <c:pt idx="1">
                  <c:v>-1.7985278900348094E-4</c:v>
                </c:pt>
                <c:pt idx="2">
                  <c:v>-9.3767928080001135E-4</c:v>
                </c:pt>
                <c:pt idx="3">
                  <c:v>-3.3173520135102042E-3</c:v>
                </c:pt>
                <c:pt idx="4">
                  <c:v>-8.5194390350108885E-3</c:v>
                </c:pt>
                <c:pt idx="5">
                  <c:v>-1.6750650645336353E-2</c:v>
                </c:pt>
                <c:pt idx="6">
                  <c:v>-2.631451405539716E-2</c:v>
                </c:pt>
                <c:pt idx="7">
                  <c:v>-3.4198995521248339E-2</c:v>
                </c:pt>
                <c:pt idx="8">
                  <c:v>-3.7847311782787982E-2</c:v>
                </c:pt>
                <c:pt idx="9">
                  <c:v>-3.655579680342088E-2</c:v>
                </c:pt>
                <c:pt idx="10">
                  <c:v>-3.1497214078068235E-2</c:v>
                </c:pt>
                <c:pt idx="11">
                  <c:v>-2.4716444860907759E-2</c:v>
                </c:pt>
                <c:pt idx="12">
                  <c:v>-1.8050816178209569E-2</c:v>
                </c:pt>
                <c:pt idx="13">
                  <c:v>-1.2581540060979455E-2</c:v>
                </c:pt>
                <c:pt idx="14">
                  <c:v>-8.6354632068481995E-3</c:v>
                </c:pt>
                <c:pt idx="15">
                  <c:v>-6.05926458561364E-3</c:v>
                </c:pt>
                <c:pt idx="16">
                  <c:v>-4.5088672563004771E-3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2-AE4F-8125-D33CAACDFF16}"/>
            </c:ext>
          </c:extLst>
        </c:ser>
        <c:ser>
          <c:idx val="2"/>
          <c:order val="2"/>
          <c:tx>
            <c:strRef>
              <c:f>CallGkTable!$T$46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CallGkTable!$T$47:$T$63</c:f>
              <c:numCache>
                <c:formatCode>0.0000</c:formatCode>
                <c:ptCount val="17"/>
                <c:pt idx="0">
                  <c:v>-1.9662281836474338E-4</c:v>
                </c:pt>
                <c:pt idx="1">
                  <c:v>-8.2033851045462854E-4</c:v>
                </c:pt>
                <c:pt idx="2">
                  <c:v>-2.4927261695394526E-3</c:v>
                </c:pt>
                <c:pt idx="3">
                  <c:v>-5.8463285736070382E-3</c:v>
                </c:pt>
                <c:pt idx="4">
                  <c:v>-1.1071292666040013E-2</c:v>
                </c:pt>
                <c:pt idx="5">
                  <c:v>-1.7542361876317813E-2</c:v>
                </c:pt>
                <c:pt idx="6">
                  <c:v>-2.393134700814065E-2</c:v>
                </c:pt>
                <c:pt idx="7">
                  <c:v>-2.8771216792948952E-2</c:v>
                </c:pt>
                <c:pt idx="8">
                  <c:v>-3.1078475009673048E-2</c:v>
                </c:pt>
                <c:pt idx="9">
                  <c:v>-3.0661221492058438E-2</c:v>
                </c:pt>
                <c:pt idx="10">
                  <c:v>-2.80256443620811E-2</c:v>
                </c:pt>
                <c:pt idx="11">
                  <c:v>-2.4043315710470522E-2</c:v>
                </c:pt>
                <c:pt idx="12">
                  <c:v>-1.9602300787189136E-2</c:v>
                </c:pt>
                <c:pt idx="13">
                  <c:v>-1.5382044332691502E-2</c:v>
                </c:pt>
                <c:pt idx="14">
                  <c:v>-1.1778948066319057E-2</c:v>
                </c:pt>
                <c:pt idx="15">
                  <c:v>-8.9391523402815882E-3</c:v>
                </c:pt>
                <c:pt idx="16">
                  <c:v>-6.8382049078783763E-3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C2-AE4F-8125-D33CAACDFF16}"/>
            </c:ext>
          </c:extLst>
        </c:ser>
        <c:ser>
          <c:idx val="3"/>
          <c:order val="3"/>
          <c:tx>
            <c:strRef>
              <c:f>CallGkTable!$U$46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CallGkTable!$U$47:$U$63</c:f>
              <c:numCache>
                <c:formatCode>0.0000</c:formatCode>
                <c:ptCount val="17"/>
                <c:pt idx="0">
                  <c:v>-5.7074558651204531E-4</c:v>
                </c:pt>
                <c:pt idx="1">
                  <c:v>-1.6804353520095856E-3</c:v>
                </c:pt>
                <c:pt idx="2">
                  <c:v>-3.8989224445752516E-3</c:v>
                </c:pt>
                <c:pt idx="3">
                  <c:v>-7.4466314730471401E-3</c:v>
                </c:pt>
                <c:pt idx="4">
                  <c:v>-1.2111342052952888E-2</c:v>
                </c:pt>
                <c:pt idx="5">
                  <c:v>-1.7229760863557635E-2</c:v>
                </c:pt>
                <c:pt idx="6">
                  <c:v>-2.1906052910039862E-2</c:v>
                </c:pt>
                <c:pt idx="7">
                  <c:v>-2.5331741635614542E-2</c:v>
                </c:pt>
                <c:pt idx="8">
                  <c:v>-2.7033062564040262E-2</c:v>
                </c:pt>
                <c:pt idx="9">
                  <c:v>-2.6951599885263414E-2</c:v>
                </c:pt>
                <c:pt idx="10">
                  <c:v>-2.5370907369909487E-2</c:v>
                </c:pt>
                <c:pt idx="11">
                  <c:v>-2.2763646779957413E-2</c:v>
                </c:pt>
                <c:pt idx="12">
                  <c:v>-1.9637025412135738E-2</c:v>
                </c:pt>
                <c:pt idx="13">
                  <c:v>-1.6423692824762751E-2</c:v>
                </c:pt>
                <c:pt idx="14">
                  <c:v>-1.3430239007566951E-2</c:v>
                </c:pt>
                <c:pt idx="15">
                  <c:v>-1.083245442299496E-2</c:v>
                </c:pt>
                <c:pt idx="16">
                  <c:v>-8.6981935800516056E-3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C2-AE4F-8125-D33CAACDFF16}"/>
            </c:ext>
          </c:extLst>
        </c:ser>
        <c:ser>
          <c:idx val="4"/>
          <c:order val="4"/>
          <c:tx>
            <c:strRef>
              <c:f>CallGkTable!$V$46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CallGkTable!$V$47:$V$63</c:f>
              <c:numCache>
                <c:formatCode>0.0000</c:formatCode>
                <c:ptCount val="17"/>
                <c:pt idx="0">
                  <c:v>-1.0552037640840729E-3</c:v>
                </c:pt>
                <c:pt idx="1">
                  <c:v>-2.5207520927682334E-3</c:v>
                </c:pt>
                <c:pt idx="2">
                  <c:v>-4.9750887751915203E-3</c:v>
                </c:pt>
                <c:pt idx="3">
                  <c:v>-8.4012195500086009E-3</c:v>
                </c:pt>
                <c:pt idx="4">
                  <c:v>-1.2472809838283586E-2</c:v>
                </c:pt>
                <c:pt idx="5">
                  <c:v>-1.6634225491545768E-2</c:v>
                </c:pt>
                <c:pt idx="6">
                  <c:v>-2.0274661940088014E-2</c:v>
                </c:pt>
                <c:pt idx="7">
                  <c:v>-2.2904894607282324E-2</c:v>
                </c:pt>
                <c:pt idx="8">
                  <c:v>-2.4265278685206906E-2</c:v>
                </c:pt>
                <c:pt idx="9">
                  <c:v>-2.4343488361313663E-2</c:v>
                </c:pt>
                <c:pt idx="10">
                  <c:v>-2.3322491459122675E-2</c:v>
                </c:pt>
                <c:pt idx="11">
                  <c:v>-2.1496615638537202E-2</c:v>
                </c:pt>
                <c:pt idx="12">
                  <c:v>-1.9189509137111756E-2</c:v>
                </c:pt>
                <c:pt idx="13">
                  <c:v>-1.6693740318528959E-2</c:v>
                </c:pt>
                <c:pt idx="14">
                  <c:v>-1.423763110362297E-2</c:v>
                </c:pt>
                <c:pt idx="15">
                  <c:v>-1.1975568197908664E-2</c:v>
                </c:pt>
                <c:pt idx="16">
                  <c:v>-9.9940950730608488E-3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C2-AE4F-8125-D33CAACDFF16}"/>
            </c:ext>
          </c:extLst>
        </c:ser>
        <c:ser>
          <c:idx val="5"/>
          <c:order val="5"/>
          <c:tx>
            <c:strRef>
              <c:f>CallGkTable!$W$46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CallGkTable!$W$47:$W$63</c:f>
              <c:numCache>
                <c:formatCode>0.0000</c:formatCode>
                <c:ptCount val="17"/>
                <c:pt idx="0">
                  <c:v>-1.5635260002588602E-3</c:v>
                </c:pt>
                <c:pt idx="1">
                  <c:v>-3.2494106581974483E-3</c:v>
                </c:pt>
                <c:pt idx="2">
                  <c:v>-5.757969787493899E-3</c:v>
                </c:pt>
                <c:pt idx="3">
                  <c:v>-8.9575430478272319E-3</c:v>
                </c:pt>
                <c:pt idx="4">
                  <c:v>-1.2514917545781391E-2</c:v>
                </c:pt>
                <c:pt idx="5">
                  <c:v>-1.5987706934550008E-2</c:v>
                </c:pt>
                <c:pt idx="6">
                  <c:v>-1.8946385688934309E-2</c:v>
                </c:pt>
                <c:pt idx="7">
                  <c:v>-2.1074262063025324E-2</c:v>
                </c:pt>
                <c:pt idx="8">
                  <c:v>-2.2216980654532557E-2</c:v>
                </c:pt>
                <c:pt idx="9">
                  <c:v>-2.238047288208864E-2</c:v>
                </c:pt>
                <c:pt idx="10">
                  <c:v>-2.1693675166703747E-2</c:v>
                </c:pt>
                <c:pt idx="11">
                  <c:v>-2.0356990609438238E-2</c:v>
                </c:pt>
                <c:pt idx="12">
                  <c:v>-1.8593371902651753E-2</c:v>
                </c:pt>
                <c:pt idx="13">
                  <c:v>-1.6611519700124928E-2</c:v>
                </c:pt>
                <c:pt idx="14">
                  <c:v>-1.4583936041926969E-2</c:v>
                </c:pt>
                <c:pt idx="15">
                  <c:v>-1.2638151562723944E-2</c:v>
                </c:pt>
                <c:pt idx="16">
                  <c:v>-1.0857448283959788E-2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FC2-AE4F-8125-D33CAACDFF16}"/>
            </c:ext>
          </c:extLst>
        </c:ser>
        <c:ser>
          <c:idx val="6"/>
          <c:order val="6"/>
          <c:tx>
            <c:strRef>
              <c:f>CallGkTable!$X$46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CallGkTable!$X$47:$X$63</c:f>
              <c:numCache>
                <c:formatCode>0.0000</c:formatCode>
                <c:ptCount val="17"/>
                <c:pt idx="0">
                  <c:v>-2.0463456463499924E-3</c:v>
                </c:pt>
                <c:pt idx="1">
                  <c:v>-3.850254074906865E-3</c:v>
                </c:pt>
                <c:pt idx="2">
                  <c:v>-6.3174464964430178E-3</c:v>
                </c:pt>
                <c:pt idx="3">
                  <c:v>-9.2690512851180233E-3</c:v>
                </c:pt>
                <c:pt idx="4">
                  <c:v>-1.2400669864055774E-2</c:v>
                </c:pt>
                <c:pt idx="5">
                  <c:v>-1.5362860266520348E-2</c:v>
                </c:pt>
                <c:pt idx="6">
                  <c:v>-1.7844179087973727E-2</c:v>
                </c:pt>
                <c:pt idx="7">
                  <c:v>-1.9629166791495723E-2</c:v>
                </c:pt>
                <c:pt idx="8">
                  <c:v>-2.0621001433829625E-2</c:v>
                </c:pt>
                <c:pt idx="9">
                  <c:v>-2.083322233571781E-2</c:v>
                </c:pt>
                <c:pt idx="10">
                  <c:v>-2.0362290842882595E-2</c:v>
                </c:pt>
                <c:pt idx="11">
                  <c:v>-1.9353426783239921E-2</c:v>
                </c:pt>
                <c:pt idx="12">
                  <c:v>-1.7968986904518688E-2</c:v>
                </c:pt>
                <c:pt idx="13">
                  <c:v>-1.6364402414983967E-2</c:v>
                </c:pt>
                <c:pt idx="14">
                  <c:v>-1.467308185158127E-2</c:v>
                </c:pt>
                <c:pt idx="15">
                  <c:v>-1.2999360990032759E-2</c:v>
                </c:pt>
                <c:pt idx="16">
                  <c:v>-1.1417497527996139E-2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FC2-AE4F-8125-D33CAACDFF16}"/>
            </c:ext>
          </c:extLst>
        </c:ser>
        <c:ser>
          <c:idx val="7"/>
          <c:order val="7"/>
          <c:tx>
            <c:strRef>
              <c:f>CallGkTable!$Y$46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CallGkTable!$Y$47:$Y$63</c:f>
              <c:numCache>
                <c:formatCode>0.0000</c:formatCode>
                <c:ptCount val="17"/>
                <c:pt idx="0">
                  <c:v>-2.4820405101908011E-3</c:v>
                </c:pt>
                <c:pt idx="1">
                  <c:v>-4.3345416160164426E-3</c:v>
                </c:pt>
                <c:pt idx="2">
                  <c:v>-6.713524727213779E-3</c:v>
                </c:pt>
                <c:pt idx="3">
                  <c:v>-9.427313990530423E-3</c:v>
                </c:pt>
                <c:pt idx="4">
                  <c:v>-1.2209181629855972E-2</c:v>
                </c:pt>
                <c:pt idx="5">
                  <c:v>-1.478163582439752E-2</c:v>
                </c:pt>
                <c:pt idx="6">
                  <c:v>-1.6912727096520957E-2</c:v>
                </c:pt>
                <c:pt idx="7">
                  <c:v>-1.845024458345422E-2</c:v>
                </c:pt>
                <c:pt idx="8">
                  <c:v>-1.933126228348668E-2</c:v>
                </c:pt>
                <c:pt idx="9">
                  <c:v>-1.9572362194803957E-2</c:v>
                </c:pt>
                <c:pt idx="10">
                  <c:v>-1.9248887049009483E-2</c:v>
                </c:pt>
                <c:pt idx="11">
                  <c:v>-1.8470998973509553E-2</c:v>
                </c:pt>
                <c:pt idx="12">
                  <c:v>-1.7361991874474965E-2</c:v>
                </c:pt>
                <c:pt idx="13">
                  <c:v>-1.6041692087433352E-2</c:v>
                </c:pt>
                <c:pt idx="14">
                  <c:v>-1.4615688299595741E-2</c:v>
                </c:pt>
                <c:pt idx="15">
                  <c:v>-1.3169810095521121E-2</c:v>
                </c:pt>
                <c:pt idx="16">
                  <c:v>-1.1768651175255076E-2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FC2-AE4F-8125-D33CAACDFF16}"/>
            </c:ext>
          </c:extLst>
        </c:ser>
        <c:ser>
          <c:idx val="8"/>
          <c:order val="8"/>
          <c:tx>
            <c:strRef>
              <c:f>CallGkTable!$Z$46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CallGkTable!$Z$47:$Z$63</c:f>
              <c:numCache>
                <c:formatCode>0.0000</c:formatCode>
                <c:ptCount val="17"/>
                <c:pt idx="0">
                  <c:v>-2.8643976252613942E-3</c:v>
                </c:pt>
                <c:pt idx="1">
                  <c:v>-4.7206112946230226E-3</c:v>
                </c:pt>
                <c:pt idx="2">
                  <c:v>-6.9909687558181227E-3</c:v>
                </c:pt>
                <c:pt idx="3">
                  <c:v>-9.4877363884708094E-3</c:v>
                </c:pt>
                <c:pt idx="4">
                  <c:v>-1.1981003461584481E-2</c:v>
                </c:pt>
                <c:pt idx="5">
                  <c:v>-1.4248306028145799E-2</c:v>
                </c:pt>
                <c:pt idx="6">
                  <c:v>-1.6112934908725982E-2</c:v>
                </c:pt>
                <c:pt idx="7">
                  <c:v>-1.7464186054534727E-2</c:v>
                </c:pt>
                <c:pt idx="8">
                  <c:v>-1.8260255886732128E-2</c:v>
                </c:pt>
                <c:pt idx="9">
                  <c:v>-1.851867061312177E-2</c:v>
                </c:pt>
                <c:pt idx="10">
                  <c:v>-1.830021611928747E-2</c:v>
                </c:pt>
                <c:pt idx="11">
                  <c:v>-1.769143699034063E-2</c:v>
                </c:pt>
                <c:pt idx="12">
                  <c:v>-1.678907539949432E-2</c:v>
                </c:pt>
                <c:pt idx="13">
                  <c:v>-1.5688130393826306E-2</c:v>
                </c:pt>
                <c:pt idx="14">
                  <c:v>-1.4473928393117156E-2</c:v>
                </c:pt>
                <c:pt idx="15">
                  <c:v>-1.3217798413972104E-2</c:v>
                </c:pt>
                <c:pt idx="16">
                  <c:v>-1.1975570207334519E-2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FC2-AE4F-8125-D33CAACDFF16}"/>
            </c:ext>
          </c:extLst>
        </c:ser>
        <c:ser>
          <c:idx val="9"/>
          <c:order val="9"/>
          <c:tx>
            <c:strRef>
              <c:f>CallGkTable!$AA$46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CallGkTable!$AA$47:$AA$63</c:f>
              <c:numCache>
                <c:formatCode>0.0000</c:formatCode>
                <c:ptCount val="17"/>
                <c:pt idx="0">
                  <c:v>-3.1946917066473721E-3</c:v>
                </c:pt>
                <c:pt idx="1">
                  <c:v>-5.026524094306325E-3</c:v>
                </c:pt>
                <c:pt idx="2">
                  <c:v>-7.1819210348500759E-3</c:v>
                </c:pt>
                <c:pt idx="3">
                  <c:v>-9.4846913015921505E-3</c:v>
                </c:pt>
                <c:pt idx="4">
                  <c:v>-1.1737745850549727E-2</c:v>
                </c:pt>
                <c:pt idx="5">
                  <c:v>-1.3760849356365784E-2</c:v>
                </c:pt>
                <c:pt idx="6">
                  <c:v>-1.5416779554245641E-2</c:v>
                </c:pt>
                <c:pt idx="7">
                  <c:v>-1.6623162367735617E-2</c:v>
                </c:pt>
                <c:pt idx="8">
                  <c:v>-1.7351936757537503E-2</c:v>
                </c:pt>
                <c:pt idx="9">
                  <c:v>-1.7620573745771147E-2</c:v>
                </c:pt>
                <c:pt idx="10">
                  <c:v>-1.747936628223529E-2</c:v>
                </c:pt>
                <c:pt idx="11">
                  <c:v>-1.6998205603962133E-2</c:v>
                </c:pt>
                <c:pt idx="12">
                  <c:v>-1.6255012613347664E-2</c:v>
                </c:pt>
                <c:pt idx="13">
                  <c:v>-1.5326855586158964E-2</c:v>
                </c:pt>
                <c:pt idx="14">
                  <c:v>-1.4283952976631936E-2</c:v>
                </c:pt>
                <c:pt idx="15">
                  <c:v>-1.3186256532811455E-2</c:v>
                </c:pt>
                <c:pt idx="16">
                  <c:v>-1.2082075574953962E-2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FC2-AE4F-8125-D33CAACDFF16}"/>
            </c:ext>
          </c:extLst>
        </c:ser>
        <c:ser>
          <c:idx val="10"/>
          <c:order val="10"/>
          <c:tx>
            <c:strRef>
              <c:f>CallGkTable!$AB$46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CallGkTable!$AB$47:$AB$63</c:f>
              <c:numCache>
                <c:formatCode>0.0000</c:formatCode>
                <c:ptCount val="17"/>
                <c:pt idx="0">
                  <c:v>-4.6813137664605499E-3</c:v>
                </c:pt>
                <c:pt idx="1">
                  <c:v>-5.9813696060692558E-3</c:v>
                </c:pt>
                <c:pt idx="2">
                  <c:v>-7.2754572296498624E-3</c:v>
                </c:pt>
                <c:pt idx="3">
                  <c:v>-8.5006918870688866E-3</c:v>
                </c:pt>
                <c:pt idx="4">
                  <c:v>-9.6077555339189324E-3</c:v>
                </c:pt>
                <c:pt idx="5">
                  <c:v>-1.0562482528402098E-2</c:v>
                </c:pt>
                <c:pt idx="6">
                  <c:v>-1.1345229383883111E-2</c:v>
                </c:pt>
                <c:pt idx="7">
                  <c:v>-1.1948926939863769E-2</c:v>
                </c:pt>
                <c:pt idx="8">
                  <c:v>-1.2376533644701881E-2</c:v>
                </c:pt>
                <c:pt idx="9">
                  <c:v>-1.2638391494715467E-2</c:v>
                </c:pt>
                <c:pt idx="10">
                  <c:v>-1.2749791611446966E-2</c:v>
                </c:pt>
                <c:pt idx="11">
                  <c:v>-1.2728906636104681E-2</c:v>
                </c:pt>
                <c:pt idx="12">
                  <c:v>-1.2595143753280942E-2</c:v>
                </c:pt>
                <c:pt idx="13">
                  <c:v>-1.236790787697707E-2</c:v>
                </c:pt>
                <c:pt idx="14">
                  <c:v>-1.2065729467039186E-2</c:v>
                </c:pt>
                <c:pt idx="15">
                  <c:v>-1.1705696345390515E-2</c:v>
                </c:pt>
                <c:pt idx="16">
                  <c:v>-1.1303126320450827E-2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FC2-AE4F-8125-D33CAACDFF16}"/>
            </c:ext>
          </c:extLst>
        </c:ser>
        <c:ser>
          <c:idx val="11"/>
          <c:order val="11"/>
          <c:tx>
            <c:strRef>
              <c:f>CallGkTable!$AC$46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CallGkTable!$AC$47:$AC$63</c:f>
              <c:numCache>
                <c:formatCode>0.0000</c:formatCode>
                <c:ptCount val="17"/>
                <c:pt idx="0">
                  <c:v>-4.8647554364029642E-3</c:v>
                </c:pt>
                <c:pt idx="1">
                  <c:v>-5.8003146846059223E-3</c:v>
                </c:pt>
                <c:pt idx="2">
                  <c:v>-6.6876625701143017E-3</c:v>
                </c:pt>
                <c:pt idx="3">
                  <c:v>-7.5020370957601138E-3</c:v>
                </c:pt>
                <c:pt idx="4">
                  <c:v>-8.2267347934791759E-3</c:v>
                </c:pt>
                <c:pt idx="5">
                  <c:v>-8.852148601048446E-3</c:v>
                </c:pt>
                <c:pt idx="6">
                  <c:v>-9.3745207793801116E-3</c:v>
                </c:pt>
                <c:pt idx="7">
                  <c:v>-9.7946500084342865E-3</c:v>
                </c:pt>
                <c:pt idx="8">
                  <c:v>-1.0116690749816607E-2</c:v>
                </c:pt>
                <c:pt idx="9">
                  <c:v>-1.0347112839222855E-2</c:v>
                </c:pt>
                <c:pt idx="10">
                  <c:v>-1.049384430549196E-2</c:v>
                </c:pt>
                <c:pt idx="11">
                  <c:v>-1.056559385875621E-2</c:v>
                </c:pt>
                <c:pt idx="12">
                  <c:v>-1.0571335466653781E-2</c:v>
                </c:pt>
                <c:pt idx="13">
                  <c:v>-1.0519931433064565E-2</c:v>
                </c:pt>
                <c:pt idx="14">
                  <c:v>-1.0419869202588826E-2</c:v>
                </c:pt>
                <c:pt idx="15">
                  <c:v>-1.0279088582546081E-2</c:v>
                </c:pt>
                <c:pt idx="16">
                  <c:v>-1.0104878825265184E-2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FC2-AE4F-8125-D33CAACDFF16}"/>
            </c:ext>
          </c:extLst>
        </c:ser>
        <c:ser>
          <c:idx val="12"/>
          <c:order val="12"/>
          <c:tx>
            <c:strRef>
              <c:f>CallGkTable!$AD$46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CallGkTable!$AD$47:$AD$63</c:f>
              <c:numCache>
                <c:formatCode>0.0000</c:formatCode>
                <c:ptCount val="17"/>
                <c:pt idx="0">
                  <c:v>-4.7392880521538129E-3</c:v>
                </c:pt>
                <c:pt idx="1">
                  <c:v>-5.4588780490776694E-3</c:v>
                </c:pt>
                <c:pt idx="2">
                  <c:v>-6.1279613810610624E-3</c:v>
                </c:pt>
                <c:pt idx="3">
                  <c:v>-6.7355356887253467E-3</c:v>
                </c:pt>
                <c:pt idx="4">
                  <c:v>-7.2751933658265393E-3</c:v>
                </c:pt>
                <c:pt idx="5">
                  <c:v>-7.7442022009995039E-3</c:v>
                </c:pt>
                <c:pt idx="6">
                  <c:v>-8.1426436947306634E-3</c:v>
                </c:pt>
                <c:pt idx="7">
                  <c:v>-8.4726606396136588E-3</c:v>
                </c:pt>
                <c:pt idx="8">
                  <c:v>-8.737830637401028E-3</c:v>
                </c:pt>
                <c:pt idx="9">
                  <c:v>-8.9426628782225525E-3</c:v>
                </c:pt>
                <c:pt idx="10">
                  <c:v>-9.092205914330239E-3</c:v>
                </c:pt>
                <c:pt idx="11">
                  <c:v>-9.1917503785103709E-3</c:v>
                </c:pt>
                <c:pt idx="12">
                  <c:v>-9.2466100796593544E-3</c:v>
                </c:pt>
                <c:pt idx="13">
                  <c:v>-9.2619660764550766E-3</c:v>
                </c:pt>
                <c:pt idx="14">
                  <c:v>-9.2427602438595949E-3</c:v>
                </c:pt>
                <c:pt idx="15">
                  <c:v>-9.1936269711699152E-3</c:v>
                </c:pt>
                <c:pt idx="16">
                  <c:v>-9.1188536792843871E-3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FC2-AE4F-8125-D33CAACDFF16}"/>
            </c:ext>
          </c:extLst>
        </c:ser>
        <c:ser>
          <c:idx val="13"/>
          <c:order val="13"/>
          <c:tx>
            <c:strRef>
              <c:f>CallGkTable!$AE$46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CallGkTable!$AE$47:$AE$63</c:f>
              <c:numCache>
                <c:formatCode>0.0000</c:formatCode>
                <c:ptCount val="17"/>
                <c:pt idx="0">
                  <c:v>-4.5351230739948635E-3</c:v>
                </c:pt>
                <c:pt idx="1">
                  <c:v>-5.1165889558534737E-3</c:v>
                </c:pt>
                <c:pt idx="2">
                  <c:v>-5.6522519726966928E-3</c:v>
                </c:pt>
                <c:pt idx="3">
                  <c:v>-6.1370043560337343E-3</c:v>
                </c:pt>
                <c:pt idx="4">
                  <c:v>-6.5684877615526747E-3</c:v>
                </c:pt>
                <c:pt idx="5">
                  <c:v>-6.9464164713146882E-3</c:v>
                </c:pt>
                <c:pt idx="6">
                  <c:v>-7.2720111968502211E-3</c:v>
                </c:pt>
                <c:pt idx="7">
                  <c:v>-7.5475420683820656E-3</c:v>
                </c:pt>
                <c:pt idx="8">
                  <c:v>-7.7759697055117694E-3</c:v>
                </c:pt>
                <c:pt idx="9">
                  <c:v>-7.9606697661857833E-3</c:v>
                </c:pt>
                <c:pt idx="10">
                  <c:v>-8.1052261007705795E-3</c:v>
                </c:pt>
                <c:pt idx="11">
                  <c:v>-8.2132789019653159E-3</c:v>
                </c:pt>
                <c:pt idx="12">
                  <c:v>-8.2884161040901651E-3</c:v>
                </c:pt>
                <c:pt idx="13">
                  <c:v>-8.33409825556858E-3</c:v>
                </c:pt>
                <c:pt idx="14">
                  <c:v>-8.3536089273122671E-3</c:v>
                </c:pt>
                <c:pt idx="15">
                  <c:v>-8.3500243280010995E-3</c:v>
                </c:pt>
                <c:pt idx="16">
                  <c:v>-8.3261971497866141E-3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FC2-AE4F-8125-D33CAACDFF16}"/>
            </c:ext>
          </c:extLst>
        </c:ser>
        <c:bandFmts>
          <c:bandFmt>
            <c:idx val="0"/>
            <c:spPr>
              <a:solidFill>
                <a:schemeClr val="accent2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8000"/>
                </a:schemeClr>
              </a:solidFill>
              <a:ln/>
              <a:effectLst/>
              <a:sp3d/>
            </c:spPr>
          </c:bandFmt>
        </c:bandFmts>
        <c:axId val="1645565184"/>
        <c:axId val="1645566976"/>
        <c:axId val="1644461568"/>
      </c:surface3DChart>
      <c:catAx>
        <c:axId val="1645565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566976"/>
        <c:crosses val="autoZero"/>
        <c:auto val="1"/>
        <c:lblAlgn val="ctr"/>
        <c:lblOffset val="100"/>
        <c:noMultiLvlLbl val="0"/>
      </c:catAx>
      <c:valAx>
        <c:axId val="1645566976"/>
        <c:scaling>
          <c:orientation val="minMax"/>
          <c:max val="0"/>
          <c:min val="-0.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565184"/>
        <c:crosses val="autoZero"/>
        <c:crossBetween val="midCat"/>
      </c:valAx>
      <c:serAx>
        <c:axId val="16444615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566976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</a:t>
            </a:r>
            <a:r>
              <a:rPr lang="en-US" baseline="0"/>
              <a:t> - 10%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CallGkTable!$AH$46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CallGkTable!$AH$47:$AH$63</c:f>
              <c:numCache>
                <c:formatCode>0.0000</c:formatCode>
                <c:ptCount val="17"/>
                <c:pt idx="0">
                  <c:v>-4.8607391233108838E-59</c:v>
                </c:pt>
                <c:pt idx="1">
                  <c:v>-1.08587626406211E-42</c:v>
                </c:pt>
                <c:pt idx="2">
                  <c:v>-4.9219683121509843E-30</c:v>
                </c:pt>
                <c:pt idx="3">
                  <c:v>-2.1440234195109654E-20</c:v>
                </c:pt>
                <c:pt idx="4">
                  <c:v>-2.9987587661495556E-13</c:v>
                </c:pt>
                <c:pt idx="5">
                  <c:v>-3.484615224356023E-8</c:v>
                </c:pt>
                <c:pt idx="6">
                  <c:v>-7.1956503233977506E-5</c:v>
                </c:pt>
                <c:pt idx="7">
                  <c:v>-4.9006030079422874E-3</c:v>
                </c:pt>
                <c:pt idx="8">
                  <c:v>-1.8648056161643268E-2</c:v>
                </c:pt>
                <c:pt idx="9">
                  <c:v>-7.6978079919565396E-3</c:v>
                </c:pt>
                <c:pt idx="10">
                  <c:v>-2.9089580427955277E-3</c:v>
                </c:pt>
                <c:pt idx="11">
                  <c:v>-2.7378979367510933E-3</c:v>
                </c:pt>
                <c:pt idx="12">
                  <c:v>-2.7369886140532376E-3</c:v>
                </c:pt>
                <c:pt idx="13">
                  <c:v>-2.736987671012089E-3</c:v>
                </c:pt>
                <c:pt idx="14">
                  <c:v>-2.7369876707763869E-3</c:v>
                </c:pt>
                <c:pt idx="15">
                  <c:v>-2.73698767077637E-3</c:v>
                </c:pt>
                <c:pt idx="16">
                  <c:v>-2.73698767077637E-3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70-2E49-AEF2-EF5D3302D426}"/>
            </c:ext>
          </c:extLst>
        </c:ser>
        <c:ser>
          <c:idx val="1"/>
          <c:order val="1"/>
          <c:tx>
            <c:strRef>
              <c:f>CallGkTable!$AI$46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CallGkTable!$AI$47:$AI$63</c:f>
              <c:numCache>
                <c:formatCode>0.0000</c:formatCode>
                <c:ptCount val="17"/>
                <c:pt idx="0">
                  <c:v>-7.394036773880533E-31</c:v>
                </c:pt>
                <c:pt idx="1">
                  <c:v>-1.084394209613217E-22</c:v>
                </c:pt>
                <c:pt idx="2">
                  <c:v>-2.2694361220867503E-16</c:v>
                </c:pt>
                <c:pt idx="3">
                  <c:v>-1.4749846893202475E-11</c:v>
                </c:pt>
                <c:pt idx="4">
                  <c:v>-5.4426425665660641E-8</c:v>
                </c:pt>
                <c:pt idx="5">
                  <c:v>-1.8350671934921964E-5</c:v>
                </c:pt>
                <c:pt idx="6">
                  <c:v>-8.2797370478681622E-4</c:v>
                </c:pt>
                <c:pt idx="7">
                  <c:v>-6.8365065413363742E-3</c:v>
                </c:pt>
                <c:pt idx="8">
                  <c:v>-1.3584079256396245E-2</c:v>
                </c:pt>
                <c:pt idx="9">
                  <c:v>-8.9332989803460796E-3</c:v>
                </c:pt>
                <c:pt idx="10">
                  <c:v>-3.8913061596230723E-3</c:v>
                </c:pt>
                <c:pt idx="11">
                  <c:v>-2.818087327364811E-3</c:v>
                </c:pt>
                <c:pt idx="12">
                  <c:v>-2.7369331127422283E-3</c:v>
                </c:pt>
                <c:pt idx="13">
                  <c:v>-2.7342941132561414E-3</c:v>
                </c:pt>
                <c:pt idx="14">
                  <c:v>-2.7342524051318456E-3</c:v>
                </c:pt>
                <c:pt idx="15">
                  <c:v>-2.7342520528684244E-3</c:v>
                </c:pt>
                <c:pt idx="16">
                  <c:v>-2.7342520511485771E-3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70-2E49-AEF2-EF5D3302D426}"/>
            </c:ext>
          </c:extLst>
        </c:ser>
        <c:ser>
          <c:idx val="2"/>
          <c:order val="2"/>
          <c:tx>
            <c:strRef>
              <c:f>CallGkTable!$AJ$46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CallGkTable!$AJ$47:$AJ$63</c:f>
              <c:numCache>
                <c:formatCode>0.0000</c:formatCode>
                <c:ptCount val="17"/>
                <c:pt idx="0">
                  <c:v>-1.6820692697282178E-21</c:v>
                </c:pt>
                <c:pt idx="1">
                  <c:v>-4.6211580497308818E-16</c:v>
                </c:pt>
                <c:pt idx="2">
                  <c:v>-7.479143057101752E-12</c:v>
                </c:pt>
                <c:pt idx="3">
                  <c:v>-1.1975842083892231E-8</c:v>
                </c:pt>
                <c:pt idx="4">
                  <c:v>-2.8371084775912316E-6</c:v>
                </c:pt>
                <c:pt idx="5">
                  <c:v>-1.3663281919535541E-4</c:v>
                </c:pt>
                <c:pt idx="6">
                  <c:v>-1.7270312440617174E-3</c:v>
                </c:pt>
                <c:pt idx="7">
                  <c:v>-7.0767071554018405E-3</c:v>
                </c:pt>
                <c:pt idx="8">
                  <c:v>-1.1339592584775319E-2</c:v>
                </c:pt>
                <c:pt idx="9">
                  <c:v>-8.7680662048319081E-3</c:v>
                </c:pt>
                <c:pt idx="10">
                  <c:v>-4.7122847712180206E-3</c:v>
                </c:pt>
                <c:pt idx="11">
                  <c:v>-3.0755397384419733E-3</c:v>
                </c:pt>
                <c:pt idx="12">
                  <c:v>-2.7660761012858214E-3</c:v>
                </c:pt>
                <c:pt idx="13">
                  <c:v>-2.7336759993008739E-3</c:v>
                </c:pt>
                <c:pt idx="14">
                  <c:v>-2.7316079925956542E-3</c:v>
                </c:pt>
                <c:pt idx="15">
                  <c:v>-2.7315217065746297E-3</c:v>
                </c:pt>
                <c:pt idx="16">
                  <c:v>-2.7315192185145614E-3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70-2E49-AEF2-EF5D3302D426}"/>
            </c:ext>
          </c:extLst>
        </c:ser>
        <c:ser>
          <c:idx val="3"/>
          <c:order val="3"/>
          <c:tx>
            <c:strRef>
              <c:f>CallGkTable!$AK$46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CallGkTable!$AK$47:$AK$63</c:f>
              <c:numCache>
                <c:formatCode>0.0000</c:formatCode>
                <c:ptCount val="17"/>
                <c:pt idx="0">
                  <c:v>-7.6992724938714478E-17</c:v>
                </c:pt>
                <c:pt idx="1">
                  <c:v>-9.1578871538016226E-13</c:v>
                </c:pt>
                <c:pt idx="2">
                  <c:v>-1.3039335518015704E-9</c:v>
                </c:pt>
                <c:pt idx="3">
                  <c:v>-3.278888743849616E-7</c:v>
                </c:pt>
                <c:pt idx="4">
                  <c:v>-1.9695489009571748E-5</c:v>
                </c:pt>
                <c:pt idx="5">
                  <c:v>-3.5880637288301833E-4</c:v>
                </c:pt>
                <c:pt idx="6">
                  <c:v>-2.4033185999368196E-3</c:v>
                </c:pt>
                <c:pt idx="7">
                  <c:v>-6.9465581228966731E-3</c:v>
                </c:pt>
                <c:pt idx="8">
                  <c:v>-1.0000882518242169E-2</c:v>
                </c:pt>
                <c:pt idx="9">
                  <c:v>-8.3872819229696503E-3</c:v>
                </c:pt>
                <c:pt idx="10">
                  <c:v>-5.1946370335550825E-3</c:v>
                </c:pt>
                <c:pt idx="11">
                  <c:v>-3.3926715988255767E-3</c:v>
                </c:pt>
                <c:pt idx="12">
                  <c:v>-2.8470825557422789E-3</c:v>
                </c:pt>
                <c:pt idx="13">
                  <c:v>-2.743524708830351E-3</c:v>
                </c:pt>
                <c:pt idx="14">
                  <c:v>-2.7301321563579272E-3</c:v>
                </c:pt>
                <c:pt idx="15">
                  <c:v>-2.7288821272296883E-3</c:v>
                </c:pt>
                <c:pt idx="16">
                  <c:v>-2.7287940874309588E-3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70-2E49-AEF2-EF5D3302D426}"/>
            </c:ext>
          </c:extLst>
        </c:ser>
        <c:ser>
          <c:idx val="4"/>
          <c:order val="4"/>
          <c:tx>
            <c:strRef>
              <c:f>CallGkTable!$AL$46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CallGkTable!$AL$47:$AL$63</c:f>
              <c:numCache>
                <c:formatCode>0.0000</c:formatCode>
                <c:ptCount val="17"/>
                <c:pt idx="0">
                  <c:v>-4.7020604293671606E-14</c:v>
                </c:pt>
                <c:pt idx="1">
                  <c:v>-8.503599422603399E-11</c:v>
                </c:pt>
                <c:pt idx="2">
                  <c:v>-2.8171504015769907E-8</c:v>
                </c:pt>
                <c:pt idx="3">
                  <c:v>-2.333768996237393E-6</c:v>
                </c:pt>
                <c:pt idx="4">
                  <c:v>-6.1567719232975506E-5</c:v>
                </c:pt>
                <c:pt idx="5">
                  <c:v>-6.2633483265583673E-4</c:v>
                </c:pt>
                <c:pt idx="6">
                  <c:v>-2.86820697129312E-3</c:v>
                </c:pt>
                <c:pt idx="7">
                  <c:v>-6.728978133982327E-3</c:v>
                </c:pt>
                <c:pt idx="8">
                  <c:v>-9.0867461332547108E-3</c:v>
                </c:pt>
                <c:pt idx="9">
                  <c:v>-7.9991241585501693E-3</c:v>
                </c:pt>
                <c:pt idx="10">
                  <c:v>-5.4532532806975649E-3</c:v>
                </c:pt>
                <c:pt idx="11">
                  <c:v>-3.6819872392782455E-3</c:v>
                </c:pt>
                <c:pt idx="12">
                  <c:v>-2.9664502842081759E-3</c:v>
                </c:pt>
                <c:pt idx="13">
                  <c:v>-2.7714142243693103E-3</c:v>
                </c:pt>
                <c:pt idx="14">
                  <c:v>-2.732722349661286E-3</c:v>
                </c:pt>
                <c:pt idx="15">
                  <c:v>-2.7268472305600894E-3</c:v>
                </c:pt>
                <c:pt idx="16">
                  <c:v>-2.7261380231119355E-3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770-2E49-AEF2-EF5D3302D426}"/>
            </c:ext>
          </c:extLst>
        </c:ser>
        <c:ser>
          <c:idx val="5"/>
          <c:order val="5"/>
          <c:tx>
            <c:strRef>
              <c:f>CallGkTable!$AM$46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CallGkTable!$AM$47:$AM$63</c:f>
              <c:numCache>
                <c:formatCode>0.0000</c:formatCode>
                <c:ptCount val="17"/>
                <c:pt idx="0">
                  <c:v>-3.3311438102539531E-12</c:v>
                </c:pt>
                <c:pt idx="1">
                  <c:v>-1.7164793217520013E-9</c:v>
                </c:pt>
                <c:pt idx="2">
                  <c:v>-2.1516966274240728E-7</c:v>
                </c:pt>
                <c:pt idx="3">
                  <c:v>-8.5050236349412034E-6</c:v>
                </c:pt>
                <c:pt idx="4">
                  <c:v>-1.2968848286531006E-4</c:v>
                </c:pt>
                <c:pt idx="5">
                  <c:v>-8.9507303836912431E-4</c:v>
                </c:pt>
                <c:pt idx="6">
                  <c:v>-3.1826508680168749E-3</c:v>
                </c:pt>
                <c:pt idx="7">
                  <c:v>-6.5000392338948861E-3</c:v>
                </c:pt>
                <c:pt idx="8">
                  <c:v>-8.4115102039457497E-3</c:v>
                </c:pt>
                <c:pt idx="9">
                  <c:v>-7.6457252709511521E-3</c:v>
                </c:pt>
                <c:pt idx="10">
                  <c:v>-5.5792069205201321E-3</c:v>
                </c:pt>
                <c:pt idx="11">
                  <c:v>-3.9175885994299749E-3</c:v>
                </c:pt>
                <c:pt idx="12">
                  <c:v>-3.1013726684467648E-3</c:v>
                </c:pt>
                <c:pt idx="13">
                  <c:v>-2.8174307433527055E-3</c:v>
                </c:pt>
                <c:pt idx="14">
                  <c:v>-2.7423352226375757E-3</c:v>
                </c:pt>
                <c:pt idx="15">
                  <c:v>-2.7265312280787012E-3</c:v>
                </c:pt>
                <c:pt idx="16">
                  <c:v>-2.7237942649291774E-3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770-2E49-AEF2-EF5D3302D426}"/>
            </c:ext>
          </c:extLst>
        </c:ser>
        <c:ser>
          <c:idx val="6"/>
          <c:order val="6"/>
          <c:tx>
            <c:strRef>
              <c:f>CallGkTable!$AN$46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CallGkTable!$AN$47:$AN$63</c:f>
              <c:numCache>
                <c:formatCode>0.0000</c:formatCode>
                <c:ptCount val="17"/>
                <c:pt idx="0">
                  <c:v>-6.9080303501675939E-11</c:v>
                </c:pt>
                <c:pt idx="1">
                  <c:v>-1.45208142927398E-8</c:v>
                </c:pt>
                <c:pt idx="2">
                  <c:v>-9.0937510122591536E-7</c:v>
                </c:pt>
                <c:pt idx="3">
                  <c:v>-2.119349141272701E-5</c:v>
                </c:pt>
                <c:pt idx="4">
                  <c:v>-2.1852655736779805E-4</c:v>
                </c:pt>
                <c:pt idx="5">
                  <c:v>-1.1435497472532126E-3</c:v>
                </c:pt>
                <c:pt idx="6">
                  <c:v>-3.3952024638746522E-3</c:v>
                </c:pt>
                <c:pt idx="7">
                  <c:v>-6.2822853527534283E-3</c:v>
                </c:pt>
                <c:pt idx="8">
                  <c:v>-7.8863417080290536E-3</c:v>
                </c:pt>
                <c:pt idx="9">
                  <c:v>-7.3325007234308383E-3</c:v>
                </c:pt>
                <c:pt idx="10">
                  <c:v>-5.6268353354807675E-3</c:v>
                </c:pt>
                <c:pt idx="11">
                  <c:v>-4.0998343963390216E-3</c:v>
                </c:pt>
                <c:pt idx="12">
                  <c:v>-3.2353896287977686E-3</c:v>
                </c:pt>
                <c:pt idx="13">
                  <c:v>-2.876830587230414E-3</c:v>
                </c:pt>
                <c:pt idx="14">
                  <c:v>-2.7602165367608218E-3</c:v>
                </c:pt>
                <c:pt idx="15">
                  <c:v>-2.7291937836389614E-3</c:v>
                </c:pt>
                <c:pt idx="16">
                  <c:v>-2.7222339511491331E-3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770-2E49-AEF2-EF5D3302D426}"/>
            </c:ext>
          </c:extLst>
        </c:ser>
        <c:ser>
          <c:idx val="7"/>
          <c:order val="7"/>
          <c:tx>
            <c:strRef>
              <c:f>CallGkTable!$AO$46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CallGkTable!$AO$47:$AO$63</c:f>
              <c:numCache>
                <c:formatCode>0.0000</c:formatCode>
                <c:ptCount val="17"/>
                <c:pt idx="0">
                  <c:v>-6.6573166634795337E-10</c:v>
                </c:pt>
                <c:pt idx="1">
                  <c:v>-7.1439472848684185E-8</c:v>
                </c:pt>
                <c:pt idx="2">
                  <c:v>-2.6589967230020451E-6</c:v>
                </c:pt>
                <c:pt idx="3">
                  <c:v>-4.1704733289099119E-5</c:v>
                </c:pt>
                <c:pt idx="4">
                  <c:v>-3.2073348954253554E-4</c:v>
                </c:pt>
                <c:pt idx="5">
                  <c:v>-1.36412973646698E-3</c:v>
                </c:pt>
                <c:pt idx="6">
                  <c:v>-3.538718453343772E-3</c:v>
                </c:pt>
                <c:pt idx="7">
                  <c:v>-6.0818261522560787E-3</c:v>
                </c:pt>
                <c:pt idx="8">
                  <c:v>-7.4626929861352385E-3</c:v>
                </c:pt>
                <c:pt idx="9">
                  <c:v>-7.0560378776292655E-3</c:v>
                </c:pt>
                <c:pt idx="10">
                  <c:v>-5.6276410487643477E-3</c:v>
                </c:pt>
                <c:pt idx="11">
                  <c:v>-4.2367889185774615E-3</c:v>
                </c:pt>
                <c:pt idx="12">
                  <c:v>-3.3595434629207685E-3</c:v>
                </c:pt>
                <c:pt idx="13">
                  <c:v>-2.9438719975859004E-3</c:v>
                </c:pt>
                <c:pt idx="14">
                  <c:v>-2.7858561465016387E-3</c:v>
                </c:pt>
                <c:pt idx="15">
                  <c:v>-2.735702078658283E-3</c:v>
                </c:pt>
                <c:pt idx="16">
                  <c:v>-2.7220300049986446E-3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770-2E49-AEF2-EF5D3302D426}"/>
            </c:ext>
          </c:extLst>
        </c:ser>
        <c:ser>
          <c:idx val="8"/>
          <c:order val="8"/>
          <c:tx>
            <c:strRef>
              <c:f>CallGkTable!$AP$46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CallGkTable!$AP$47:$AP$63</c:f>
              <c:numCache>
                <c:formatCode>0.0000</c:formatCode>
                <c:ptCount val="17"/>
                <c:pt idx="0">
                  <c:v>-3.8529870723675087E-9</c:v>
                </c:pt>
                <c:pt idx="1">
                  <c:v>-2.4511925227671841E-7</c:v>
                </c:pt>
                <c:pt idx="2">
                  <c:v>-6.0877951498852109E-6</c:v>
                </c:pt>
                <c:pt idx="3">
                  <c:v>-7.0182114445786235E-5</c:v>
                </c:pt>
                <c:pt idx="4">
                  <c:v>-4.2975710045097974E-4</c:v>
                </c:pt>
                <c:pt idx="5">
                  <c:v>-1.5559486729817653E-3</c:v>
                </c:pt>
                <c:pt idx="6">
                  <c:v>-3.6348243433050815E-3</c:v>
                </c:pt>
                <c:pt idx="7">
                  <c:v>-5.899276831986414E-3</c:v>
                </c:pt>
                <c:pt idx="8">
                  <c:v>-7.1114959516656931E-3</c:v>
                </c:pt>
                <c:pt idx="9">
                  <c:v>-6.8112371711487648E-3</c:v>
                </c:pt>
                <c:pt idx="10">
                  <c:v>-5.6001813999779493E-3</c:v>
                </c:pt>
                <c:pt idx="11">
                  <c:v>-4.3374413426835959E-3</c:v>
                </c:pt>
                <c:pt idx="12">
                  <c:v>-3.4699713884223408E-3</c:v>
                </c:pt>
                <c:pt idx="13">
                  <c:v>-3.0136947476325578E-3</c:v>
                </c:pt>
                <c:pt idx="14">
                  <c:v>-2.8177307946140435E-3</c:v>
                </c:pt>
                <c:pt idx="15">
                  <c:v>-2.7463367452608455E-3</c:v>
                </c:pt>
                <c:pt idx="16">
                  <c:v>-2.7236795785183059E-3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770-2E49-AEF2-EF5D3302D426}"/>
            </c:ext>
          </c:extLst>
        </c:ser>
        <c:ser>
          <c:idx val="9"/>
          <c:order val="9"/>
          <c:tx>
            <c:strRef>
              <c:f>CallGkTable!$AQ$46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CallGkTable!$AQ$47:$AQ$63</c:f>
              <c:numCache>
                <c:formatCode>0.0000</c:formatCode>
                <c:ptCount val="17"/>
                <c:pt idx="0">
                  <c:v>-1.5616486625209436E-8</c:v>
                </c:pt>
                <c:pt idx="1">
                  <c:v>-6.5397235258806203E-7</c:v>
                </c:pt>
                <c:pt idx="2">
                  <c:v>-1.1752640499261456E-5</c:v>
                </c:pt>
                <c:pt idx="3">
                  <c:v>-1.0592549484760884E-4</c:v>
                </c:pt>
                <c:pt idx="4">
                  <c:v>-5.4062403596464171E-4</c:v>
                </c:pt>
                <c:pt idx="5">
                  <c:v>-1.7210375065471284E-3</c:v>
                </c:pt>
                <c:pt idx="6">
                  <c:v>-3.6978399638639171E-3</c:v>
                </c:pt>
                <c:pt idx="7">
                  <c:v>-5.7334209143317175E-3</c:v>
                </c:pt>
                <c:pt idx="8">
                  <c:v>-6.8141424186834694E-3</c:v>
                </c:pt>
                <c:pt idx="9">
                  <c:v>-6.5932393812371632E-3</c:v>
                </c:pt>
                <c:pt idx="10">
                  <c:v>-5.5556579677754564E-3</c:v>
                </c:pt>
                <c:pt idx="11">
                  <c:v>-4.4096540404070178E-3</c:v>
                </c:pt>
                <c:pt idx="12">
                  <c:v>-3.5657097047538796E-3</c:v>
                </c:pt>
                <c:pt idx="13">
                  <c:v>-3.082789852781783E-3</c:v>
                </c:pt>
                <c:pt idx="14">
                  <c:v>-2.8539929876243157E-3</c:v>
                </c:pt>
                <c:pt idx="15">
                  <c:v>-2.7608771112304633E-3</c:v>
                </c:pt>
                <c:pt idx="16">
                  <c:v>-2.7274934864203472E-3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770-2E49-AEF2-EF5D3302D426}"/>
            </c:ext>
          </c:extLst>
        </c:ser>
        <c:ser>
          <c:idx val="10"/>
          <c:order val="10"/>
          <c:tx>
            <c:strRef>
              <c:f>CallGkTable!$AR$46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CallGkTable!$AR$47:$AR$63</c:f>
              <c:numCache>
                <c:formatCode>0.0000</c:formatCode>
                <c:ptCount val="17"/>
                <c:pt idx="0">
                  <c:v>-7.6971390871607689E-6</c:v>
                </c:pt>
                <c:pt idx="1">
                  <c:v>-4.9218966358370517E-5</c:v>
                </c:pt>
                <c:pt idx="2">
                  <c:v>-2.0682932881957742E-4</c:v>
                </c:pt>
                <c:pt idx="3">
                  <c:v>-6.1764905407730704E-4</c:v>
                </c:pt>
                <c:pt idx="4">
                  <c:v>-1.393497328409217E-3</c:v>
                </c:pt>
                <c:pt idx="5">
                  <c:v>-2.494565685701439E-3</c:v>
                </c:pt>
                <c:pt idx="6">
                  <c:v>-3.6890735961092476E-3</c:v>
                </c:pt>
                <c:pt idx="7">
                  <c:v>-4.6640249678363745E-3</c:v>
                </c:pt>
                <c:pt idx="8">
                  <c:v>-5.1967667503864771E-3</c:v>
                </c:pt>
                <c:pt idx="9">
                  <c:v>-5.2498490762077979E-3</c:v>
                </c:pt>
                <c:pt idx="10">
                  <c:v>-4.9431622584815253E-3</c:v>
                </c:pt>
                <c:pt idx="11">
                  <c:v>-4.4586785901714167E-3</c:v>
                </c:pt>
                <c:pt idx="12">
                  <c:v>-3.9544788770340747E-3</c:v>
                </c:pt>
                <c:pt idx="13">
                  <c:v>-3.5254793804016605E-3</c:v>
                </c:pt>
                <c:pt idx="14">
                  <c:v>-3.2056859635034209E-3</c:v>
                </c:pt>
                <c:pt idx="15">
                  <c:v>-2.9896518167240559E-3</c:v>
                </c:pt>
                <c:pt idx="16">
                  <c:v>-2.8546706477409903E-3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770-2E49-AEF2-EF5D3302D426}"/>
            </c:ext>
          </c:extLst>
        </c:ser>
        <c:ser>
          <c:idx val="11"/>
          <c:order val="11"/>
          <c:tx>
            <c:strRef>
              <c:f>CallGkTable!$AS$46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CallGkTable!$AS$47:$AS$63</c:f>
              <c:numCache>
                <c:formatCode>0.0000</c:formatCode>
                <c:ptCount val="17"/>
                <c:pt idx="0">
                  <c:v>-5.6462471820863367E-5</c:v>
                </c:pt>
                <c:pt idx="1">
                  <c:v>-1.9342981188610103E-4</c:v>
                </c:pt>
                <c:pt idx="2">
                  <c:v>-5.0203494188602073E-4</c:v>
                </c:pt>
                <c:pt idx="3">
                  <c:v>-1.0401613305351378E-3</c:v>
                </c:pt>
                <c:pt idx="4">
                  <c:v>-1.7923956660358823E-3</c:v>
                </c:pt>
                <c:pt idx="5">
                  <c:v>-2.6547740949320045E-3</c:v>
                </c:pt>
                <c:pt idx="6">
                  <c:v>-3.4725023557419634E-3</c:v>
                </c:pt>
                <c:pt idx="7">
                  <c:v>-4.1041967805758922E-3</c:v>
                </c:pt>
                <c:pt idx="8">
                  <c:v>-4.4716079014028923E-3</c:v>
                </c:pt>
                <c:pt idx="9">
                  <c:v>-4.5725396202247869E-3</c:v>
                </c:pt>
                <c:pt idx="10">
                  <c:v>-4.4617749510637277E-3</c:v>
                </c:pt>
                <c:pt idx="11">
                  <c:v>-4.218938209286577E-3</c:v>
                </c:pt>
                <c:pt idx="12">
                  <c:v>-3.9204775417341292E-3</c:v>
                </c:pt>
                <c:pt idx="13">
                  <c:v>-3.6237548794847097E-3</c:v>
                </c:pt>
                <c:pt idx="14">
                  <c:v>-3.3629384444224812E-3</c:v>
                </c:pt>
                <c:pt idx="15">
                  <c:v>-3.1524002957230659E-3</c:v>
                </c:pt>
                <c:pt idx="16">
                  <c:v>-2.9930375106576039E-3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770-2E49-AEF2-EF5D3302D426}"/>
            </c:ext>
          </c:extLst>
        </c:ser>
        <c:ser>
          <c:idx val="12"/>
          <c:order val="12"/>
          <c:tx>
            <c:strRef>
              <c:f>CallGkTable!$AT$46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CallGkTable!$AT$47:$AT$63</c:f>
              <c:numCache>
                <c:formatCode>0.0000</c:formatCode>
                <c:ptCount val="17"/>
                <c:pt idx="0">
                  <c:v>-1.4781744530698417E-4</c:v>
                </c:pt>
                <c:pt idx="1">
                  <c:v>-3.7114411583880649E-4</c:v>
                </c:pt>
                <c:pt idx="2">
                  <c:v>-7.5805134587510507E-4</c:v>
                </c:pt>
                <c:pt idx="3">
                  <c:v>-1.309924658576698E-3</c:v>
                </c:pt>
                <c:pt idx="4">
                  <c:v>-1.9750182600096898E-3</c:v>
                </c:pt>
                <c:pt idx="5">
                  <c:v>-2.6632813499454658E-3</c:v>
                </c:pt>
                <c:pt idx="6">
                  <c:v>-3.2779817587708549E-3</c:v>
                </c:pt>
                <c:pt idx="7">
                  <c:v>-3.7459055472475462E-3</c:v>
                </c:pt>
                <c:pt idx="8">
                  <c:v>-4.0332340374452562E-3</c:v>
                </c:pt>
                <c:pt idx="9">
                  <c:v>-4.1448990624083325E-3</c:v>
                </c:pt>
                <c:pt idx="10">
                  <c:v>-4.1129984667138764E-3</c:v>
                </c:pt>
                <c:pt idx="11">
                  <c:v>-3.9819272089589375E-3</c:v>
                </c:pt>
                <c:pt idx="12">
                  <c:v>-3.7958881130957635E-3</c:v>
                </c:pt>
                <c:pt idx="13">
                  <c:v>-3.5912186818333729E-3</c:v>
                </c:pt>
                <c:pt idx="14">
                  <c:v>-3.3934233108399718E-3</c:v>
                </c:pt>
                <c:pt idx="15">
                  <c:v>-3.2175359166484005E-3</c:v>
                </c:pt>
                <c:pt idx="16">
                  <c:v>-3.0702242762499269E-3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770-2E49-AEF2-EF5D3302D426}"/>
            </c:ext>
          </c:extLst>
        </c:ser>
        <c:ser>
          <c:idx val="13"/>
          <c:order val="13"/>
          <c:tx>
            <c:strRef>
              <c:f>CallGkTable!$AU$46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CallGkTable!$AU$47:$AU$63</c:f>
              <c:numCache>
                <c:formatCode>0.0000</c:formatCode>
                <c:ptCount val="17"/>
                <c:pt idx="0">
                  <c:v>-2.5828777230125691E-4</c:v>
                </c:pt>
                <c:pt idx="1">
                  <c:v>-5.3865140524796259E-4</c:v>
                </c:pt>
                <c:pt idx="2">
                  <c:v>-9.5361421913977456E-4</c:v>
                </c:pt>
                <c:pt idx="3">
                  <c:v>-1.4789037362070371E-3</c:v>
                </c:pt>
                <c:pt idx="4">
                  <c:v>-2.0592901027797783E-3</c:v>
                </c:pt>
                <c:pt idx="5">
                  <c:v>-2.6259889649814889E-3</c:v>
                </c:pt>
                <c:pt idx="6">
                  <c:v>-3.1167209253369476E-3</c:v>
                </c:pt>
                <c:pt idx="7">
                  <c:v>-3.4898745462750205E-3</c:v>
                </c:pt>
                <c:pt idx="8">
                  <c:v>-3.729378121756278E-3</c:v>
                </c:pt>
                <c:pt idx="9">
                  <c:v>-3.8416324918737858E-3</c:v>
                </c:pt>
                <c:pt idx="10">
                  <c:v>-3.8481179638850107E-3</c:v>
                </c:pt>
                <c:pt idx="11">
                  <c:v>-3.7772264873450105E-3</c:v>
                </c:pt>
                <c:pt idx="12">
                  <c:v>-3.6576166478524815E-3</c:v>
                </c:pt>
                <c:pt idx="13">
                  <c:v>-3.5139854855894383E-3</c:v>
                </c:pt>
                <c:pt idx="14">
                  <c:v>-3.3651475756269395E-3</c:v>
                </c:pt>
                <c:pt idx="15">
                  <c:v>-3.2238207807185359E-3</c:v>
                </c:pt>
                <c:pt idx="16">
                  <c:v>-3.0974201768739838E-3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770-2E49-AEF2-EF5D3302D426}"/>
            </c:ext>
          </c:extLst>
        </c:ser>
        <c:bandFmts>
          <c:bandFmt>
            <c:idx val="0"/>
            <c:spPr>
              <a:solidFill>
                <a:schemeClr val="accent2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8000"/>
                </a:schemeClr>
              </a:solidFill>
              <a:ln/>
              <a:effectLst/>
              <a:sp3d/>
            </c:spPr>
          </c:bandFmt>
        </c:bandFmts>
        <c:axId val="1646795328"/>
        <c:axId val="1646793088"/>
        <c:axId val="1636477440"/>
      </c:surface3DChart>
      <c:catAx>
        <c:axId val="1646795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6793088"/>
        <c:crosses val="autoZero"/>
        <c:auto val="1"/>
        <c:lblAlgn val="ctr"/>
        <c:lblOffset val="100"/>
        <c:noMultiLvlLbl val="0"/>
      </c:catAx>
      <c:valAx>
        <c:axId val="1646793088"/>
        <c:scaling>
          <c:orientation val="minMax"/>
          <c:max val="0"/>
          <c:min val="-0.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6795328"/>
        <c:crosses val="autoZero"/>
        <c:crossBetween val="midCat"/>
      </c:valAx>
      <c:serAx>
        <c:axId val="163647744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679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VEGA</a:t>
            </a:r>
            <a:r>
              <a:rPr lang="en-US" baseline="0"/>
              <a:t> - 20%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PutGkTable!$B$66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PutGkTable!$A$67:$A$83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PutGkTable!$B$67:$B$83</c:f>
              <c:numCache>
                <c:formatCode>0.0000</c:formatCode>
                <c:ptCount val="17"/>
                <c:pt idx="0">
                  <c:v>7.5719207361531473E-16</c:v>
                </c:pt>
                <c:pt idx="1">
                  <c:v>9.537479121990602E-12</c:v>
                </c:pt>
                <c:pt idx="2">
                  <c:v>1.4305070674681112E-8</c:v>
                </c:pt>
                <c:pt idx="3">
                  <c:v>3.7701398975718429E-6</c:v>
                </c:pt>
                <c:pt idx="4">
                  <c:v>2.3609588828415678E-4</c:v>
                </c:pt>
                <c:pt idx="5">
                  <c:v>4.4558558892443621E-3</c:v>
                </c:pt>
                <c:pt idx="6">
                  <c:v>3.0644533309865177E-2</c:v>
                </c:pt>
                <c:pt idx="7">
                  <c:v>8.9541358039279734E-2</c:v>
                </c:pt>
                <c:pt idx="8">
                  <c:v>0.12601477970020519</c:v>
                </c:pt>
                <c:pt idx="9">
                  <c:v>9.4730567005775854E-2</c:v>
                </c:pt>
                <c:pt idx="10">
                  <c:v>4.1459744625109485E-2</c:v>
                </c:pt>
                <c:pt idx="11">
                  <c:v>1.1355073152064601E-2</c:v>
                </c:pt>
                <c:pt idx="12">
                  <c:v>2.0685250757256838E-3</c:v>
                </c:pt>
                <c:pt idx="13">
                  <c:v>2.6396322770578433E-4</c:v>
                </c:pt>
                <c:pt idx="14">
                  <c:v>2.4664615253611665E-5</c:v>
                </c:pt>
                <c:pt idx="15">
                  <c:v>1.7530109023145037E-6</c:v>
                </c:pt>
                <c:pt idx="16">
                  <c:v>9.7937749170318661E-8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A6-8648-ACDC-6C86F20884B9}"/>
            </c:ext>
          </c:extLst>
        </c:ser>
        <c:ser>
          <c:idx val="1"/>
          <c:order val="1"/>
          <c:tx>
            <c:strRef>
              <c:f>PutGkTable!$C$66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PutGkTable!$A$67:$A$83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PutGkTable!$C$67:$C$83</c:f>
              <c:numCache>
                <c:formatCode>0.0000</c:formatCode>
                <c:ptCount val="17"/>
                <c:pt idx="0">
                  <c:v>1.29452098386633E-8</c:v>
                </c:pt>
                <c:pt idx="1">
                  <c:v>1.4674662728048755E-6</c:v>
                </c:pt>
                <c:pt idx="2">
                  <c:v>5.7361357105493493E-5</c:v>
                </c:pt>
                <c:pt idx="3">
                  <c:v>9.3928751471449772E-4</c:v>
                </c:pt>
                <c:pt idx="4">
                  <c:v>7.4932050826936915E-3</c:v>
                </c:pt>
                <c:pt idx="5">
                  <c:v>3.2800471961839522E-2</c:v>
                </c:pt>
                <c:pt idx="6">
                  <c:v>8.6635119422354204E-2</c:v>
                </c:pt>
                <c:pt idx="7">
                  <c:v>0.14909546983266303</c:v>
                </c:pt>
                <c:pt idx="8">
                  <c:v>0.1780114349570453</c:v>
                </c:pt>
                <c:pt idx="9">
                  <c:v>0.15528549456541477</c:v>
                </c:pt>
                <c:pt idx="10">
                  <c:v>0.10332955422391688</c:v>
                </c:pt>
                <c:pt idx="11">
                  <c:v>5.4377515022381848E-2</c:v>
                </c:pt>
                <c:pt idx="12">
                  <c:v>2.3332711412433971E-2</c:v>
                </c:pt>
                <c:pt idx="13">
                  <c:v>8.3776579671249966E-3</c:v>
                </c:pt>
                <c:pt idx="14">
                  <c:v>2.5734589818730601E-3</c:v>
                </c:pt>
                <c:pt idx="15">
                  <c:v>6.89320490541164E-4</c:v>
                </c:pt>
                <c:pt idx="16">
                  <c:v>1.6367344465552193E-4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A6-8648-ACDC-6C86F20884B9}"/>
            </c:ext>
          </c:extLst>
        </c:ser>
        <c:ser>
          <c:idx val="2"/>
          <c:order val="2"/>
          <c:tx>
            <c:strRef>
              <c:f>PutGkTable!$D$66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PutGkTable!$A$67:$A$83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PutGkTable!$D$67:$D$83</c:f>
              <c:numCache>
                <c:formatCode>0.0000</c:formatCode>
                <c:ptCount val="17"/>
                <c:pt idx="0">
                  <c:v>3.6360095554575554E-6</c:v>
                </c:pt>
                <c:pt idx="1">
                  <c:v>8.5735604439262305E-5</c:v>
                </c:pt>
                <c:pt idx="2">
                  <c:v>9.9359820227649877E-4</c:v>
                </c:pt>
                <c:pt idx="3">
                  <c:v>6.4440735249376054E-3</c:v>
                </c:pt>
                <c:pt idx="4">
                  <c:v>2.5866773497556825E-2</c:v>
                </c:pt>
                <c:pt idx="5">
                  <c:v>6.9568288790958291E-2</c:v>
                </c:pt>
                <c:pt idx="6">
                  <c:v>0.13356393635672964</c:v>
                </c:pt>
                <c:pt idx="7">
                  <c:v>0.19267540519079143</c:v>
                </c:pt>
                <c:pt idx="8">
                  <c:v>0.21777345900985229</c:v>
                </c:pt>
                <c:pt idx="9">
                  <c:v>0.19963011175668893</c:v>
                </c:pt>
                <c:pt idx="10">
                  <c:v>0.15274679608962338</c:v>
                </c:pt>
                <c:pt idx="11">
                  <c:v>9.9933417595957988E-2</c:v>
                </c:pt>
                <c:pt idx="12">
                  <c:v>5.7053408088958327E-2</c:v>
                </c:pt>
                <c:pt idx="13">
                  <c:v>2.8919931949563497E-2</c:v>
                </c:pt>
                <c:pt idx="14">
                  <c:v>1.3209299733984305E-2</c:v>
                </c:pt>
                <c:pt idx="15">
                  <c:v>5.5061531676659147E-3</c:v>
                </c:pt>
                <c:pt idx="16">
                  <c:v>2.1177230646577411E-3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A6-8648-ACDC-6C86F20884B9}"/>
            </c:ext>
          </c:extLst>
        </c:ser>
        <c:ser>
          <c:idx val="3"/>
          <c:order val="3"/>
          <c:tx>
            <c:strRef>
              <c:f>PutGkTable!$E$66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PutGkTable!$A$67:$A$83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PutGkTable!$E$67:$E$83</c:f>
              <c:numCache>
                <c:formatCode>0.0000</c:formatCode>
                <c:ptCount val="17"/>
                <c:pt idx="0">
                  <c:v>6.3545564110513227E-5</c:v>
                </c:pt>
                <c:pt idx="1">
                  <c:v>6.8337646766849906E-4</c:v>
                </c:pt>
                <c:pt idx="2">
                  <c:v>4.3122978474392235E-3</c:v>
                </c:pt>
                <c:pt idx="3">
                  <c:v>1.7601258389828199E-2</c:v>
                </c:pt>
                <c:pt idx="4">
                  <c:v>5.0116628118720127E-2</c:v>
                </c:pt>
                <c:pt idx="5">
                  <c:v>0.10565235887329337</c:v>
                </c:pt>
                <c:pt idx="6">
                  <c:v>0.17293746502576168</c:v>
                </c:pt>
                <c:pt idx="7">
                  <c:v>0.22840702670307461</c:v>
                </c:pt>
                <c:pt idx="8">
                  <c:v>0.25118039341108511</c:v>
                </c:pt>
                <c:pt idx="9">
                  <c:v>0.2360347210135211</c:v>
                </c:pt>
                <c:pt idx="10">
                  <c:v>0.19366366629160026</c:v>
                </c:pt>
                <c:pt idx="11">
                  <c:v>0.14127284601816148</c:v>
                </c:pt>
                <c:pt idx="12">
                  <c:v>9.3034075502440541E-2</c:v>
                </c:pt>
                <c:pt idx="13">
                  <c:v>5.6032093638267749E-2</c:v>
                </c:pt>
                <c:pt idx="14">
                  <c:v>3.1207812645797247E-2</c:v>
                </c:pt>
                <c:pt idx="15">
                  <c:v>1.6227966445448341E-2</c:v>
                </c:pt>
                <c:pt idx="16">
                  <c:v>7.9435914841497826E-3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A6-8648-ACDC-6C86F20884B9}"/>
            </c:ext>
          </c:extLst>
        </c:ser>
        <c:ser>
          <c:idx val="4"/>
          <c:order val="4"/>
          <c:tx>
            <c:strRef>
              <c:f>PutGkTable!$F$66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PutGkTable!$A$67:$A$83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PutGkTable!$F$67:$F$83</c:f>
              <c:numCache>
                <c:formatCode>0.0000</c:formatCode>
                <c:ptCount val="17"/>
                <c:pt idx="0">
                  <c:v>3.625261396739315E-4</c:v>
                </c:pt>
                <c:pt idx="1">
                  <c:v>2.4340934965576379E-3</c:v>
                </c:pt>
                <c:pt idx="2">
                  <c:v>1.0665604474636936E-2</c:v>
                </c:pt>
                <c:pt idx="3">
                  <c:v>3.2972479768503961E-2</c:v>
                </c:pt>
                <c:pt idx="4">
                  <c:v>7.6401792301498683E-2</c:v>
                </c:pt>
                <c:pt idx="5">
                  <c:v>0.13916751647279249</c:v>
                </c:pt>
                <c:pt idx="6">
                  <c:v>0.20700792345453845</c:v>
                </c:pt>
                <c:pt idx="7">
                  <c:v>0.25930883920219033</c:v>
                </c:pt>
                <c:pt idx="8">
                  <c:v>0.28051246304186256</c:v>
                </c:pt>
                <c:pt idx="9">
                  <c:v>0.26754925856393441</c:v>
                </c:pt>
                <c:pt idx="10">
                  <c:v>0.22891366897286511</c:v>
                </c:pt>
                <c:pt idx="11">
                  <c:v>0.17825651843380041</c:v>
                </c:pt>
                <c:pt idx="12">
                  <c:v>0.12788990708238193</c:v>
                </c:pt>
                <c:pt idx="13">
                  <c:v>8.5419800594485493E-2</c:v>
                </c:pt>
                <c:pt idx="14">
                  <c:v>5.3588475727461456E-2</c:v>
                </c:pt>
                <c:pt idx="15">
                  <c:v>3.1819367439192565E-2</c:v>
                </c:pt>
                <c:pt idx="16">
                  <c:v>1.8000455519786449E-2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A6-8648-ACDC-6C86F20884B9}"/>
            </c:ext>
          </c:extLst>
        </c:ser>
        <c:ser>
          <c:idx val="5"/>
          <c:order val="5"/>
          <c:tx>
            <c:strRef>
              <c:f>PutGkTable!$G$66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PutGkTable!$A$67:$A$83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PutGkTable!$G$67:$G$83</c:f>
              <c:numCache>
                <c:formatCode>0.0000</c:formatCode>
                <c:ptCount val="17"/>
                <c:pt idx="0">
                  <c:v>1.1766116464443557E-3</c:v>
                </c:pt>
                <c:pt idx="1">
                  <c:v>5.7709392847973577E-3</c:v>
                </c:pt>
                <c:pt idx="2">
                  <c:v>1.9828706392671893E-2</c:v>
                </c:pt>
                <c:pt idx="3">
                  <c:v>5.0934802908825044E-2</c:v>
                </c:pt>
                <c:pt idx="4">
                  <c:v>0.10287482444006045</c:v>
                </c:pt>
                <c:pt idx="5">
                  <c:v>0.16999445472389771</c:v>
                </c:pt>
                <c:pt idx="6">
                  <c:v>0.23723384471393921</c:v>
                </c:pt>
                <c:pt idx="7">
                  <c:v>0.28686682039024303</c:v>
                </c:pt>
                <c:pt idx="8">
                  <c:v>0.30694050496199521</c:v>
                </c:pt>
                <c:pt idx="9">
                  <c:v>0.29567419013929408</c:v>
                </c:pt>
                <c:pt idx="10">
                  <c:v>0.26014283512817948</c:v>
                </c:pt>
                <c:pt idx="11">
                  <c:v>0.21158960540408661</c:v>
                </c:pt>
                <c:pt idx="12">
                  <c:v>0.16072749659884919</c:v>
                </c:pt>
                <c:pt idx="13">
                  <c:v>0.11501755031066585</c:v>
                </c:pt>
                <c:pt idx="14">
                  <c:v>7.8115019427058494E-2</c:v>
                </c:pt>
                <c:pt idx="15">
                  <c:v>5.0671947233936789E-2</c:v>
                </c:pt>
                <c:pt idx="16">
                  <c:v>3.1568381504252202E-2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4A6-8648-ACDC-6C86F20884B9}"/>
            </c:ext>
          </c:extLst>
        </c:ser>
        <c:ser>
          <c:idx val="6"/>
          <c:order val="6"/>
          <c:tx>
            <c:strRef>
              <c:f>PutGkTable!$H$66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PutGkTable!$A$67:$A$83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PutGkTable!$H$67:$H$83</c:f>
              <c:numCache>
                <c:formatCode>0.0000</c:formatCode>
                <c:ptCount val="17"/>
                <c:pt idx="0">
                  <c:v>2.7599282724645067E-3</c:v>
                </c:pt>
                <c:pt idx="1">
                  <c:v>1.0816670734477618E-2</c:v>
                </c:pt>
                <c:pt idx="2">
                  <c:v>3.1240118425491598E-2</c:v>
                </c:pt>
                <c:pt idx="3">
                  <c:v>7.0302629740001565E-2</c:v>
                </c:pt>
                <c:pt idx="4">
                  <c:v>0.12872223646374942</c:v>
                </c:pt>
                <c:pt idx="5">
                  <c:v>0.19840779785263229</c:v>
                </c:pt>
                <c:pt idx="6">
                  <c:v>0.26455122246358703</c:v>
                </c:pt>
                <c:pt idx="7">
                  <c:v>0.31193622839956392</c:v>
                </c:pt>
                <c:pt idx="8">
                  <c:v>0.3311608714611029</c:v>
                </c:pt>
                <c:pt idx="9">
                  <c:v>0.32127364650068385</c:v>
                </c:pt>
                <c:pt idx="10">
                  <c:v>0.28836210247206256</c:v>
                </c:pt>
                <c:pt idx="11">
                  <c:v>0.24195071188978151</c:v>
                </c:pt>
                <c:pt idx="12">
                  <c:v>0.19144349454685666</c:v>
                </c:pt>
                <c:pt idx="13">
                  <c:v>0.14391583547437295</c:v>
                </c:pt>
                <c:pt idx="14">
                  <c:v>0.1034407289521341</c:v>
                </c:pt>
                <c:pt idx="15">
                  <c:v>7.1476357882319846E-2</c:v>
                </c:pt>
                <c:pt idx="16">
                  <c:v>4.7705729750376957E-2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A6-8648-ACDC-6C86F20884B9}"/>
            </c:ext>
          </c:extLst>
        </c:ser>
        <c:ser>
          <c:idx val="7"/>
          <c:order val="7"/>
          <c:tx>
            <c:strRef>
              <c:f>PutGkTable!$I$66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PutGkTable!$A$67:$A$83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PutGkTable!$I$67:$I$83</c:f>
              <c:numCache>
                <c:formatCode>0.0000</c:formatCode>
                <c:ptCount val="17"/>
                <c:pt idx="0">
                  <c:v>5.2767323580423285E-3</c:v>
                </c:pt>
                <c:pt idx="1">
                  <c:v>1.7478240873614229E-2</c:v>
                </c:pt>
                <c:pt idx="2">
                  <c:v>4.431443031965894E-2</c:v>
                </c:pt>
                <c:pt idx="3">
                  <c:v>9.0304222542602272E-2</c:v>
                </c:pt>
                <c:pt idx="4">
                  <c:v>0.15361396923011619</c:v>
                </c:pt>
                <c:pt idx="5">
                  <c:v>0.22473489195639598</c:v>
                </c:pt>
                <c:pt idx="6">
                  <c:v>0.28958655791598931</c:v>
                </c:pt>
                <c:pt idx="7">
                  <c:v>0.33506087760385839</c:v>
                </c:pt>
                <c:pt idx="8">
                  <c:v>0.35362780796997578</c:v>
                </c:pt>
                <c:pt idx="9">
                  <c:v>0.34489758203526322</c:v>
                </c:pt>
                <c:pt idx="10">
                  <c:v>0.31423293448931328</c:v>
                </c:pt>
                <c:pt idx="11">
                  <c:v>0.2698796374360215</c:v>
                </c:pt>
                <c:pt idx="12">
                  <c:v>0.22017713675499853</c:v>
                </c:pt>
                <c:pt idx="13">
                  <c:v>0.17174563874605031</c:v>
                </c:pt>
                <c:pt idx="14">
                  <c:v>0.12880363658795951</c:v>
                </c:pt>
                <c:pt idx="15">
                  <c:v>9.3320554875542944E-2</c:v>
                </c:pt>
                <c:pt idx="16">
                  <c:v>6.5588544899120943E-2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A6-8648-ACDC-6C86F20884B9}"/>
            </c:ext>
          </c:extLst>
        </c:ser>
        <c:ser>
          <c:idx val="8"/>
          <c:order val="8"/>
          <c:tx>
            <c:strRef>
              <c:f>PutGkTable!$J$66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PutGkTable!$A$67:$A$83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PutGkTable!$J$67:$J$83</c:f>
              <c:numCache>
                <c:formatCode>0.0000</c:formatCode>
                <c:ptCount val="17"/>
                <c:pt idx="0">
                  <c:v>8.7942603690305717E-3</c:v>
                </c:pt>
                <c:pt idx="1">
                  <c:v>2.5556717355709923E-2</c:v>
                </c:pt>
                <c:pt idx="2">
                  <c:v>5.855343505406032E-2</c:v>
                </c:pt>
                <c:pt idx="3">
                  <c:v>0.11045773801093517</c:v>
                </c:pt>
                <c:pt idx="4">
                  <c:v>0.17744408367129641</c:v>
                </c:pt>
                <c:pt idx="5">
                  <c:v>0.24927154208382693</c:v>
                </c:pt>
                <c:pt idx="6">
                  <c:v>0.3127778048750498</c:v>
                </c:pt>
                <c:pt idx="7">
                  <c:v>0.35661132714949467</c:v>
                </c:pt>
                <c:pt idx="8">
                  <c:v>0.37465720501521849</c:v>
                </c:pt>
                <c:pt idx="9">
                  <c:v>0.36692108772311305</c:v>
                </c:pt>
                <c:pt idx="10">
                  <c:v>0.33821167077407693</c:v>
                </c:pt>
                <c:pt idx="11">
                  <c:v>0.29579147918734405</c:v>
                </c:pt>
                <c:pt idx="12">
                  <c:v>0.24712869597243461</c:v>
                </c:pt>
                <c:pt idx="13">
                  <c:v>0.19838851664708948</c:v>
                </c:pt>
                <c:pt idx="14">
                  <c:v>0.15378580943041786</c:v>
                </c:pt>
                <c:pt idx="15">
                  <c:v>0.11560345928134989</c:v>
                </c:pt>
                <c:pt idx="16">
                  <c:v>8.4581782621465387E-2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A6-8648-ACDC-6C86F20884B9}"/>
            </c:ext>
          </c:extLst>
        </c:ser>
        <c:ser>
          <c:idx val="9"/>
          <c:order val="9"/>
          <c:tx>
            <c:strRef>
              <c:f>PutGkTable!$K$66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PutGkTable!$A$67:$A$83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PutGkTable!$K$67:$K$83</c:f>
              <c:numCache>
                <c:formatCode>0.0000</c:formatCode>
                <c:ptCount val="17"/>
                <c:pt idx="0">
                  <c:v>1.3304138019690321E-2</c:v>
                </c:pt>
                <c:pt idx="1">
                  <c:v>3.4820176623168372E-2</c:v>
                </c:pt>
                <c:pt idx="2">
                  <c:v>7.3566173019582473E-2</c:v>
                </c:pt>
                <c:pt idx="3">
                  <c:v>0.13046879019121693</c:v>
                </c:pt>
                <c:pt idx="4">
                  <c:v>0.20021019742744606</c:v>
                </c:pt>
                <c:pt idx="5">
                  <c:v>0.27226666793458265</c:v>
                </c:pt>
                <c:pt idx="6">
                  <c:v>0.33444289202725913</c:v>
                </c:pt>
                <c:pt idx="7">
                  <c:v>0.37685326590063861</c:v>
                </c:pt>
                <c:pt idx="8">
                  <c:v>0.39447933090788895</c:v>
                </c:pt>
                <c:pt idx="9">
                  <c:v>0.38761333572648299</c:v>
                </c:pt>
                <c:pt idx="10">
                  <c:v>0.36062690186445989</c:v>
                </c:pt>
                <c:pt idx="11">
                  <c:v>0.32000599329500923</c:v>
                </c:pt>
                <c:pt idx="12">
                  <c:v>0.27249840451049845</c:v>
                </c:pt>
                <c:pt idx="13">
                  <c:v>0.22384180561821135</c:v>
                </c:pt>
                <c:pt idx="14">
                  <c:v>0.17816680549913186</c:v>
                </c:pt>
                <c:pt idx="15">
                  <c:v>0.13793855243276576</c:v>
                </c:pt>
                <c:pt idx="16">
                  <c:v>0.10422116521119737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A6-8648-ACDC-6C86F20884B9}"/>
            </c:ext>
          </c:extLst>
        </c:ser>
        <c:ser>
          <c:idx val="10"/>
          <c:order val="10"/>
          <c:tx>
            <c:strRef>
              <c:f>PutGkTable!$L$66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PutGkTable!$A$67:$A$83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PutGkTable!$L$67:$L$83</c:f>
              <c:numCache>
                <c:formatCode>0.0000</c:formatCode>
                <c:ptCount val="17"/>
                <c:pt idx="0">
                  <c:v>9.5039378692490781E-2</c:v>
                </c:pt>
                <c:pt idx="1">
                  <c:v>0.15529982480581037</c:v>
                </c:pt>
                <c:pt idx="2">
                  <c:v>0.22783353493544931</c:v>
                </c:pt>
                <c:pt idx="3">
                  <c:v>0.30603936130050935</c:v>
                </c:pt>
                <c:pt idx="4">
                  <c:v>0.3821823765301533</c:v>
                </c:pt>
                <c:pt idx="5">
                  <c:v>0.44907193585775429</c:v>
                </c:pt>
                <c:pt idx="6">
                  <c:v>0.50128257699490841</c:v>
                </c:pt>
                <c:pt idx="7">
                  <c:v>0.53572622142458148</c:v>
                </c:pt>
                <c:pt idx="8">
                  <c:v>0.55163706332541196</c:v>
                </c:pt>
                <c:pt idx="9">
                  <c:v>0.5501604023542791</c:v>
                </c:pt>
                <c:pt idx="10">
                  <c:v>0.53375807389774843</c:v>
                </c:pt>
                <c:pt idx="11">
                  <c:v>0.50560061959578539</c:v>
                </c:pt>
                <c:pt idx="12">
                  <c:v>0.46905195347320522</c:v>
                </c:pt>
                <c:pt idx="13">
                  <c:v>0.42729288686192146</c:v>
                </c:pt>
                <c:pt idx="14">
                  <c:v>0.38308718744736653</c:v>
                </c:pt>
                <c:pt idx="15">
                  <c:v>0.33866932678137174</c:v>
                </c:pt>
                <c:pt idx="16">
                  <c:v>0.29572311895113684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A6-8648-ACDC-6C86F20884B9}"/>
            </c:ext>
          </c:extLst>
        </c:ser>
        <c:ser>
          <c:idx val="11"/>
          <c:order val="11"/>
          <c:tx>
            <c:strRef>
              <c:f>PutGkTable!$M$66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PutGkTable!$A$67:$A$83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PutGkTable!$M$67:$M$83</c:f>
              <c:numCache>
                <c:formatCode>0.0000</c:formatCode>
                <c:ptCount val="17"/>
                <c:pt idx="0">
                  <c:v>0.19822539521715421</c:v>
                </c:pt>
                <c:pt idx="1">
                  <c:v>0.27684353502761888</c:v>
                </c:pt>
                <c:pt idx="2">
                  <c:v>0.35965069029119612</c:v>
                </c:pt>
                <c:pt idx="3">
                  <c:v>0.44036986538728895</c:v>
                </c:pt>
                <c:pt idx="4">
                  <c:v>0.51343117209127098</c:v>
                </c:pt>
                <c:pt idx="5">
                  <c:v>0.57460996039653589</c:v>
                </c:pt>
                <c:pt idx="6">
                  <c:v>0.62127838620556741</c:v>
                </c:pt>
                <c:pt idx="7">
                  <c:v>0.65235380338435678</c:v>
                </c:pt>
                <c:pt idx="8">
                  <c:v>0.66805659306916709</c:v>
                </c:pt>
                <c:pt idx="9">
                  <c:v>0.669580745803801</c:v>
                </c:pt>
                <c:pt idx="10">
                  <c:v>0.658754089959111</c:v>
                </c:pt>
                <c:pt idx="11">
                  <c:v>0.63773587385453712</c:v>
                </c:pt>
                <c:pt idx="12">
                  <c:v>0.60877484538879079</c:v>
                </c:pt>
                <c:pt idx="13">
                  <c:v>0.57403350128173725</c:v>
                </c:pt>
                <c:pt idx="14">
                  <c:v>0.53547351271025079</c:v>
                </c:pt>
                <c:pt idx="15">
                  <c:v>0.4947920194343377</c:v>
                </c:pt>
                <c:pt idx="16">
                  <c:v>0.45339683503257278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4A6-8648-ACDC-6C86F20884B9}"/>
            </c:ext>
          </c:extLst>
        </c:ser>
        <c:ser>
          <c:idx val="12"/>
          <c:order val="12"/>
          <c:tx>
            <c:strRef>
              <c:f>PutGkTable!$N$66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PutGkTable!$A$67:$A$83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PutGkTable!$N$67:$N$83</c:f>
              <c:numCache>
                <c:formatCode>0.0000</c:formatCode>
                <c:ptCount val="17"/>
                <c:pt idx="0">
                  <c:v>0.29702348640212856</c:v>
                </c:pt>
                <c:pt idx="1">
                  <c:v>0.38350386340459219</c:v>
                </c:pt>
                <c:pt idx="2">
                  <c:v>0.46883083785060736</c:v>
                </c:pt>
                <c:pt idx="3">
                  <c:v>0.54807676647351544</c:v>
                </c:pt>
                <c:pt idx="4">
                  <c:v>0.61743560179207302</c:v>
                </c:pt>
                <c:pt idx="5">
                  <c:v>0.67438113704922498</c:v>
                </c:pt>
                <c:pt idx="6">
                  <c:v>0.71761533320686932</c:v>
                </c:pt>
                <c:pt idx="7">
                  <c:v>0.7468905995563202</c:v>
                </c:pt>
                <c:pt idx="8">
                  <c:v>0.76277563092104816</c:v>
                </c:pt>
                <c:pt idx="9">
                  <c:v>0.76641397953105828</c:v>
                </c:pt>
                <c:pt idx="10">
                  <c:v>0.75930525448770614</c:v>
                </c:pt>
                <c:pt idx="11">
                  <c:v>0.74312371276717004</c:v>
                </c:pt>
                <c:pt idx="12">
                  <c:v>0.71957857026067118</c:v>
                </c:pt>
                <c:pt idx="13">
                  <c:v>0.69031398866778304</c:v>
                </c:pt>
                <c:pt idx="14">
                  <c:v>0.65684337427013217</c:v>
                </c:pt>
                <c:pt idx="15">
                  <c:v>0.62051137062691952</c:v>
                </c:pt>
                <c:pt idx="16">
                  <c:v>0.58247693709726123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4A6-8648-ACDC-6C86F20884B9}"/>
            </c:ext>
          </c:extLst>
        </c:ser>
        <c:ser>
          <c:idx val="13"/>
          <c:order val="13"/>
          <c:tx>
            <c:strRef>
              <c:f>PutGkTable!$O$66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PutGkTable!$A$67:$A$83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PutGkTable!$O$67:$O$83</c:f>
              <c:numCache>
                <c:formatCode>0.0000</c:formatCode>
                <c:ptCount val="17"/>
                <c:pt idx="0">
                  <c:v>0.38653493471867856</c:v>
                </c:pt>
                <c:pt idx="1">
                  <c:v>0.47611297617669929</c:v>
                </c:pt>
                <c:pt idx="2">
                  <c:v>0.56119836056730876</c:v>
                </c:pt>
                <c:pt idx="3">
                  <c:v>0.63807941266216017</c:v>
                </c:pt>
                <c:pt idx="4">
                  <c:v>0.70416816821210715</c:v>
                </c:pt>
                <c:pt idx="5">
                  <c:v>0.75795571731518352</c:v>
                </c:pt>
                <c:pt idx="6">
                  <c:v>0.79886620400360497</c:v>
                </c:pt>
                <c:pt idx="7">
                  <c:v>0.82706631007194997</c:v>
                </c:pt>
                <c:pt idx="8">
                  <c:v>0.84326874401380636</c:v>
                </c:pt>
                <c:pt idx="9">
                  <c:v>0.84855257304543275</c:v>
                </c:pt>
                <c:pt idx="10">
                  <c:v>0.84421159741338547</c:v>
                </c:pt>
                <c:pt idx="11">
                  <c:v>0.83163420463033955</c:v>
                </c:pt>
                <c:pt idx="12">
                  <c:v>0.81221348325030684</c:v>
                </c:pt>
                <c:pt idx="13">
                  <c:v>0.78728394585688899</c:v>
                </c:pt>
                <c:pt idx="14">
                  <c:v>0.75808024938338048</c:v>
                </c:pt>
                <c:pt idx="15">
                  <c:v>0.72571322803396554</c:v>
                </c:pt>
                <c:pt idx="16">
                  <c:v>0.69115896371880392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4A6-8648-ACDC-6C86F20884B9}"/>
            </c:ext>
          </c:extLst>
        </c:ser>
        <c:bandFmts>
          <c:bandFmt>
            <c:idx val="0"/>
            <c:spPr>
              <a:solidFill>
                <a:schemeClr val="accent2">
                  <a:shade val="42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5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68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>
                  <a:shade val="80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shade val="9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>
                  <a:tint val="94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81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69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56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43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18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5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92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80000"/>
                </a:schemeClr>
              </a:solidFill>
              <a:ln/>
              <a:effectLst/>
              <a:sp3d/>
            </c:spPr>
          </c:bandFmt>
        </c:bandFmts>
        <c:axId val="1658108352"/>
        <c:axId val="1658651072"/>
        <c:axId val="1652210176"/>
      </c:surface3DChart>
      <c:catAx>
        <c:axId val="1658108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651072"/>
        <c:crosses val="autoZero"/>
        <c:auto val="1"/>
        <c:lblAlgn val="ctr"/>
        <c:lblOffset val="100"/>
        <c:noMultiLvlLbl val="0"/>
      </c:catAx>
      <c:valAx>
        <c:axId val="1658651072"/>
        <c:scaling>
          <c:orientation val="minMax"/>
          <c:max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108352"/>
        <c:crosses val="autoZero"/>
        <c:crossBetween val="midCat"/>
      </c:valAx>
      <c:serAx>
        <c:axId val="165221017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65107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</a:t>
            </a:r>
            <a:r>
              <a:rPr lang="en-US" baseline="0"/>
              <a:t> - 20%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PutGkTable!$B$86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PutGkTable!$A$87:$A$103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PutGkTable!$B$87:$B$103</c:f>
              <c:numCache>
                <c:formatCode>0.0000</c:formatCode>
                <c:ptCount val="17"/>
                <c:pt idx="0">
                  <c:v>-9.9900049983337472E-2</c:v>
                </c:pt>
                <c:pt idx="1">
                  <c:v>-9.9900049982904665E-2</c:v>
                </c:pt>
                <c:pt idx="2">
                  <c:v>-9.9900049206412836E-2</c:v>
                </c:pt>
                <c:pt idx="3">
                  <c:v>-9.9899799847947279E-2</c:v>
                </c:pt>
                <c:pt idx="4">
                  <c:v>-9.9880365963861059E-2</c:v>
                </c:pt>
                <c:pt idx="5">
                  <c:v>-9.9414292021761066E-2</c:v>
                </c:pt>
                <c:pt idx="6">
                  <c:v>-9.5273399454231758E-2</c:v>
                </c:pt>
                <c:pt idx="7">
                  <c:v>-7.950377346604158E-2</c:v>
                </c:pt>
                <c:pt idx="8">
                  <c:v>-5.0580151398953388E-2</c:v>
                </c:pt>
                <c:pt idx="9">
                  <c:v>-2.2471105555124316E-2</c:v>
                </c:pt>
                <c:pt idx="10">
                  <c:v>-6.7889870502825913E-3</c:v>
                </c:pt>
                <c:pt idx="11">
                  <c:v>-1.4102913577582119E-3</c:v>
                </c:pt>
                <c:pt idx="12">
                  <c:v>-2.0702003804964561E-4</c:v>
                </c:pt>
                <c:pt idx="13">
                  <c:v>-2.2181932695997458E-5</c:v>
                </c:pt>
                <c:pt idx="14">
                  <c:v>-1.7921519198907078E-6</c:v>
                </c:pt>
                <c:pt idx="15">
                  <c:v>-1.1255785043335699E-7</c:v>
                </c:pt>
                <c:pt idx="16">
                  <c:v>-5.6502198506100903E-9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3A-B840-89BD-3D8A35A465F6}"/>
            </c:ext>
          </c:extLst>
        </c:ser>
        <c:ser>
          <c:idx val="1"/>
          <c:order val="1"/>
          <c:tx>
            <c:strRef>
              <c:f>PutGkTable!$C$86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PutGkTable!$A$87:$A$103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PutGkTable!$C$87:$C$103</c:f>
              <c:numCache>
                <c:formatCode>0.0000</c:formatCode>
                <c:ptCount val="17"/>
                <c:pt idx="0">
                  <c:v>-0.19960039875201663</c:v>
                </c:pt>
                <c:pt idx="1">
                  <c:v>-0.19960026927726368</c:v>
                </c:pt>
                <c:pt idx="2">
                  <c:v>-0.19959434275580995</c:v>
                </c:pt>
                <c:pt idx="3">
                  <c:v>-0.19948058234037419</c:v>
                </c:pt>
                <c:pt idx="4">
                  <c:v>-0.19841978436548494</c:v>
                </c:pt>
                <c:pt idx="5">
                  <c:v>-0.1930275911203656</c:v>
                </c:pt>
                <c:pt idx="6">
                  <c:v>-0.17664512161955695</c:v>
                </c:pt>
                <c:pt idx="7">
                  <c:v>-0.14458214370301659</c:v>
                </c:pt>
                <c:pt idx="8">
                  <c:v>-0.10158061093169937</c:v>
                </c:pt>
                <c:pt idx="9">
                  <c:v>-5.9968326579861737E-2</c:v>
                </c:pt>
                <c:pt idx="10">
                  <c:v>-2.9624429034828422E-2</c:v>
                </c:pt>
                <c:pt idx="11">
                  <c:v>-1.2325867132738103E-2</c:v>
                </c:pt>
                <c:pt idx="12">
                  <c:v>-4.370658893365356E-3</c:v>
                </c:pt>
                <c:pt idx="13">
                  <c:v>-1.3391859871546535E-3</c:v>
                </c:pt>
                <c:pt idx="14">
                  <c:v>-3.5959910459001758E-4</c:v>
                </c:pt>
                <c:pt idx="15">
                  <c:v>-8.5770819532793706E-5</c:v>
                </c:pt>
                <c:pt idx="16">
                  <c:v>-1.8400851648056229E-5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3A-B840-89BD-3D8A35A465F6}"/>
            </c:ext>
          </c:extLst>
        </c:ser>
        <c:ser>
          <c:idx val="2"/>
          <c:order val="2"/>
          <c:tx>
            <c:strRef>
              <c:f>PutGkTable!$D$86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PutGkTable!$A$87:$A$103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PutGkTable!$D$87:$D$103</c:f>
              <c:numCache>
                <c:formatCode>0.0000</c:formatCode>
                <c:ptCount val="17"/>
                <c:pt idx="0">
                  <c:v>-0.29910094119721536</c:v>
                </c:pt>
                <c:pt idx="1">
                  <c:v>-0.2990901341421216</c:v>
                </c:pt>
                <c:pt idx="2">
                  <c:v>-0.29894794754297283</c:v>
                </c:pt>
                <c:pt idx="3">
                  <c:v>-0.29791018552939919</c:v>
                </c:pt>
                <c:pt idx="4">
                  <c:v>-0.29327187442853186</c:v>
                </c:pt>
                <c:pt idx="5">
                  <c:v>-0.27954086416817797</c:v>
                </c:pt>
                <c:pt idx="6">
                  <c:v>-0.25086087962514603</c:v>
                </c:pt>
                <c:pt idx="7">
                  <c:v>-0.2063564353985079</c:v>
                </c:pt>
                <c:pt idx="8">
                  <c:v>-0.15281809298363572</c:v>
                </c:pt>
                <c:pt idx="9">
                  <c:v>-0.10108778985951709</c:v>
                </c:pt>
                <c:pt idx="10">
                  <c:v>-5.9732254020951656E-2</c:v>
                </c:pt>
                <c:pt idx="11">
                  <c:v>-3.1684201115692673E-2</c:v>
                </c:pt>
                <c:pt idx="12">
                  <c:v>-1.519970642083421E-2</c:v>
                </c:pt>
                <c:pt idx="13">
                  <c:v>-6.650628590542741E-3</c:v>
                </c:pt>
                <c:pt idx="14">
                  <c:v>-2.6770963052206043E-3</c:v>
                </c:pt>
                <c:pt idx="15">
                  <c:v>-9.9962649464834462E-4</c:v>
                </c:pt>
                <c:pt idx="16">
                  <c:v>-3.4893521618526097E-4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3A-B840-89BD-3D8A35A465F6}"/>
            </c:ext>
          </c:extLst>
        </c:ser>
        <c:ser>
          <c:idx val="3"/>
          <c:order val="3"/>
          <c:tx>
            <c:strRef>
              <c:f>PutGkTable!$E$86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PutGkTable!$A$87:$A$103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PutGkTable!$E$87:$E$103</c:f>
              <c:numCache>
                <c:formatCode>0.0000</c:formatCode>
                <c:ptCount val="17"/>
                <c:pt idx="0">
                  <c:v>-0.3983938328127995</c:v>
                </c:pt>
                <c:pt idx="1">
                  <c:v>-0.39828613898434012</c:v>
                </c:pt>
                <c:pt idx="2">
                  <c:v>-0.39753608871221141</c:v>
                </c:pt>
                <c:pt idx="3">
                  <c:v>-0.39419735917183091</c:v>
                </c:pt>
                <c:pt idx="4">
                  <c:v>-0.38395353517001563</c:v>
                </c:pt>
                <c:pt idx="5">
                  <c:v>-0.36094855187459551</c:v>
                </c:pt>
                <c:pt idx="6">
                  <c:v>-0.32125751421305249</c:v>
                </c:pt>
                <c:pt idx="7">
                  <c:v>-0.26652860795022787</c:v>
                </c:pt>
                <c:pt idx="8">
                  <c:v>-0.20422688060793109</c:v>
                </c:pt>
                <c:pt idx="9">
                  <c:v>-0.14407573020157957</c:v>
                </c:pt>
                <c:pt idx="10">
                  <c:v>-9.3699290121329118E-2</c:v>
                </c:pt>
                <c:pt idx="11">
                  <c:v>-5.6401929841114556E-2</c:v>
                </c:pt>
                <c:pt idx="12">
                  <c:v>-3.1595730956826724E-2</c:v>
                </c:pt>
                <c:pt idx="13">
                  <c:v>-1.6571142382086755E-2</c:v>
                </c:pt>
                <c:pt idx="14">
                  <c:v>-8.1866116809250749E-3</c:v>
                </c:pt>
                <c:pt idx="15">
                  <c:v>-3.8319779767900645E-3</c:v>
                </c:pt>
                <c:pt idx="16">
                  <c:v>-1.7087825312208503E-3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3A-B840-89BD-3D8A35A465F6}"/>
            </c:ext>
          </c:extLst>
        </c:ser>
        <c:ser>
          <c:idx val="4"/>
          <c:order val="4"/>
          <c:tx>
            <c:strRef>
              <c:f>PutGkTable!$F$86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PutGkTable!$A$87:$A$103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PutGkTable!$F$87:$F$103</c:f>
              <c:numCache>
                <c:formatCode>0.0000</c:formatCode>
                <c:ptCount val="17"/>
                <c:pt idx="0">
                  <c:v>-0.49744035279710602</c:v>
                </c:pt>
                <c:pt idx="1">
                  <c:v>-0.49699382138164078</c:v>
                </c:pt>
                <c:pt idx="2">
                  <c:v>-0.49488315365673735</c:v>
                </c:pt>
                <c:pt idx="3">
                  <c:v>-0.48793118931720997</c:v>
                </c:pt>
                <c:pt idx="4">
                  <c:v>-0.47096501783520422</c:v>
                </c:pt>
                <c:pt idx="5">
                  <c:v>-0.43875068358505365</c:v>
                </c:pt>
                <c:pt idx="6">
                  <c:v>-0.38925508361484984</c:v>
                </c:pt>
                <c:pt idx="7">
                  <c:v>-0.32571967311131311</c:v>
                </c:pt>
                <c:pt idx="8">
                  <c:v>-0.25576885410967221</c:v>
                </c:pt>
                <c:pt idx="9">
                  <c:v>-0.18826439216165011</c:v>
                </c:pt>
                <c:pt idx="10">
                  <c:v>-0.13012028815236007</c:v>
                </c:pt>
                <c:pt idx="11">
                  <c:v>-8.4734081361611577E-2</c:v>
                </c:pt>
                <c:pt idx="12">
                  <c:v>-5.2212168137941772E-2</c:v>
                </c:pt>
                <c:pt idx="13">
                  <c:v>-3.0584254106562819E-2</c:v>
                </c:pt>
                <c:pt idx="14">
                  <c:v>-1.7110072638825885E-2</c:v>
                </c:pt>
                <c:pt idx="15">
                  <c:v>-9.1826832539909885E-3</c:v>
                </c:pt>
                <c:pt idx="16">
                  <c:v>-4.74750243406392E-3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3A-B840-89BD-3D8A35A465F6}"/>
            </c:ext>
          </c:extLst>
        </c:ser>
        <c:ser>
          <c:idx val="5"/>
          <c:order val="5"/>
          <c:tx>
            <c:strRef>
              <c:f>PutGkTable!$G$86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PutGkTable!$A$87:$A$103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PutGkTable!$G$87:$G$103</c:f>
              <c:numCache>
                <c:formatCode>0.0000</c:formatCode>
                <c:ptCount val="17"/>
                <c:pt idx="0">
                  <c:v>-0.59615741088545715</c:v>
                </c:pt>
                <c:pt idx="1">
                  <c:v>-0.59497610389550282</c:v>
                </c:pt>
                <c:pt idx="2">
                  <c:v>-0.59067651342831906</c:v>
                </c:pt>
                <c:pt idx="3">
                  <c:v>-0.57911532755875661</c:v>
                </c:pt>
                <c:pt idx="4">
                  <c:v>-0.55492757242980628</c:v>
                </c:pt>
                <c:pt idx="5">
                  <c:v>-0.51390032109866024</c:v>
                </c:pt>
                <c:pt idx="6">
                  <c:v>-0.45558439750236135</c:v>
                </c:pt>
                <c:pt idx="7">
                  <c:v>-0.38423416226145973</c:v>
                </c:pt>
                <c:pt idx="8">
                  <c:v>-0.3074182098541432</c:v>
                </c:pt>
                <c:pt idx="9">
                  <c:v>-0.23331210863230878</c:v>
                </c:pt>
                <c:pt idx="10">
                  <c:v>-0.16827158447361534</c:v>
                </c:pt>
                <c:pt idx="11">
                  <c:v>-0.11567425721491943</c:v>
                </c:pt>
                <c:pt idx="12">
                  <c:v>-7.605953226893282E-2</c:v>
                </c:pt>
                <c:pt idx="13">
                  <c:v>-4.8016470024207891E-2</c:v>
                </c:pt>
                <c:pt idx="14">
                  <c:v>-2.921224801710362E-2</c:v>
                </c:pt>
                <c:pt idx="15">
                  <c:v>-1.718812383669642E-2</c:v>
                </c:pt>
                <c:pt idx="16">
                  <c:v>-9.8137054815928635E-3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93A-B840-89BD-3D8A35A465F6}"/>
            </c:ext>
          </c:extLst>
        </c:ser>
        <c:ser>
          <c:idx val="6"/>
          <c:order val="6"/>
          <c:tx>
            <c:strRef>
              <c:f>PutGkTable!$H$86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PutGkTable!$A$87:$A$103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PutGkTable!$H$87:$H$103</c:f>
              <c:numCache>
                <c:formatCode>0.0000</c:formatCode>
                <c:ptCount val="17"/>
                <c:pt idx="0">
                  <c:v>-0.69443214691678568</c:v>
                </c:pt>
                <c:pt idx="1">
                  <c:v>-0.69202729459779022</c:v>
                </c:pt>
                <c:pt idx="2">
                  <c:v>-0.68477647194821667</c:v>
                </c:pt>
                <c:pt idx="3">
                  <c:v>-0.66792834360049613</c:v>
                </c:pt>
                <c:pt idx="4">
                  <c:v>-0.636373971929034</c:v>
                </c:pt>
                <c:pt idx="5">
                  <c:v>-0.58701700610865215</c:v>
                </c:pt>
                <c:pt idx="6">
                  <c:v>-0.52067288526246513</c:v>
                </c:pt>
                <c:pt idx="7">
                  <c:v>-0.44224635428979558</c:v>
                </c:pt>
                <c:pt idx="8">
                  <c:v>-0.35915594909590864</c:v>
                </c:pt>
                <c:pt idx="9">
                  <c:v>-0.27901490922210387</c:v>
                </c:pt>
                <c:pt idx="10">
                  <c:v>-0.20772528778888064</c:v>
                </c:pt>
                <c:pt idx="11">
                  <c:v>-0.14859597428160154</c:v>
                </c:pt>
                <c:pt idx="12">
                  <c:v>-0.10244473451937504</c:v>
                </c:pt>
                <c:pt idx="13">
                  <c:v>-6.8281145547908484E-2</c:v>
                </c:pt>
                <c:pt idx="14">
                  <c:v>-4.4135283421453939E-2</c:v>
                </c:pt>
                <c:pt idx="15">
                  <c:v>-2.7747891614049069E-2</c:v>
                </c:pt>
                <c:pt idx="16">
                  <c:v>-1.7015134616637777E-2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93A-B840-89BD-3D8A35A465F6}"/>
            </c:ext>
          </c:extLst>
        </c:ser>
        <c:ser>
          <c:idx val="7"/>
          <c:order val="7"/>
          <c:tx>
            <c:strRef>
              <c:f>PutGkTable!$I$86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PutGkTable!$A$87:$A$103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PutGkTable!$I$87:$I$103</c:f>
              <c:numCache>
                <c:formatCode>0.0000</c:formatCode>
                <c:ptCount val="17"/>
                <c:pt idx="0">
                  <c:v>-0.79214630188643609</c:v>
                </c:pt>
                <c:pt idx="1">
                  <c:v>-0.78800185672067002</c:v>
                </c:pt>
                <c:pt idx="2">
                  <c:v>-0.77716158229035659</c:v>
                </c:pt>
                <c:pt idx="3">
                  <c:v>-0.75459956615962387</c:v>
                </c:pt>
                <c:pt idx="4">
                  <c:v>-0.71572661144250871</c:v>
                </c:pt>
                <c:pt idx="5">
                  <c:v>-0.65852123968914777</c:v>
                </c:pt>
                <c:pt idx="6">
                  <c:v>-0.58479342652948607</c:v>
                </c:pt>
                <c:pt idx="7">
                  <c:v>-0.49986608952017575</c:v>
                </c:pt>
                <c:pt idx="8">
                  <c:v>-0.41096731210161042</c:v>
                </c:pt>
                <c:pt idx="9">
                  <c:v>-0.3252387036151238</c:v>
                </c:pt>
                <c:pt idx="10">
                  <c:v>-0.24820403087334708</c:v>
                </c:pt>
                <c:pt idx="11">
                  <c:v>-0.1830826169894551</c:v>
                </c:pt>
                <c:pt idx="12">
                  <c:v>-0.13087469431094345</c:v>
                </c:pt>
                <c:pt idx="13">
                  <c:v>-9.0908489929242109E-2</c:v>
                </c:pt>
                <c:pt idx="14">
                  <c:v>-6.1523368978177173E-2</c:v>
                </c:pt>
                <c:pt idx="15">
                  <c:v>-4.0668157638389449E-2</c:v>
                </c:pt>
                <c:pt idx="16">
                  <c:v>-2.6318913337857793E-2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93A-B840-89BD-3D8A35A465F6}"/>
            </c:ext>
          </c:extLst>
        </c:ser>
        <c:ser>
          <c:idx val="8"/>
          <c:order val="8"/>
          <c:tx>
            <c:strRef>
              <c:f>PutGkTable!$J$86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PutGkTable!$A$87:$A$103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PutGkTable!$J$87:$J$103</c:f>
              <c:numCache>
                <c:formatCode>0.0000</c:formatCode>
                <c:ptCount val="17"/>
                <c:pt idx="0">
                  <c:v>-0.88919402699541406</c:v>
                </c:pt>
                <c:pt idx="1">
                  <c:v>-0.88281318832772104</c:v>
                </c:pt>
                <c:pt idx="2">
                  <c:v>-0.86787848942993051</c:v>
                </c:pt>
                <c:pt idx="3">
                  <c:v>-0.83935697944585197</c:v>
                </c:pt>
                <c:pt idx="4">
                  <c:v>-0.7933152003374272</c:v>
                </c:pt>
                <c:pt idx="5">
                  <c:v>-0.72871028885159717</c:v>
                </c:pt>
                <c:pt idx="6">
                  <c:v>-0.64813159334649983</c:v>
                </c:pt>
                <c:pt idx="7">
                  <c:v>-0.55716734327099038</c:v>
                </c:pt>
                <c:pt idx="8">
                  <c:v>-0.46284039504608737</c:v>
                </c:pt>
                <c:pt idx="9">
                  <c:v>-0.37188929290105371</c:v>
                </c:pt>
                <c:pt idx="10">
                  <c:v>-0.28951588055875793</c:v>
                </c:pt>
                <c:pt idx="11">
                  <c:v>-0.21884217828463348</c:v>
                </c:pt>
                <c:pt idx="12">
                  <c:v>-0.16098898756528113</c:v>
                </c:pt>
                <c:pt idx="13">
                  <c:v>-0.1155287594332393</c:v>
                </c:pt>
                <c:pt idx="14">
                  <c:v>-8.1060435850244819E-2</c:v>
                </c:pt>
                <c:pt idx="15">
                  <c:v>-5.5731173432878381E-2</c:v>
                </c:pt>
                <c:pt idx="16">
                  <c:v>-3.7621859416077805E-2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93A-B840-89BD-3D8A35A465F6}"/>
            </c:ext>
          </c:extLst>
        </c:ser>
        <c:ser>
          <c:idx val="9"/>
          <c:order val="9"/>
          <c:tx>
            <c:strRef>
              <c:f>PutGkTable!$K$86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PutGkTable!$A$87:$A$103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PutGkTable!$K$87:$K$103</c:f>
              <c:numCache>
                <c:formatCode>0.0000</c:formatCode>
                <c:ptCount val="17"/>
                <c:pt idx="0">
                  <c:v>-0.985490242492157</c:v>
                </c:pt>
                <c:pt idx="1">
                  <c:v>-0.97642162356209627</c:v>
                </c:pt>
                <c:pt idx="2">
                  <c:v>-0.95700847271534695</c:v>
                </c:pt>
                <c:pt idx="3">
                  <c:v>-0.92240828981620471</c:v>
                </c:pt>
                <c:pt idx="4">
                  <c:v>-0.86939811441071069</c:v>
                </c:pt>
                <c:pt idx="5">
                  <c:v>-0.79780177175508082</c:v>
                </c:pt>
                <c:pt idx="6">
                  <c:v>-0.71081972912872315</c:v>
                </c:pt>
                <c:pt idx="7">
                  <c:v>-0.6142024111484663</c:v>
                </c:pt>
                <c:pt idx="8">
                  <c:v>-0.51476532828002164</c:v>
                </c:pt>
                <c:pt idx="9">
                  <c:v>-0.41889720800495206</c:v>
                </c:pt>
                <c:pt idx="10">
                  <c:v>-0.33152138842643397</c:v>
                </c:pt>
                <c:pt idx="11">
                  <c:v>-0.25566125133901574</c:v>
                </c:pt>
                <c:pt idx="12">
                  <c:v>-0.19251686638792745</c:v>
                </c:pt>
                <c:pt idx="13">
                  <c:v>-0.14185000790281932</c:v>
                </c:pt>
                <c:pt idx="14">
                  <c:v>-0.10247663661348418</c:v>
                </c:pt>
                <c:pt idx="15">
                  <c:v>-7.2725467232320332E-2</c:v>
                </c:pt>
                <c:pt idx="16">
                  <c:v>-5.0791250093462879E-2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93A-B840-89BD-3D8A35A465F6}"/>
            </c:ext>
          </c:extLst>
        </c:ser>
        <c:ser>
          <c:idx val="10"/>
          <c:order val="10"/>
          <c:tx>
            <c:strRef>
              <c:f>PutGkTable!$L$86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PutGkTable!$A$87:$A$103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PutGkTable!$L$87:$L$103</c:f>
              <c:numCache>
                <c:formatCode>0.0000</c:formatCode>
                <c:ptCount val="17"/>
                <c:pt idx="0">
                  <c:v>-1.9010442651574975</c:v>
                </c:pt>
                <c:pt idx="1">
                  <c:v>-1.8516049152267084</c:v>
                </c:pt>
                <c:pt idx="2">
                  <c:v>-1.7810765397615398</c:v>
                </c:pt>
                <c:pt idx="3">
                  <c:v>-1.6892014647187603</c:v>
                </c:pt>
                <c:pt idx="4">
                  <c:v>-1.5781333252461023</c:v>
                </c:pt>
                <c:pt idx="5">
                  <c:v>-1.4519373350091147</c:v>
                </c:pt>
                <c:pt idx="6">
                  <c:v>-1.3158096309700396</c:v>
                </c:pt>
                <c:pt idx="7">
                  <c:v>-1.1752633104385721</c:v>
                </c:pt>
                <c:pt idx="8">
                  <c:v>-1.0354544111550688</c:v>
                </c:pt>
                <c:pt idx="9">
                  <c:v>-0.90072854957655835</c:v>
                </c:pt>
                <c:pt idx="10">
                  <c:v>-0.77439387810982707</c:v>
                </c:pt>
                <c:pt idx="11">
                  <c:v>-0.65868086279061144</c:v>
                </c:pt>
                <c:pt idx="12">
                  <c:v>-0.55483161920358526</c:v>
                </c:pt>
                <c:pt idx="13">
                  <c:v>-0.46326256041769343</c:v>
                </c:pt>
                <c:pt idx="14">
                  <c:v>-0.38375493287931833</c:v>
                </c:pt>
                <c:pt idx="15">
                  <c:v>-0.31564169863796115</c:v>
                </c:pt>
                <c:pt idx="16">
                  <c:v>-0.25797213572700128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93A-B840-89BD-3D8A35A465F6}"/>
            </c:ext>
          </c:extLst>
        </c:ser>
        <c:ser>
          <c:idx val="11"/>
          <c:order val="11"/>
          <c:tx>
            <c:strRef>
              <c:f>PutGkTable!$M$86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PutGkTable!$A$87:$A$103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PutGkTable!$M$87:$M$103</c:f>
              <c:numCache>
                <c:formatCode>0.0000</c:formatCode>
                <c:ptCount val="17"/>
                <c:pt idx="0">
                  <c:v>-2.7388840052041403</c:v>
                </c:pt>
                <c:pt idx="1">
                  <c:v>-2.6442743352052371</c:v>
                </c:pt>
                <c:pt idx="2">
                  <c:v>-2.5265717253150868</c:v>
                </c:pt>
                <c:pt idx="3">
                  <c:v>-2.3885967896533566</c:v>
                </c:pt>
                <c:pt idx="4">
                  <c:v>-2.2345611221477659</c:v>
                </c:pt>
                <c:pt idx="5">
                  <c:v>-2.0694088502785393</c:v>
                </c:pt>
                <c:pt idx="6">
                  <c:v>-1.8982199268452462</c:v>
                </c:pt>
                <c:pt idx="7">
                  <c:v>-1.7257498868906034</c:v>
                </c:pt>
                <c:pt idx="8">
                  <c:v>-1.5561276866903311</c:v>
                </c:pt>
                <c:pt idx="9">
                  <c:v>-1.3926989065749853</c:v>
                </c:pt>
                <c:pt idx="10">
                  <c:v>-1.2379845616845604</c:v>
                </c:pt>
                <c:pt idx="11">
                  <c:v>-1.0937211792786214</c:v>
                </c:pt>
                <c:pt idx="12">
                  <c:v>-0.96095059103296121</c:v>
                </c:pt>
                <c:pt idx="13">
                  <c:v>-0.84013408061792316</c:v>
                </c:pt>
                <c:pt idx="14">
                  <c:v>-0.73127252314863256</c:v>
                </c:pt>
                <c:pt idx="15">
                  <c:v>-0.63402052128096154</c:v>
                </c:pt>
                <c:pt idx="16">
                  <c:v>-0.54778766781951849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93A-B840-89BD-3D8A35A465F6}"/>
            </c:ext>
          </c:extLst>
        </c:ser>
        <c:ser>
          <c:idx val="12"/>
          <c:order val="12"/>
          <c:tx>
            <c:strRef>
              <c:f>PutGkTable!$N$86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PutGkTable!$A$87:$A$103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PutGkTable!$N$87:$N$103</c:f>
              <c:numCache>
                <c:formatCode>0.0000</c:formatCode>
                <c:ptCount val="17"/>
                <c:pt idx="0">
                  <c:v>-3.5193862364046682</c:v>
                </c:pt>
                <c:pt idx="1">
                  <c:v>-3.3834919661091258</c:v>
                </c:pt>
                <c:pt idx="2">
                  <c:v>-3.2256582707604919</c:v>
                </c:pt>
                <c:pt idx="3">
                  <c:v>-3.050181031930387</c:v>
                </c:pt>
                <c:pt idx="4">
                  <c:v>-2.8619442081618183</c:v>
                </c:pt>
                <c:pt idx="5">
                  <c:v>-2.665906412411668</c:v>
                </c:pt>
                <c:pt idx="6">
                  <c:v>-2.4667209312610381</c:v>
                </c:pt>
                <c:pt idx="7">
                  <c:v>-2.2684912659159515</c:v>
                </c:pt>
                <c:pt idx="8">
                  <c:v>-2.0746435400648329</c:v>
                </c:pt>
                <c:pt idx="9">
                  <c:v>-1.8878889319767538</c:v>
                </c:pt>
                <c:pt idx="10">
                  <c:v>-1.7102488744895856</c:v>
                </c:pt>
                <c:pt idx="11">
                  <c:v>-1.5431193627647783</c:v>
                </c:pt>
                <c:pt idx="12">
                  <c:v>-1.3873558039573215</c:v>
                </c:pt>
                <c:pt idx="13">
                  <c:v>-1.2433649767000055</c:v>
                </c:pt>
                <c:pt idx="14">
                  <c:v>-1.1111951260614403</c:v>
                </c:pt>
                <c:pt idx="15">
                  <c:v>-0.9906187491457612</c:v>
                </c:pt>
                <c:pt idx="16">
                  <c:v>-0.88120523161914477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93A-B840-89BD-3D8A35A465F6}"/>
            </c:ext>
          </c:extLst>
        </c:ser>
        <c:ser>
          <c:idx val="13"/>
          <c:order val="13"/>
          <c:tx>
            <c:strRef>
              <c:f>PutGkTable!$O$86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PutGkTable!$A$87:$A$103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PutGkTable!$O$87:$O$103</c:f>
              <c:numCache>
                <c:formatCode>0.0000</c:formatCode>
                <c:ptCount val="17"/>
                <c:pt idx="0">
                  <c:v>-4.2571656170608438</c:v>
                </c:pt>
                <c:pt idx="1">
                  <c:v>-4.0847066211875553</c:v>
                </c:pt>
                <c:pt idx="2">
                  <c:v>-3.8925166110455165</c:v>
                </c:pt>
                <c:pt idx="3">
                  <c:v>-3.6855361666166671</c:v>
                </c:pt>
                <c:pt idx="4">
                  <c:v>-3.4687687242801872</c:v>
                </c:pt>
                <c:pt idx="5">
                  <c:v>-3.2469274685521823</c:v>
                </c:pt>
                <c:pt idx="6">
                  <c:v>-3.024212005593808</c:v>
                </c:pt>
                <c:pt idx="7">
                  <c:v>-2.804192057514328</c:v>
                </c:pt>
                <c:pt idx="8">
                  <c:v>-2.5897713521361756</c:v>
                </c:pt>
                <c:pt idx="9">
                  <c:v>-2.3832066203088487</c:v>
                </c:pt>
                <c:pt idx="10">
                  <c:v>-2.1861608980880685</c:v>
                </c:pt>
                <c:pt idx="11">
                  <c:v>-1.9997752423204442</c:v>
                </c:pt>
                <c:pt idx="12">
                  <c:v>-1.8247475153256765</c:v>
                </c:pt>
                <c:pt idx="13">
                  <c:v>-1.6614106664413504</c:v>
                </c:pt>
                <c:pt idx="14">
                  <c:v>-1.5098058483276642</c:v>
                </c:pt>
                <c:pt idx="15">
                  <c:v>-1.3697478270717238</c:v>
                </c:pt>
                <c:pt idx="16">
                  <c:v>-1.240881613164734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93A-B840-89BD-3D8A35A465F6}"/>
            </c:ext>
          </c:extLst>
        </c:ser>
        <c:bandFmts>
          <c:bandFmt>
            <c:idx val="0"/>
            <c:spPr>
              <a:solidFill>
                <a:schemeClr val="accent2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95000"/>
                </a:schemeClr>
              </a:solidFill>
              <a:ln/>
              <a:effectLst/>
              <a:sp3d/>
            </c:spPr>
          </c:bandFmt>
        </c:bandFmts>
        <c:axId val="1659918912"/>
        <c:axId val="1648042752"/>
        <c:axId val="1637586944"/>
      </c:surface3DChart>
      <c:catAx>
        <c:axId val="1659918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042752"/>
        <c:crosses val="autoZero"/>
        <c:auto val="1"/>
        <c:lblAlgn val="ctr"/>
        <c:lblOffset val="100"/>
        <c:noMultiLvlLbl val="0"/>
      </c:catAx>
      <c:valAx>
        <c:axId val="1648042752"/>
        <c:scaling>
          <c:orientation val="minMax"/>
          <c:max val="0"/>
          <c:min val="-4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9918912"/>
        <c:crosses val="autoZero"/>
        <c:crossBetween val="midCat"/>
      </c:valAx>
      <c:serAx>
        <c:axId val="163758694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04275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</a:t>
            </a:r>
            <a:r>
              <a:rPr lang="en-US" baseline="0"/>
              <a:t> - 30%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PutGkTable!$R$66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PutGkTable!$Q$67:$Q$83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PutGkTable!$R$67:$R$83</c:f>
              <c:numCache>
                <c:formatCode>0.0000</c:formatCode>
                <c:ptCount val="17"/>
                <c:pt idx="0">
                  <c:v>5.2241467496489445E-8</c:v>
                </c:pt>
                <c:pt idx="1">
                  <c:v>3.5480919020595769E-6</c:v>
                </c:pt>
                <c:pt idx="2">
                  <c:v>9.3436309317573526E-5</c:v>
                </c:pt>
                <c:pt idx="3">
                  <c:v>1.1344357018572755E-3</c:v>
                </c:pt>
                <c:pt idx="4">
                  <c:v>7.2629446543345478E-3</c:v>
                </c:pt>
                <c:pt idx="5">
                  <c:v>2.725633977693533E-2</c:v>
                </c:pt>
                <c:pt idx="6">
                  <c:v>6.5245486618251358E-2</c:v>
                </c:pt>
                <c:pt idx="7">
                  <c:v>0.10666888149822518</c:v>
                </c:pt>
                <c:pt idx="8">
                  <c:v>0.12594479093238514</c:v>
                </c:pt>
                <c:pt idx="9">
                  <c:v>0.11245674973430272</c:v>
                </c:pt>
                <c:pt idx="10">
                  <c:v>7.8904665626496825E-2</c:v>
                </c:pt>
                <c:pt idx="11">
                  <c:v>4.4925546239266929E-2</c:v>
                </c:pt>
                <c:pt idx="12">
                  <c:v>2.1327896525065605E-2</c:v>
                </c:pt>
                <c:pt idx="13">
                  <c:v>8.6394717581212612E-3</c:v>
                </c:pt>
                <c:pt idx="14">
                  <c:v>3.0456280025937242E-3</c:v>
                </c:pt>
                <c:pt idx="15">
                  <c:v>9.503394546450289E-4</c:v>
                </c:pt>
                <c:pt idx="16">
                  <c:v>2.6634878733576296E-4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D6-6F43-B2C3-095CBAFB25D6}"/>
            </c:ext>
          </c:extLst>
        </c:ser>
        <c:ser>
          <c:idx val="1"/>
          <c:order val="1"/>
          <c:tx>
            <c:strRef>
              <c:f>PutGkTable!$S$66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PutGkTable!$Q$67:$Q$83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PutGkTable!$S$67:$S$83</c:f>
              <c:numCache>
                <c:formatCode>0.0000</c:formatCode>
                <c:ptCount val="17"/>
                <c:pt idx="0">
                  <c:v>1.0369210092575671E-4</c:v>
                </c:pt>
                <c:pt idx="1">
                  <c:v>8.6795002193490293E-4</c:v>
                </c:pt>
                <c:pt idx="2">
                  <c:v>4.5186973977930974E-3</c:v>
                </c:pt>
                <c:pt idx="3">
                  <c:v>1.5957745936388483E-2</c:v>
                </c:pt>
                <c:pt idx="4">
                  <c:v>4.0887259297741153E-2</c:v>
                </c:pt>
                <c:pt idx="5">
                  <c:v>8.0146565468207587E-2</c:v>
                </c:pt>
                <c:pt idx="6">
                  <c:v>0.12538719707021434</c:v>
                </c:pt>
                <c:pt idx="7">
                  <c:v>0.16201774980597236</c:v>
                </c:pt>
                <c:pt idx="8">
                  <c:v>0.1778137543166752</c:v>
                </c:pt>
                <c:pt idx="9">
                  <c:v>0.16962433257069015</c:v>
                </c:pt>
                <c:pt idx="10">
                  <c:v>0.14337557290741063</c:v>
                </c:pt>
                <c:pt idx="11">
                  <c:v>0.10912500779394536</c:v>
                </c:pt>
                <c:pt idx="12">
                  <c:v>7.5813336945485379E-2</c:v>
                </c:pt>
                <c:pt idx="13">
                  <c:v>4.8636515735941702E-2</c:v>
                </c:pt>
                <c:pt idx="14">
                  <c:v>2.9098414567491456E-2</c:v>
                </c:pt>
                <c:pt idx="15">
                  <c:v>1.6374094930515438E-2</c:v>
                </c:pt>
                <c:pt idx="16">
                  <c:v>8.7300030082944954E-3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D6-6F43-B2C3-095CBAFB25D6}"/>
            </c:ext>
          </c:extLst>
        </c:ser>
        <c:ser>
          <c:idx val="2"/>
          <c:order val="2"/>
          <c:tx>
            <c:strRef>
              <c:f>PutGkTable!$T$66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PutGkTable!$Q$67:$Q$83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PutGkTable!$T$67:$T$83</c:f>
              <c:numCache>
                <c:formatCode>0.0000</c:formatCode>
                <c:ptCount val="17"/>
                <c:pt idx="0">
                  <c:v>1.4202882759273424E-3</c:v>
                </c:pt>
                <c:pt idx="1">
                  <c:v>5.9162801509579999E-3</c:v>
                </c:pt>
                <c:pt idx="2">
                  <c:v>1.7943197870953598E-2</c:v>
                </c:pt>
                <c:pt idx="3">
                  <c:v>4.1984549048709428E-2</c:v>
                </c:pt>
                <c:pt idx="4">
                  <c:v>7.9274555446936928E-2</c:v>
                </c:pt>
                <c:pt idx="5">
                  <c:v>0.12514440458799733</c:v>
                </c:pt>
                <c:pt idx="6">
                  <c:v>0.1699057827332551</c:v>
                </c:pt>
                <c:pt idx="7">
                  <c:v>0.20298234899889014</c:v>
                </c:pt>
                <c:pt idx="8">
                  <c:v>0.2174108055400083</c:v>
                </c:pt>
                <c:pt idx="9">
                  <c:v>0.21201979956829656</c:v>
                </c:pt>
                <c:pt idx="10">
                  <c:v>0.19068654650481343</c:v>
                </c:pt>
                <c:pt idx="11">
                  <c:v>0.1598779807314763</c:v>
                </c:pt>
                <c:pt idx="12">
                  <c:v>0.12610496950196404</c:v>
                </c:pt>
                <c:pt idx="13">
                  <c:v>9.4299256777715612E-2</c:v>
                </c:pt>
                <c:pt idx="14">
                  <c:v>6.7295735384344496E-2</c:v>
                </c:pt>
                <c:pt idx="15">
                  <c:v>4.6093272696781741E-2</c:v>
                </c:pt>
                <c:pt idx="16">
                  <c:v>3.0450166811718984E-2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D6-6F43-B2C3-095CBAFB25D6}"/>
            </c:ext>
          </c:extLst>
        </c:ser>
        <c:ser>
          <c:idx val="3"/>
          <c:order val="3"/>
          <c:tx>
            <c:strRef>
              <c:f>PutGkTable!$U$66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PutGkTable!$Q$67:$Q$83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PutGkTable!$U$67:$U$83</c:f>
              <c:numCache>
                <c:formatCode>0.0000</c:formatCode>
                <c:ptCount val="17"/>
                <c:pt idx="0">
                  <c:v>5.4799114620321266E-3</c:v>
                </c:pt>
                <c:pt idx="1">
                  <c:v>1.6103021116910757E-2</c:v>
                </c:pt>
                <c:pt idx="2">
                  <c:v>3.7275610547584388E-2</c:v>
                </c:pt>
                <c:pt idx="3">
                  <c:v>7.0995380577419706E-2</c:v>
                </c:pt>
                <c:pt idx="4">
                  <c:v>0.11507695143275125</c:v>
                </c:pt>
                <c:pt idx="5">
                  <c:v>0.16302579321220415</c:v>
                </c:pt>
                <c:pt idx="6">
                  <c:v>0.20618984345800187</c:v>
                </c:pt>
                <c:pt idx="7">
                  <c:v>0.23685782585692991</c:v>
                </c:pt>
                <c:pt idx="8">
                  <c:v>0.25062283449841155</c:v>
                </c:pt>
                <c:pt idx="9">
                  <c:v>0.2471167473923678</c:v>
                </c:pt>
                <c:pt idx="10">
                  <c:v>0.22925780102263243</c:v>
                </c:pt>
                <c:pt idx="11">
                  <c:v>0.20174485287319666</c:v>
                </c:pt>
                <c:pt idx="12">
                  <c:v>0.16955364143103455</c:v>
                </c:pt>
                <c:pt idx="13">
                  <c:v>0.13688718821788132</c:v>
                </c:pt>
                <c:pt idx="14">
                  <c:v>0.10669112068562889</c:v>
                </c:pt>
                <c:pt idx="15">
                  <c:v>8.062306246902104E-2</c:v>
                </c:pt>
                <c:pt idx="16">
                  <c:v>5.9286927376384885E-2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D6-6F43-B2C3-095CBAFB25D6}"/>
            </c:ext>
          </c:extLst>
        </c:ser>
        <c:ser>
          <c:idx val="4"/>
          <c:order val="4"/>
          <c:tx>
            <c:strRef>
              <c:f>PutGkTable!$V$66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PutGkTable!$Q$67:$Q$83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PutGkTable!$V$67:$V$83</c:f>
              <c:numCache>
                <c:formatCode>0.0000</c:formatCode>
                <c:ptCount val="17"/>
                <c:pt idx="0">
                  <c:v>1.2626797297023529E-2</c:v>
                </c:pt>
                <c:pt idx="1">
                  <c:v>3.0095667810257461E-2</c:v>
                </c:pt>
                <c:pt idx="2">
                  <c:v>5.9240833497693511E-2</c:v>
                </c:pt>
                <c:pt idx="3">
                  <c:v>9.972312834283853E-2</c:v>
                </c:pt>
                <c:pt idx="4">
                  <c:v>0.14749677041710105</c:v>
                </c:pt>
                <c:pt idx="5">
                  <c:v>0.19581443166314158</c:v>
                </c:pt>
                <c:pt idx="6">
                  <c:v>0.23734723525071388</c:v>
                </c:pt>
                <c:pt idx="7">
                  <c:v>0.26630962333356739</c:v>
                </c:pt>
                <c:pt idx="8">
                  <c:v>0.27973434297827998</c:v>
                </c:pt>
                <c:pt idx="9">
                  <c:v>0.27765089504983581</c:v>
                </c:pt>
                <c:pt idx="10">
                  <c:v>0.26242669261937368</c:v>
                </c:pt>
                <c:pt idx="11">
                  <c:v>0.23773448946649212</c:v>
                </c:pt>
                <c:pt idx="12">
                  <c:v>0.20755515123786619</c:v>
                </c:pt>
                <c:pt idx="13">
                  <c:v>0.17545145159162673</c:v>
                </c:pt>
                <c:pt idx="14">
                  <c:v>0.1441763943815362</c:v>
                </c:pt>
                <c:pt idx="15">
                  <c:v>0.11556698455080512</c:v>
                </c:pt>
                <c:pt idx="16">
                  <c:v>9.0627906162675978E-2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DD6-6F43-B2C3-095CBAFB25D6}"/>
            </c:ext>
          </c:extLst>
        </c:ser>
        <c:ser>
          <c:idx val="5"/>
          <c:order val="5"/>
          <c:tx>
            <c:strRef>
              <c:f>PutGkTable!$W$66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PutGkTable!$Q$67:$Q$83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PutGkTable!$W$67:$W$83</c:f>
              <c:numCache>
                <c:formatCode>0.0000</c:formatCode>
                <c:ptCount val="17"/>
                <c:pt idx="0">
                  <c:v>2.2388087034633054E-2</c:v>
                </c:pt>
                <c:pt idx="1">
                  <c:v>4.6410088796281238E-2</c:v>
                </c:pt>
                <c:pt idx="2">
                  <c:v>8.1996646326998254E-2</c:v>
                </c:pt>
                <c:pt idx="3">
                  <c:v>0.12712093999325985</c:v>
                </c:pt>
                <c:pt idx="4">
                  <c:v>0.17688429965289604</c:v>
                </c:pt>
                <c:pt idx="5">
                  <c:v>0.22487833277913322</c:v>
                </c:pt>
                <c:pt idx="6">
                  <c:v>0.26495540458839584</c:v>
                </c:pt>
                <c:pt idx="7">
                  <c:v>0.29266016170947756</c:v>
                </c:pt>
                <c:pt idx="8">
                  <c:v>0.30591907327736617</c:v>
                </c:pt>
                <c:pt idx="9">
                  <c:v>0.30498209522504144</c:v>
                </c:pt>
                <c:pt idx="10">
                  <c:v>0.29186001251802374</c:v>
                </c:pt>
                <c:pt idx="11">
                  <c:v>0.2695644874512334</c:v>
                </c:pt>
                <c:pt idx="12">
                  <c:v>0.2413950979277403</c:v>
                </c:pt>
                <c:pt idx="13">
                  <c:v>0.21040872318836001</c:v>
                </c:pt>
                <c:pt idx="14">
                  <c:v>0.17910817795815684</c:v>
                </c:pt>
                <c:pt idx="15">
                  <c:v>0.14932325285649342</c:v>
                </c:pt>
                <c:pt idx="16">
                  <c:v>0.12222910034137176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DD6-6F43-B2C3-095CBAFB25D6}"/>
            </c:ext>
          </c:extLst>
        </c:ser>
        <c:ser>
          <c:idx val="6"/>
          <c:order val="6"/>
          <c:tx>
            <c:strRef>
              <c:f>PutGkTable!$X$66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PutGkTable!$Q$67:$Q$83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PutGkTable!$X$67:$X$83</c:f>
              <c:numCache>
                <c:formatCode>0.0000</c:formatCode>
                <c:ptCount val="17"/>
                <c:pt idx="0">
                  <c:v>3.4092800414934205E-2</c:v>
                </c:pt>
                <c:pt idx="1">
                  <c:v>6.3967797976228549E-2</c:v>
                </c:pt>
                <c:pt idx="2">
                  <c:v>0.10462155572124113</c:v>
                </c:pt>
                <c:pt idx="3">
                  <c:v>0.1529339134731435</c:v>
                </c:pt>
                <c:pt idx="4">
                  <c:v>0.20372161802542724</c:v>
                </c:pt>
                <c:pt idx="5">
                  <c:v>0.25111006208294917</c:v>
                </c:pt>
                <c:pt idx="6">
                  <c:v>0.2899301291838231</c:v>
                </c:pt>
                <c:pt idx="7">
                  <c:v>0.31667848744818322</c:v>
                </c:pt>
                <c:pt idx="8">
                  <c:v>0.32987552453324304</c:v>
                </c:pt>
                <c:pt idx="9">
                  <c:v>0.3299023291202639</c:v>
                </c:pt>
                <c:pt idx="10">
                  <c:v>0.31851990708534011</c:v>
                </c:pt>
                <c:pt idx="11">
                  <c:v>0.29828227300311022</c:v>
                </c:pt>
                <c:pt idx="12">
                  <c:v>0.27199931861420884</c:v>
                </c:pt>
                <c:pt idx="13">
                  <c:v>0.24233244905687773</c:v>
                </c:pt>
                <c:pt idx="14">
                  <c:v>0.21154470571896186</c:v>
                </c:pt>
                <c:pt idx="15">
                  <c:v>0.18138808755412683</c:v>
                </c:pt>
                <c:pt idx="16">
                  <c:v>0.15309296235130823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DD6-6F43-B2C3-095CBAFB25D6}"/>
            </c:ext>
          </c:extLst>
        </c:ser>
        <c:ser>
          <c:idx val="7"/>
          <c:order val="7"/>
          <c:tx>
            <c:strRef>
              <c:f>PutGkTable!$Y$66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PutGkTable!$Q$67:$Q$83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PutGkTable!$Y$67:$Y$83</c:f>
              <c:numCache>
                <c:formatCode>0.0000</c:formatCode>
                <c:ptCount val="17"/>
                <c:pt idx="0">
                  <c:v>4.7136291023201063E-2</c:v>
                </c:pt>
                <c:pt idx="1">
                  <c:v>8.2069467460122725E-2</c:v>
                </c:pt>
                <c:pt idx="2">
                  <c:v>0.12667719836424343</c:v>
                </c:pt>
                <c:pt idx="3">
                  <c:v>0.17718513961379675</c:v>
                </c:pt>
                <c:pt idx="4">
                  <c:v>0.22843174271570835</c:v>
                </c:pt>
                <c:pt idx="5">
                  <c:v>0.2751122670939824</c:v>
                </c:pt>
                <c:pt idx="6">
                  <c:v>0.3128543782986476</c:v>
                </c:pt>
                <c:pt idx="7">
                  <c:v>0.33885838808772822</c:v>
                </c:pt>
                <c:pt idx="8">
                  <c:v>0.35205961627525989</c:v>
                </c:pt>
                <c:pt idx="9">
                  <c:v>0.35292069317520947</c:v>
                </c:pt>
                <c:pt idx="10">
                  <c:v>0.34301770068622467</c:v>
                </c:pt>
                <c:pt idx="11">
                  <c:v>0.3245708269894787</c:v>
                </c:pt>
                <c:pt idx="12">
                  <c:v>0.30002386856514912</c:v>
                </c:pt>
                <c:pt idx="13">
                  <c:v>0.27172581972973991</c:v>
                </c:pt>
                <c:pt idx="14">
                  <c:v>0.24172728981926178</c:v>
                </c:pt>
                <c:pt idx="15">
                  <c:v>0.21167921445105367</c:v>
                </c:pt>
                <c:pt idx="16">
                  <c:v>0.18280966330758439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DD6-6F43-B2C3-095CBAFB25D6}"/>
            </c:ext>
          </c:extLst>
        </c:ser>
        <c:ser>
          <c:idx val="8"/>
          <c:order val="8"/>
          <c:tx>
            <c:strRef>
              <c:f>PutGkTable!$Z$66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PutGkTable!$Q$67:$Q$83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PutGkTable!$Z$67:$Z$83</c:f>
              <c:numCache>
                <c:formatCode>0.0000</c:formatCode>
                <c:ptCount val="17"/>
                <c:pt idx="0">
                  <c:v>6.1044245880699191E-2</c:v>
                </c:pt>
                <c:pt idx="1">
                  <c:v>0.10028004968425032</c:v>
                </c:pt>
                <c:pt idx="2">
                  <c:v>0.14797070949272112</c:v>
                </c:pt>
                <c:pt idx="3">
                  <c:v>0.19998950927794951</c:v>
                </c:pt>
                <c:pt idx="4">
                  <c:v>0.25135567501845718</c:v>
                </c:pt>
                <c:pt idx="5">
                  <c:v>0.29730845258588651</c:v>
                </c:pt>
                <c:pt idx="6">
                  <c:v>0.33412469483092272</c:v>
                </c:pt>
                <c:pt idx="7">
                  <c:v>0.35953924700853612</c:v>
                </c:pt>
                <c:pt idx="8">
                  <c:v>0.37278859440959361</c:v>
                </c:pt>
                <c:pt idx="9">
                  <c:v>0.37438741076876991</c:v>
                </c:pt>
                <c:pt idx="10">
                  <c:v>0.36576911327852019</c:v>
                </c:pt>
                <c:pt idx="11">
                  <c:v>0.34890050929444222</c:v>
                </c:pt>
                <c:pt idx="12">
                  <c:v>0.32594284085625297</c:v>
                </c:pt>
                <c:pt idx="13">
                  <c:v>0.29899446559453879</c:v>
                </c:pt>
                <c:pt idx="14">
                  <c:v>0.26992241961759356</c:v>
                </c:pt>
                <c:pt idx="15">
                  <c:v>0.24027301202528753</c:v>
                </c:pt>
                <c:pt idx="16">
                  <c:v>0.21124373927845524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DD6-6F43-B2C3-095CBAFB25D6}"/>
            </c:ext>
          </c:extLst>
        </c:ser>
        <c:ser>
          <c:idx val="9"/>
          <c:order val="9"/>
          <c:tx>
            <c:strRef>
              <c:f>PutGkTable!$AA$66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PutGkTable!$Q$67:$Q$83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PutGkTable!$AA$67:$AA$83</c:f>
              <c:numCache>
                <c:formatCode>0.0000</c:formatCode>
                <c:ptCount val="17"/>
                <c:pt idx="0">
                  <c:v>7.5465414056779437E-2</c:v>
                </c:pt>
                <c:pt idx="1">
                  <c:v>0.11833484483505806</c:v>
                </c:pt>
                <c:pt idx="2">
                  <c:v>0.16843384637940811</c:v>
                </c:pt>
                <c:pt idx="3">
                  <c:v>0.22148428421066524</c:v>
                </c:pt>
                <c:pt idx="4">
                  <c:v>0.27276349949898759</c:v>
                </c:pt>
                <c:pt idx="5">
                  <c:v>0.31800713357890908</c:v>
                </c:pt>
                <c:pt idx="6">
                  <c:v>0.35402457537592474</c:v>
                </c:pt>
                <c:pt idx="7">
                  <c:v>0.37896623822327191</c:v>
                </c:pt>
                <c:pt idx="8">
                  <c:v>0.39229385545573259</c:v>
                </c:pt>
                <c:pt idx="9">
                  <c:v>0.39455567305177858</c:v>
                </c:pt>
                <c:pt idx="10">
                  <c:v>0.38707149777283795</c:v>
                </c:pt>
                <c:pt idx="11">
                  <c:v>0.37160972039984985</c:v>
                </c:pt>
                <c:pt idx="12">
                  <c:v>0.35010774918133886</c:v>
                </c:pt>
                <c:pt idx="13">
                  <c:v>0.32445965964527135</c:v>
                </c:pt>
                <c:pt idx="14">
                  <c:v>0.29637484768584299</c:v>
                </c:pt>
                <c:pt idx="15">
                  <c:v>0.26729952054680561</c:v>
                </c:pt>
                <c:pt idx="16">
                  <c:v>0.23838743989858863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DD6-6F43-B2C3-095CBAFB25D6}"/>
            </c:ext>
          </c:extLst>
        </c:ser>
        <c:ser>
          <c:idx val="10"/>
          <c:order val="10"/>
          <c:tx>
            <c:strRef>
              <c:f>PutGkTable!$AB$66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PutGkTable!$Q$67:$Q$83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PutGkTable!$AB$67:$AB$83</c:f>
              <c:numCache>
                <c:formatCode>0.0000</c:formatCode>
                <c:ptCount val="17"/>
                <c:pt idx="0">
                  <c:v>0.21665010977573698</c:v>
                </c:pt>
                <c:pt idx="1">
                  <c:v>0.27555008864451608</c:v>
                </c:pt>
                <c:pt idx="2">
                  <c:v>0.33351628785916154</c:v>
                </c:pt>
                <c:pt idx="3">
                  <c:v>0.38761449136581966</c:v>
                </c:pt>
                <c:pt idx="4">
                  <c:v>0.4355837845139281</c:v>
                </c:pt>
                <c:pt idx="5">
                  <c:v>0.47590089770706884</c:v>
                </c:pt>
                <c:pt idx="6">
                  <c:v>0.50774026590962562</c:v>
                </c:pt>
                <c:pt idx="7">
                  <c:v>0.53087335695806648</c:v>
                </c:pt>
                <c:pt idx="8">
                  <c:v>0.54554168852462226</c:v>
                </c:pt>
                <c:pt idx="9">
                  <c:v>0.55232725998867294</c:v>
                </c:pt>
                <c:pt idx="10">
                  <c:v>0.55203468373902709</c:v>
                </c:pt>
                <c:pt idx="11">
                  <c:v>0.54559211011452069</c:v>
                </c:pt>
                <c:pt idx="12">
                  <c:v>0.53397313281358616</c:v>
                </c:pt>
                <c:pt idx="13">
                  <c:v>0.51813885189910802</c:v>
                </c:pt>
                <c:pt idx="14">
                  <c:v>0.49899766616306857</c:v>
                </c:pt>
                <c:pt idx="15">
                  <c:v>0.47737971160509768</c:v>
                </c:pt>
                <c:pt idx="16">
                  <c:v>0.45402279742050033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DD6-6F43-B2C3-095CBAFB25D6}"/>
            </c:ext>
          </c:extLst>
        </c:ser>
        <c:ser>
          <c:idx val="11"/>
          <c:order val="11"/>
          <c:tx>
            <c:strRef>
              <c:f>PutGkTable!$AC$66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PutGkTable!$Q$67:$Q$83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PutGkTable!$AC$67:$AC$83</c:f>
              <c:numCache>
                <c:formatCode>0.0000</c:formatCode>
                <c:ptCount val="17"/>
                <c:pt idx="0">
                  <c:v>0.33222896128746116</c:v>
                </c:pt>
                <c:pt idx="1">
                  <c:v>0.39406825288577535</c:v>
                </c:pt>
                <c:pt idx="2">
                  <c:v>0.45187800131882505</c:v>
                </c:pt>
                <c:pt idx="3">
                  <c:v>0.50399623483227596</c:v>
                </c:pt>
                <c:pt idx="4">
                  <c:v>0.5493407011822149</c:v>
                </c:pt>
                <c:pt idx="5">
                  <c:v>0.58733335877732817</c:v>
                </c:pt>
                <c:pt idx="6">
                  <c:v>0.61780667302057179</c:v>
                </c:pt>
                <c:pt idx="7">
                  <c:v>0.64090843856534729</c:v>
                </c:pt>
                <c:pt idx="8">
                  <c:v>0.65701458882085051</c:v>
                </c:pt>
                <c:pt idx="9">
                  <c:v>0.66665447263519584</c:v>
                </c:pt>
                <c:pt idx="10">
                  <c:v>0.6704499236841015</c:v>
                </c:pt>
                <c:pt idx="11">
                  <c:v>0.66906761646336721</c:v>
                </c:pt>
                <c:pt idx="12">
                  <c:v>0.66318326233497216</c:v>
                </c:pt>
                <c:pt idx="13">
                  <c:v>0.65345582257987478</c:v>
                </c:pt>
                <c:pt idx="14">
                  <c:v>0.64050987256156366</c:v>
                </c:pt>
                <c:pt idx="15">
                  <c:v>0.6249243886103204</c:v>
                </c:pt>
                <c:pt idx="16">
                  <c:v>0.60722645003921238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DD6-6F43-B2C3-095CBAFB25D6}"/>
            </c:ext>
          </c:extLst>
        </c:ser>
        <c:ser>
          <c:idx val="12"/>
          <c:order val="12"/>
          <c:tx>
            <c:strRef>
              <c:f>PutGkTable!$AD$66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PutGkTable!$Q$67:$Q$83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PutGkTable!$AD$67:$AD$83</c:f>
              <c:numCache>
                <c:formatCode>0.0000</c:formatCode>
                <c:ptCount val="17"/>
                <c:pt idx="0">
                  <c:v>0.4256709859697233</c:v>
                </c:pt>
                <c:pt idx="1">
                  <c:v>0.4875893022971528</c:v>
                </c:pt>
                <c:pt idx="2">
                  <c:v>0.54421505040302265</c:v>
                </c:pt>
                <c:pt idx="3">
                  <c:v>0.59461821507388324</c:v>
                </c:pt>
                <c:pt idx="4">
                  <c:v>0.63829888800540957</c:v>
                </c:pt>
                <c:pt idx="5">
                  <c:v>0.67509674458565572</c:v>
                </c:pt>
                <c:pt idx="6">
                  <c:v>0.70510754644860274</c:v>
                </c:pt>
                <c:pt idx="7">
                  <c:v>0.72861111689327795</c:v>
                </c:pt>
                <c:pt idx="8">
                  <c:v>0.74601201361465708</c:v>
                </c:pt>
                <c:pt idx="9">
                  <c:v>0.75779237344430017</c:v>
                </c:pt>
                <c:pt idx="10">
                  <c:v>0.7644755668303399</c:v>
                </c:pt>
                <c:pt idx="11">
                  <c:v>0.76659899934282538</c:v>
                </c:pt>
                <c:pt idx="12">
                  <c:v>0.76469439302491626</c:v>
                </c:pt>
                <c:pt idx="13">
                  <c:v>0.75927402432728752</c:v>
                </c:pt>
                <c:pt idx="14">
                  <c:v>0.7508216007760149</c:v>
                </c:pt>
                <c:pt idx="15">
                  <c:v>0.73978667680739463</c:v>
                </c:pt>
                <c:pt idx="16">
                  <c:v>0.72658171509209224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DD6-6F43-B2C3-095CBAFB25D6}"/>
            </c:ext>
          </c:extLst>
        </c:ser>
        <c:ser>
          <c:idx val="13"/>
          <c:order val="13"/>
          <c:tx>
            <c:strRef>
              <c:f>PutGkTable!$AE$66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PutGkTable!$Q$67:$Q$83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PutGkTable!$AE$67:$AE$83</c:f>
              <c:numCache>
                <c:formatCode>0.0000</c:formatCode>
                <c:ptCount val="17"/>
                <c:pt idx="0">
                  <c:v>0.50316444779050273</c:v>
                </c:pt>
                <c:pt idx="1">
                  <c:v>0.56441397997533327</c:v>
                </c:pt>
                <c:pt idx="2">
                  <c:v>0.61983217876086938</c:v>
                </c:pt>
                <c:pt idx="3">
                  <c:v>0.66892699193410787</c:v>
                </c:pt>
                <c:pt idx="4">
                  <c:v>0.71152052988955772</c:v>
                </c:pt>
                <c:pt idx="5">
                  <c:v>0.74766798153008263</c:v>
                </c:pt>
                <c:pt idx="6">
                  <c:v>0.77759056969031703</c:v>
                </c:pt>
                <c:pt idx="7">
                  <c:v>0.8016220170593169</c:v>
                </c:pt>
                <c:pt idx="8">
                  <c:v>0.82016695584010779</c:v>
                </c:pt>
                <c:pt idx="9">
                  <c:v>0.83366938178088834</c:v>
                </c:pt>
                <c:pt idx="10">
                  <c:v>0.84258928010075762</c:v>
                </c:pt>
                <c:pt idx="11">
                  <c:v>0.84738574187741245</c:v>
                </c:pt>
                <c:pt idx="12">
                  <c:v>0.84850513852620746</c:v>
                </c:pt>
                <c:pt idx="13">
                  <c:v>0.84637317449963989</c:v>
                </c:pt>
                <c:pt idx="14">
                  <c:v>0.84138986871529842</c:v>
                </c:pt>
                <c:pt idx="15">
                  <c:v>0.83392671372802984</c:v>
                </c:pt>
                <c:pt idx="16">
                  <c:v>0.8243254267575959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DD6-6F43-B2C3-095CBAFB25D6}"/>
            </c:ext>
          </c:extLst>
        </c:ser>
        <c:bandFmts>
          <c:bandFmt>
            <c:idx val="0"/>
            <c:spPr>
              <a:solidFill>
                <a:schemeClr val="accent2">
                  <a:shade val="42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5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68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>
                  <a:shade val="80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shade val="9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>
                  <a:tint val="94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81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69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56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43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18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5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92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80000"/>
                </a:schemeClr>
              </a:solidFill>
              <a:ln/>
              <a:effectLst/>
              <a:sp3d/>
            </c:spPr>
          </c:bandFmt>
        </c:bandFmts>
        <c:axId val="1666596160"/>
        <c:axId val="1666589888"/>
        <c:axId val="1658811904"/>
      </c:surface3DChart>
      <c:catAx>
        <c:axId val="1666596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589888"/>
        <c:crosses val="autoZero"/>
        <c:auto val="1"/>
        <c:lblAlgn val="ctr"/>
        <c:lblOffset val="100"/>
        <c:noMultiLvlLbl val="0"/>
      </c:catAx>
      <c:valAx>
        <c:axId val="1666589888"/>
        <c:scaling>
          <c:orientation val="minMax"/>
          <c:max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596160"/>
        <c:crosses val="autoZero"/>
        <c:crossBetween val="midCat"/>
      </c:valAx>
      <c:serAx>
        <c:axId val="16588119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5898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</a:t>
            </a:r>
            <a:r>
              <a:rPr lang="en-US" baseline="0"/>
              <a:t> - 30%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PutGkTable!$R$86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PutGkTable!$Q$87:$Q$103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PutGkTable!$R$87:$R$103</c:f>
              <c:numCache>
                <c:formatCode>0.0000</c:formatCode>
                <c:ptCount val="17"/>
                <c:pt idx="0">
                  <c:v>-9.990004703071427E-2</c:v>
                </c:pt>
                <c:pt idx="1">
                  <c:v>-9.9899815209394227E-2</c:v>
                </c:pt>
                <c:pt idx="2">
                  <c:v>-9.9892721932446804E-2</c:v>
                </c:pt>
                <c:pt idx="3">
                  <c:v>-9.9792886943120107E-2</c:v>
                </c:pt>
                <c:pt idx="4">
                  <c:v>-9.9056254487734433E-2</c:v>
                </c:pt>
                <c:pt idx="5">
                  <c:v>-9.5898079367803174E-2</c:v>
                </c:pt>
                <c:pt idx="6">
                  <c:v>-8.7353656633138807E-2</c:v>
                </c:pt>
                <c:pt idx="7">
                  <c:v>-7.1750558994645955E-2</c:v>
                </c:pt>
                <c:pt idx="8">
                  <c:v>-5.1420047719604012E-2</c:v>
                </c:pt>
                <c:pt idx="9">
                  <c:v>-3.1622218849540334E-2</c:v>
                </c:pt>
                <c:pt idx="10">
                  <c:v>-1.6641455853283124E-2</c:v>
                </c:pt>
                <c:pt idx="11">
                  <c:v>-7.5379242114053903E-3</c:v>
                </c:pt>
                <c:pt idx="12">
                  <c:v>-2.9688947395648652E-3</c:v>
                </c:pt>
                <c:pt idx="13">
                  <c:v>-1.0289433281621698E-3</c:v>
                </c:pt>
                <c:pt idx="14">
                  <c:v>-3.1763475348564358E-4</c:v>
                </c:pt>
                <c:pt idx="15">
                  <c:v>-8.8365776347315101E-5</c:v>
                </c:pt>
                <c:pt idx="16">
                  <c:v>-2.2396787586628026E-5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74-2C46-8814-16620FB06090}"/>
            </c:ext>
          </c:extLst>
        </c:ser>
        <c:ser>
          <c:idx val="1"/>
          <c:order val="1"/>
          <c:tx>
            <c:strRef>
              <c:f>PutGkTable!$S$86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PutGkTable!$Q$87:$Q$103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PutGkTable!$S$87:$S$103</c:f>
              <c:numCache>
                <c:formatCode>0.0000</c:formatCode>
                <c:ptCount val="17"/>
                <c:pt idx="0">
                  <c:v>-0.19958906720312344</c:v>
                </c:pt>
                <c:pt idx="1">
                  <c:v>-0.19949039646523603</c:v>
                </c:pt>
                <c:pt idx="2">
                  <c:v>-0.19893027320196222</c:v>
                </c:pt>
                <c:pt idx="3">
                  <c:v>-0.19679989179304896</c:v>
                </c:pt>
                <c:pt idx="4">
                  <c:v>-0.190990239643789</c:v>
                </c:pt>
                <c:pt idx="5">
                  <c:v>-0.17900138464702653</c:v>
                </c:pt>
                <c:pt idx="6">
                  <c:v>-0.15944882974268876</c:v>
                </c:pt>
                <c:pt idx="7">
                  <c:v>-0.13333997377192361</c:v>
                </c:pt>
                <c:pt idx="8">
                  <c:v>-0.10395295434007169</c:v>
                </c:pt>
                <c:pt idx="9">
                  <c:v>-7.5392221644094551E-2</c:v>
                </c:pt>
                <c:pt idx="10">
                  <c:v>-5.0937365645645355E-2</c:v>
                </c:pt>
                <c:pt idx="11">
                  <c:v>-3.2175041796380512E-2</c:v>
                </c:pt>
                <c:pt idx="12">
                  <c:v>-1.9090872906448647E-2</c:v>
                </c:pt>
                <c:pt idx="13">
                  <c:v>-1.0695711321091927E-2</c:v>
                </c:pt>
                <c:pt idx="14">
                  <c:v>-5.6878041459199743E-3</c:v>
                </c:pt>
                <c:pt idx="15">
                  <c:v>-2.8855089414024297E-3</c:v>
                </c:pt>
                <c:pt idx="16">
                  <c:v>-1.4031351479492518E-3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74-2C46-8814-16620FB06090}"/>
            </c:ext>
          </c:extLst>
        </c:ser>
        <c:ser>
          <c:idx val="2"/>
          <c:order val="2"/>
          <c:tx>
            <c:strRef>
              <c:f>PutGkTable!$T$86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PutGkTable!$Q$87:$Q$103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PutGkTable!$T$87:$T$103</c:f>
              <c:numCache>
                <c:formatCode>0.0000</c:formatCode>
                <c:ptCount val="17"/>
                <c:pt idx="0">
                  <c:v>-0.29887547417898264</c:v>
                </c:pt>
                <c:pt idx="1">
                  <c:v>-0.29801848402060011</c:v>
                </c:pt>
                <c:pt idx="2">
                  <c:v>-0.29529580115074583</c:v>
                </c:pt>
                <c:pt idx="3">
                  <c:v>-0.28869660557168264</c:v>
                </c:pt>
                <c:pt idx="4">
                  <c:v>-0.27591313342368479</c:v>
                </c:pt>
                <c:pt idx="5">
                  <c:v>-0.25537879201417174</c:v>
                </c:pt>
                <c:pt idx="6">
                  <c:v>-0.22720559225843823</c:v>
                </c:pt>
                <c:pt idx="7">
                  <c:v>-0.19338834480645484</c:v>
                </c:pt>
                <c:pt idx="8">
                  <c:v>-0.15717041819193842</c:v>
                </c:pt>
                <c:pt idx="9">
                  <c:v>-0.12199458879506278</c:v>
                </c:pt>
                <c:pt idx="10">
                  <c:v>-9.0591488575332876E-2</c:v>
                </c:pt>
                <c:pt idx="11">
                  <c:v>-6.4527989326634033E-2</c:v>
                </c:pt>
                <c:pt idx="12">
                  <c:v>-4.4223954983262016E-2</c:v>
                </c:pt>
                <c:pt idx="13">
                  <c:v>-2.9256345887026747E-2</c:v>
                </c:pt>
                <c:pt idx="14">
                  <c:v>-1.8742566154243002E-2</c:v>
                </c:pt>
                <c:pt idx="15">
                  <c:v>-1.1663257841904265E-2</c:v>
                </c:pt>
                <c:pt idx="16">
                  <c:v>-7.0704134141144296E-3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74-2C46-8814-16620FB06090}"/>
            </c:ext>
          </c:extLst>
        </c:ser>
        <c:ser>
          <c:idx val="3"/>
          <c:order val="3"/>
          <c:tx>
            <c:strRef>
              <c:f>PutGkTable!$U$86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PutGkTable!$Q$87:$Q$103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PutGkTable!$U$87:$U$103</c:f>
              <c:numCache>
                <c:formatCode>0.0000</c:formatCode>
                <c:ptCount val="17"/>
                <c:pt idx="0">
                  <c:v>-0.39727301203731985</c:v>
                </c:pt>
                <c:pt idx="1">
                  <c:v>-0.39460495109785848</c:v>
                </c:pt>
                <c:pt idx="2">
                  <c:v>-0.38829467704337567</c:v>
                </c:pt>
                <c:pt idx="3">
                  <c:v>-0.37612570933400946</c:v>
                </c:pt>
                <c:pt idx="4">
                  <c:v>-0.35630152749774363</c:v>
                </c:pt>
                <c:pt idx="5">
                  <c:v>-0.32824500784124311</c:v>
                </c:pt>
                <c:pt idx="6">
                  <c:v>-0.29296712274180509</c:v>
                </c:pt>
                <c:pt idx="7">
                  <c:v>-0.25283630479182273</c:v>
                </c:pt>
                <c:pt idx="8">
                  <c:v>-0.21091857886389079</c:v>
                </c:pt>
                <c:pt idx="9">
                  <c:v>-0.17022082337465494</c:v>
                </c:pt>
                <c:pt idx="10">
                  <c:v>-0.13311773507029775</c:v>
                </c:pt>
                <c:pt idx="11">
                  <c:v>-0.10108355896176427</c:v>
                </c:pt>
                <c:pt idx="12">
                  <c:v>-7.4702107031297343E-2</c:v>
                </c:pt>
                <c:pt idx="13">
                  <c:v>-5.3851866590454225E-2</c:v>
                </c:pt>
                <c:pt idx="14">
                  <c:v>-3.7955110917255099E-2</c:v>
                </c:pt>
                <c:pt idx="15">
                  <c:v>-2.6210787015647562E-2</c:v>
                </c:pt>
                <c:pt idx="16">
                  <c:v>-1.7770843695835294E-2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74-2C46-8814-16620FB06090}"/>
            </c:ext>
          </c:extLst>
        </c:ser>
        <c:ser>
          <c:idx val="4"/>
          <c:order val="4"/>
          <c:tx>
            <c:strRef>
              <c:f>PutGkTable!$V$86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PutGkTable!$Q$87:$Q$103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PutGkTable!$V$87:$V$103</c:f>
              <c:numCache>
                <c:formatCode>0.0000</c:formatCode>
                <c:ptCount val="17"/>
                <c:pt idx="0">
                  <c:v>-0.49433351210635079</c:v>
                </c:pt>
                <c:pt idx="1">
                  <c:v>-0.48890399982000055</c:v>
                </c:pt>
                <c:pt idx="2">
                  <c:v>-0.47816504058929121</c:v>
                </c:pt>
                <c:pt idx="3">
                  <c:v>-0.46013059686234931</c:v>
                </c:pt>
                <c:pt idx="4">
                  <c:v>-0.43367000036610237</c:v>
                </c:pt>
                <c:pt idx="5">
                  <c:v>-0.3989765623363617</c:v>
                </c:pt>
                <c:pt idx="6">
                  <c:v>-0.35758896429098663</c:v>
                </c:pt>
                <c:pt idx="7">
                  <c:v>-0.31200732377082807</c:v>
                </c:pt>
                <c:pt idx="8">
                  <c:v>-0.26510802422028062</c:v>
                </c:pt>
                <c:pt idx="9">
                  <c:v>-0.21958303940413393</c:v>
                </c:pt>
                <c:pt idx="10">
                  <c:v>-0.17755193759705695</c:v>
                </c:pt>
                <c:pt idx="11">
                  <c:v>-0.14039122756068323</c:v>
                </c:pt>
                <c:pt idx="12">
                  <c:v>-0.10874809064143809</c:v>
                </c:pt>
                <c:pt idx="13">
                  <c:v>-8.2670405339206499E-2</c:v>
                </c:pt>
                <c:pt idx="14">
                  <c:v>-6.1784478908191637E-2</c:v>
                </c:pt>
                <c:pt idx="15">
                  <c:v>-4.5469811740087032E-2</c:v>
                </c:pt>
                <c:pt idx="16">
                  <c:v>-3.300248120287564E-2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74-2C46-8814-16620FB06090}"/>
            </c:ext>
          </c:extLst>
        </c:ser>
        <c:ser>
          <c:idx val="5"/>
          <c:order val="5"/>
          <c:tx>
            <c:strRef>
              <c:f>PutGkTable!$W$86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PutGkTable!$Q$87:$Q$103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PutGkTable!$W$87:$W$103</c:f>
              <c:numCache>
                <c:formatCode>0.0000</c:formatCode>
                <c:ptCount val="17"/>
                <c:pt idx="0">
                  <c:v>-0.58981988989516654</c:v>
                </c:pt>
                <c:pt idx="1">
                  <c:v>-0.58094117623133856</c:v>
                </c:pt>
                <c:pt idx="2">
                  <c:v>-0.56536508987617062</c:v>
                </c:pt>
                <c:pt idx="3">
                  <c:v>-0.54152295085709456</c:v>
                </c:pt>
                <c:pt idx="4">
                  <c:v>-0.50890833069967689</c:v>
                </c:pt>
                <c:pt idx="5">
                  <c:v>-0.46827795145290696</c:v>
                </c:pt>
                <c:pt idx="6">
                  <c:v>-0.42148338138168451</c:v>
                </c:pt>
                <c:pt idx="7">
                  <c:v>-0.37104981227197859</c:v>
                </c:pt>
                <c:pt idx="8">
                  <c:v>-0.31967811425022302</c:v>
                </c:pt>
                <c:pt idx="9">
                  <c:v>-0.26981864563056945</c:v>
                </c:pt>
                <c:pt idx="10">
                  <c:v>-0.22339610469459534</c:v>
                </c:pt>
                <c:pt idx="11">
                  <c:v>-0.18169714673388679</c:v>
                </c:pt>
                <c:pt idx="12">
                  <c:v>-0.14538880066773127</c:v>
                </c:pt>
                <c:pt idx="13">
                  <c:v>-0.11461881193040137</c:v>
                </c:pt>
                <c:pt idx="14">
                  <c:v>-8.9151454622707474E-2</c:v>
                </c:pt>
                <c:pt idx="15">
                  <c:v>-6.8504379043218835E-2</c:v>
                </c:pt>
                <c:pt idx="16">
                  <c:v>-5.2066109365743574E-2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874-2C46-8814-16620FB06090}"/>
            </c:ext>
          </c:extLst>
        </c:ser>
        <c:ser>
          <c:idx val="6"/>
          <c:order val="6"/>
          <c:tx>
            <c:strRef>
              <c:f>PutGkTable!$X$86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PutGkTable!$Q$87:$Q$103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PutGkTable!$X$87:$X$103</c:f>
              <c:numCache>
                <c:formatCode>0.0000</c:formatCode>
                <c:ptCount val="17"/>
                <c:pt idx="0">
                  <c:v>-0.6836678036348548</c:v>
                </c:pt>
                <c:pt idx="1">
                  <c:v>-0.67089416355798892</c:v>
                </c:pt>
                <c:pt idx="2">
                  <c:v>-0.65033286603069063</c:v>
                </c:pt>
                <c:pt idx="3">
                  <c:v>-0.6208832088027616</c:v>
                </c:pt>
                <c:pt idx="4">
                  <c:v>-0.58257023016842246</c:v>
                </c:pt>
                <c:pt idx="5">
                  <c:v>-0.5365572432015524</c:v>
                </c:pt>
                <c:pt idx="6">
                  <c:v>-0.48488129083332399</c:v>
                </c:pt>
                <c:pt idx="7">
                  <c:v>-0.43004230654885539</c:v>
                </c:pt>
                <c:pt idx="8">
                  <c:v>-0.37458411170844058</c:v>
                </c:pt>
                <c:pt idx="9">
                  <c:v>-0.32076374008132219</c:v>
                </c:pt>
                <c:pt idx="10">
                  <c:v>-0.27035040597686349</c:v>
                </c:pt>
                <c:pt idx="11">
                  <c:v>-0.22455066198211746</c:v>
                </c:pt>
                <c:pt idx="12">
                  <c:v>-0.18403073516187138</c:v>
                </c:pt>
                <c:pt idx="13">
                  <c:v>-0.1489990288780266</c:v>
                </c:pt>
                <c:pt idx="14">
                  <c:v>-0.11931528275867849</c:v>
                </c:pt>
                <c:pt idx="15">
                  <c:v>-9.4601690411796863E-2</c:v>
                </c:pt>
                <c:pt idx="16">
                  <c:v>-7.4340926919874761E-2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874-2C46-8814-16620FB06090}"/>
            </c:ext>
          </c:extLst>
        </c:ser>
        <c:ser>
          <c:idx val="7"/>
          <c:order val="7"/>
          <c:tx>
            <c:strRef>
              <c:f>PutGkTable!$Y$86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PutGkTable!$Q$87:$Q$103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PutGkTable!$Y$87:$Y$103</c:f>
              <c:numCache>
                <c:formatCode>0.0000</c:formatCode>
                <c:ptCount val="17"/>
                <c:pt idx="0">
                  <c:v>-0.77591406824195053</c:v>
                </c:pt>
                <c:pt idx="1">
                  <c:v>-0.75898139189468816</c:v>
                </c:pt>
                <c:pt idx="2">
                  <c:v>-0.73343428698687674</c:v>
                </c:pt>
                <c:pt idx="3">
                  <c:v>-0.69862694084171661</c:v>
                </c:pt>
                <c:pt idx="4">
                  <c:v>-0.65502063668732957</c:v>
                </c:pt>
                <c:pt idx="5">
                  <c:v>-0.60407187755530889</c:v>
                </c:pt>
                <c:pt idx="6">
                  <c:v>-0.54792489416524293</c:v>
                </c:pt>
                <c:pt idx="7">
                  <c:v>-0.48902993481693968</c:v>
                </c:pt>
                <c:pt idx="8">
                  <c:v>-0.42979118922043491</c:v>
                </c:pt>
                <c:pt idx="9">
                  <c:v>-0.37230616861503457</c:v>
                </c:pt>
                <c:pt idx="10">
                  <c:v>-0.3182160238522494</c:v>
                </c:pt>
                <c:pt idx="11">
                  <c:v>-0.26865623644703923</c:v>
                </c:pt>
                <c:pt idx="12">
                  <c:v>-0.2242819330001953</c:v>
                </c:pt>
                <c:pt idx="13">
                  <c:v>-0.18533873828520891</c:v>
                </c:pt>
                <c:pt idx="14">
                  <c:v>-0.15175389567661915</c:v>
                </c:pt>
                <c:pt idx="15">
                  <c:v>-0.12322920074328624</c:v>
                </c:pt>
                <c:pt idx="16">
                  <c:v>-9.932433830893253E-2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874-2C46-8814-16620FB06090}"/>
            </c:ext>
          </c:extLst>
        </c:ser>
        <c:ser>
          <c:idx val="8"/>
          <c:order val="8"/>
          <c:tx>
            <c:strRef>
              <c:f>PutGkTable!$Z$86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PutGkTable!$Q$87:$Q$103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PutGkTable!$Z$87:$Z$103</c:f>
              <c:numCache>
                <c:formatCode>0.0000</c:formatCode>
                <c:ptCount val="17"/>
                <c:pt idx="0">
                  <c:v>-0.86664540920771527</c:v>
                </c:pt>
                <c:pt idx="1">
                  <c:v>-0.84541627587568702</c:v>
                </c:pt>
                <c:pt idx="2">
                  <c:v>-0.81496374700015894</c:v>
                </c:pt>
                <c:pt idx="3">
                  <c:v>-0.77505757645217743</c:v>
                </c:pt>
                <c:pt idx="4">
                  <c:v>-0.72651182904195077</c:v>
                </c:pt>
                <c:pt idx="5">
                  <c:v>-0.67099459943799789</c:v>
                </c:pt>
                <c:pt idx="6">
                  <c:v>-0.61070764584295278</c:v>
                </c:pt>
                <c:pt idx="7">
                  <c:v>-0.54803992710897975</c:v>
                </c:pt>
                <c:pt idx="8">
                  <c:v>-0.48527119824799547</c:v>
                </c:pt>
                <c:pt idx="9">
                  <c:v>-0.42436420601664421</c:v>
                </c:pt>
                <c:pt idx="10">
                  <c:v>-0.36685204488746515</c:v>
                </c:pt>
                <c:pt idx="11">
                  <c:v>-0.31380692898533175</c:v>
                </c:pt>
                <c:pt idx="12">
                  <c:v>-0.26586768500550539</c:v>
                </c:pt>
                <c:pt idx="13">
                  <c:v>-0.22330249044173475</c:v>
                </c:pt>
                <c:pt idx="14">
                  <c:v>-0.18608715802051271</c:v>
                </c:pt>
                <c:pt idx="15">
                  <c:v>-0.15398474228507225</c:v>
                </c:pt>
                <c:pt idx="16">
                  <c:v>-0.12661761696303445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74-2C46-8814-16620FB06090}"/>
            </c:ext>
          </c:extLst>
        </c:ser>
        <c:ser>
          <c:idx val="9"/>
          <c:order val="9"/>
          <c:tx>
            <c:strRef>
              <c:f>PutGkTable!$AA$86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PutGkTable!$Q$87:$Q$103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PutGkTable!$AA$87:$AA$103</c:f>
              <c:numCache>
                <c:formatCode>0.0000</c:formatCode>
                <c:ptCount val="17"/>
                <c:pt idx="0">
                  <c:v>-0.95596857167456895</c:v>
                </c:pt>
                <c:pt idx="1">
                  <c:v>-0.93039121185323026</c:v>
                </c:pt>
                <c:pt idx="2">
                  <c:v>-0.89515635172001196</c:v>
                </c:pt>
                <c:pt idx="3">
                  <c:v>-0.85040177182801158</c:v>
                </c:pt>
                <c:pt idx="4">
                  <c:v>-0.79722509078333059</c:v>
                </c:pt>
                <c:pt idx="5">
                  <c:v>-0.73744682235929238</c:v>
                </c:pt>
                <c:pt idx="6">
                  <c:v>-0.67329392708837998</c:v>
                </c:pt>
                <c:pt idx="7">
                  <c:v>-0.60708914287474702</c:v>
                </c:pt>
                <c:pt idx="8">
                  <c:v>-0.54100074908396822</c:v>
                </c:pt>
                <c:pt idx="9">
                  <c:v>-0.4768755123193788</c:v>
                </c:pt>
                <c:pt idx="10">
                  <c:v>-0.41615360732585693</c:v>
                </c:pt>
                <c:pt idx="11">
                  <c:v>-0.3598505943007374</c:v>
                </c:pt>
                <c:pt idx="12">
                  <c:v>-0.30858646759735264</c:v>
                </c:pt>
                <c:pt idx="13">
                  <c:v>-0.26264243948021648</c:v>
                </c:pt>
                <c:pt idx="14">
                  <c:v>-0.22202971256615689</c:v>
                </c:pt>
                <c:pt idx="15">
                  <c:v>-0.18655900747507156</c:v>
                </c:pt>
                <c:pt idx="16">
                  <c:v>-0.15590384736980176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74-2C46-8814-16620FB06090}"/>
            </c:ext>
          </c:extLst>
        </c:ser>
        <c:ser>
          <c:idx val="10"/>
          <c:order val="10"/>
          <c:tx>
            <c:strRef>
              <c:f>PutGkTable!$AB$86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PutGkTable!$Q$87:$Q$103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PutGkTable!$AB$87:$AB$103</c:f>
              <c:numCache>
                <c:formatCode>0.0000</c:formatCode>
                <c:ptCount val="17"/>
                <c:pt idx="0">
                  <c:v>-1.7927899437333634</c:v>
                </c:pt>
                <c:pt idx="1">
                  <c:v>-1.7272488638506938</c:v>
                </c:pt>
                <c:pt idx="2">
                  <c:v>-1.6520578868565337</c:v>
                </c:pt>
                <c:pt idx="3">
                  <c:v>-1.5691096395405173</c:v>
                </c:pt>
                <c:pt idx="4">
                  <c:v>-1.4804925745616107</c:v>
                </c:pt>
                <c:pt idx="5">
                  <c:v>-1.3882985664860106</c:v>
                </c:pt>
                <c:pt idx="6">
                  <c:v>-1.2944838850232225</c:v>
                </c:pt>
                <c:pt idx="7">
                  <c:v>-1.200781034883954</c:v>
                </c:pt>
                <c:pt idx="8">
                  <c:v>-1.1086531138504709</c:v>
                </c:pt>
                <c:pt idx="9">
                  <c:v>-1.0192804553013126</c:v>
                </c:pt>
                <c:pt idx="10">
                  <c:v>-0.93356972634263125</c:v>
                </c:pt>
                <c:pt idx="11">
                  <c:v>-0.85217715397490357</c:v>
                </c:pt>
                <c:pt idx="12">
                  <c:v>-0.77553939892221235</c:v>
                </c:pt>
                <c:pt idx="13">
                  <c:v>-0.7039073749068705</c:v>
                </c:pt>
                <c:pt idx="14">
                  <c:v>-0.63737982812093175</c:v>
                </c:pt>
                <c:pt idx="15">
                  <c:v>-0.57593468855489771</c:v>
                </c:pt>
                <c:pt idx="16">
                  <c:v>-0.51945709399191087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874-2C46-8814-16620FB06090}"/>
            </c:ext>
          </c:extLst>
        </c:ser>
        <c:ser>
          <c:idx val="11"/>
          <c:order val="11"/>
          <c:tx>
            <c:strRef>
              <c:f>PutGkTable!$AC$86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PutGkTable!$Q$87:$Q$103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PutGkTable!$AC$87:$AC$103</c:f>
              <c:numCache>
                <c:formatCode>0.0000</c:formatCode>
                <c:ptCount val="17"/>
                <c:pt idx="0">
                  <c:v>-2.5678638170961965</c:v>
                </c:pt>
                <c:pt idx="1">
                  <c:v>-2.4710158142886693</c:v>
                </c:pt>
                <c:pt idx="2">
                  <c:v>-2.3665161061527402</c:v>
                </c:pt>
                <c:pt idx="3">
                  <c:v>-2.2565495032723408</c:v>
                </c:pt>
                <c:pt idx="4">
                  <c:v>-2.1431725195190499</c:v>
                </c:pt>
                <c:pt idx="5">
                  <c:v>-2.0282342641574003</c:v>
                </c:pt>
                <c:pt idx="6">
                  <c:v>-1.9133364425328785</c:v>
                </c:pt>
                <c:pt idx="7">
                  <c:v>-1.7998214198901894</c:v>
                </c:pt>
                <c:pt idx="8">
                  <c:v>-1.6887790619090959</c:v>
                </c:pt>
                <c:pt idx="9">
                  <c:v>-1.5810651312244379</c:v>
                </c:pt>
                <c:pt idx="10">
                  <c:v>-1.4773259413933513</c:v>
                </c:pt>
                <c:pt idx="11">
                  <c:v>-1.3780255722579831</c:v>
                </c:pt>
                <c:pt idx="12">
                  <c:v>-1.2834731996842192</c:v>
                </c:pt>
                <c:pt idx="13">
                  <c:v>-1.1938490201379492</c:v>
                </c:pt>
                <c:pt idx="14">
                  <c:v>-1.1092279122342144</c:v>
                </c:pt>
                <c:pt idx="15">
                  <c:v>-1.0296004319123742</c:v>
                </c:pt>
                <c:pt idx="16">
                  <c:v>-0.95489103756833382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874-2C46-8814-16620FB06090}"/>
            </c:ext>
          </c:extLst>
        </c:ser>
        <c:ser>
          <c:idx val="12"/>
          <c:order val="12"/>
          <c:tx>
            <c:strRef>
              <c:f>PutGkTable!$AD$86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PutGkTable!$Q$87:$Q$103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PutGkTable!$AD$87:$AD$103</c:f>
              <c:numCache>
                <c:formatCode>0.0000</c:formatCode>
                <c:ptCount val="17"/>
                <c:pt idx="0">
                  <c:v>-3.3088619900105742</c:v>
                </c:pt>
                <c:pt idx="1">
                  <c:v>-3.1870353394131872</c:v>
                </c:pt>
                <c:pt idx="2">
                  <c:v>-3.0595598963054811</c:v>
                </c:pt>
                <c:pt idx="3">
                  <c:v>-2.9285488771785357</c:v>
                </c:pt>
                <c:pt idx="4">
                  <c:v>-2.795858762583689</c:v>
                </c:pt>
                <c:pt idx="5">
                  <c:v>-2.6630737119348513</c:v>
                </c:pt>
                <c:pt idx="6">
                  <c:v>-2.5315111590315631</c:v>
                </c:pt>
                <c:pt idx="7">
                  <c:v>-2.4022399761725204</c:v>
                </c:pt>
                <c:pt idx="8">
                  <c:v>-2.2761052302236475</c:v>
                </c:pt>
                <c:pt idx="9">
                  <c:v>-2.1537555560688664</c:v>
                </c:pt>
                <c:pt idx="10">
                  <c:v>-2.0356706241422411</c:v>
                </c:pt>
                <c:pt idx="11">
                  <c:v>-1.9221871941265309</c:v>
                </c:pt>
                <c:pt idx="12">
                  <c:v>-1.8135229356803777</c:v>
                </c:pt>
                <c:pt idx="13">
                  <c:v>-1.7097976498941947</c:v>
                </c:pt>
                <c:pt idx="14">
                  <c:v>-1.6110518122145066</c:v>
                </c:pt>
                <c:pt idx="15">
                  <c:v>-1.5172625308121352</c:v>
                </c:pt>
                <c:pt idx="16">
                  <c:v>-1.4283571112354714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874-2C46-8814-16620FB06090}"/>
            </c:ext>
          </c:extLst>
        </c:ser>
        <c:ser>
          <c:idx val="13"/>
          <c:order val="13"/>
          <c:tx>
            <c:strRef>
              <c:f>PutGkTable!$AE$86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PutGkTable!$Q$87:$Q$103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PutGkTable!$AE$87:$AE$103</c:f>
              <c:numCache>
                <c:formatCode>0.0000</c:formatCode>
                <c:ptCount val="17"/>
                <c:pt idx="0">
                  <c:v>-4.0270142293204838</c:v>
                </c:pt>
                <c:pt idx="1">
                  <c:v>-3.8845819777009787</c:v>
                </c:pt>
                <c:pt idx="2">
                  <c:v>-3.7382699537451458</c:v>
                </c:pt>
                <c:pt idx="3">
                  <c:v>-3.5900190517536212</c:v>
                </c:pt>
                <c:pt idx="4">
                  <c:v>-3.4414649060133029</c:v>
                </c:pt>
                <c:pt idx="5">
                  <c:v>-3.2939567853055052</c:v>
                </c:pt>
                <c:pt idx="6">
                  <c:v>-3.1485852336066733</c:v>
                </c:pt>
                <c:pt idx="7">
                  <c:v>-3.0062131035960546</c:v>
                </c:pt>
                <c:pt idx="8">
                  <c:v>-2.8675067475462073</c:v>
                </c:pt>
                <c:pt idx="9">
                  <c:v>-2.7329655259278365</c:v>
                </c:pt>
                <c:pt idx="10">
                  <c:v>-2.602948690108625</c:v>
                </c:pt>
                <c:pt idx="11">
                  <c:v>-2.4776992545780532</c:v>
                </c:pt>
                <c:pt idx="12">
                  <c:v>-2.3573648104321254</c:v>
                </c:pt>
                <c:pt idx="13">
                  <c:v>-2.2420154235855061</c:v>
                </c:pt>
                <c:pt idx="14">
                  <c:v>-2.1316588608881553</c:v>
                </c:pt>
                <c:pt idx="15">
                  <c:v>-2.0262534298220105</c:v>
                </c:pt>
                <c:pt idx="16">
                  <c:v>-1.9257187255069328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874-2C46-8814-16620FB06090}"/>
            </c:ext>
          </c:extLst>
        </c:ser>
        <c:bandFmts>
          <c:bandFmt>
            <c:idx val="0"/>
            <c:spPr>
              <a:solidFill>
                <a:schemeClr val="accent2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95000"/>
                </a:schemeClr>
              </a:solidFill>
              <a:ln/>
              <a:effectLst/>
              <a:sp3d/>
            </c:spPr>
          </c:bandFmt>
        </c:bandFmts>
        <c:axId val="1666658560"/>
        <c:axId val="1662749760"/>
        <c:axId val="1649283584"/>
      </c:surface3DChart>
      <c:catAx>
        <c:axId val="1666658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2749760"/>
        <c:crosses val="autoZero"/>
        <c:auto val="1"/>
        <c:lblAlgn val="ctr"/>
        <c:lblOffset val="100"/>
        <c:noMultiLvlLbl val="0"/>
      </c:catAx>
      <c:valAx>
        <c:axId val="1662749760"/>
        <c:scaling>
          <c:orientation val="minMax"/>
          <c:max val="0"/>
          <c:min val="-4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658560"/>
        <c:crosses val="autoZero"/>
        <c:crossBetween val="midCat"/>
      </c:valAx>
      <c:serAx>
        <c:axId val="164928358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2749760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</a:t>
            </a:r>
            <a:r>
              <a:rPr lang="en-US" baseline="0"/>
              <a:t> - 10%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PutGkTable!$AH$66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PutGkTable!$AG$67:$AG$83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PutGkTable!$AH$67:$AH$83</c:f>
              <c:numCache>
                <c:formatCode>0.0000</c:formatCode>
                <c:ptCount val="17"/>
                <c:pt idx="0">
                  <c:v>3.5345400505311531E-58</c:v>
                </c:pt>
                <c:pt idx="1">
                  <c:v>7.8904162138229802E-42</c:v>
                </c:pt>
                <c:pt idx="2">
                  <c:v>3.5731275340967399E-29</c:v>
                </c:pt>
                <c:pt idx="3">
                  <c:v>1.5544383929947459E-19</c:v>
                </c:pt>
                <c:pt idx="4">
                  <c:v>2.1699726533395634E-12</c:v>
                </c:pt>
                <c:pt idx="5">
                  <c:v>2.5138056835713346E-7</c:v>
                </c:pt>
                <c:pt idx="6">
                  <c:v>5.1615938644774466E-4</c:v>
                </c:pt>
                <c:pt idx="7">
                  <c:v>3.4693238841801241E-2</c:v>
                </c:pt>
                <c:pt idx="8">
                  <c:v>0.12601477970020519</c:v>
                </c:pt>
                <c:pt idx="9">
                  <c:v>3.7403491562746784E-2</c:v>
                </c:pt>
                <c:pt idx="10">
                  <c:v>1.2798321316875713E-3</c:v>
                </c:pt>
                <c:pt idx="11">
                  <c:v>6.7367205338682614E-6</c:v>
                </c:pt>
                <c:pt idx="12">
                  <c:v>6.9599615016725047E-9</c:v>
                </c:pt>
                <c:pt idx="13">
                  <c:v>1.735978122671637E-12</c:v>
                </c:pt>
                <c:pt idx="14">
                  <c:v>1.2477221902307327E-16</c:v>
                </c:pt>
                <c:pt idx="15">
                  <c:v>3.0086617304103602E-21</c:v>
                </c:pt>
                <c:pt idx="16">
                  <c:v>2.7755174863825503E-26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37-314C-A15F-37DE932620FC}"/>
            </c:ext>
          </c:extLst>
        </c:ser>
        <c:ser>
          <c:idx val="1"/>
          <c:order val="1"/>
          <c:tx>
            <c:strRef>
              <c:f>PutGkTable!$AI$66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PutGkTable!$AG$67:$AG$83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PutGkTable!$AI$67:$AI$83</c:f>
              <c:numCache>
                <c:formatCode>0.0000</c:formatCode>
                <c:ptCount val="17"/>
                <c:pt idx="0">
                  <c:v>1.0711882489098268E-29</c:v>
                </c:pt>
                <c:pt idx="1">
                  <c:v>1.5687681949729762E-21</c:v>
                </c:pt>
                <c:pt idx="2">
                  <c:v>3.2770789744139767E-15</c:v>
                </c:pt>
                <c:pt idx="3">
                  <c:v>2.1245091218449445E-10</c:v>
                </c:pt>
                <c:pt idx="4">
                  <c:v>7.8107330033859321E-7</c:v>
                </c:pt>
                <c:pt idx="5">
                  <c:v>2.6184740803568223E-4</c:v>
                </c:pt>
                <c:pt idx="6">
                  <c:v>1.1696837223341141E-2</c:v>
                </c:pt>
                <c:pt idx="7">
                  <c:v>9.4608178373498483E-2</c:v>
                </c:pt>
                <c:pt idx="8">
                  <c:v>0.1780114349570453</c:v>
                </c:pt>
                <c:pt idx="9">
                  <c:v>9.5806705523719587E-2</c:v>
                </c:pt>
                <c:pt idx="10">
                  <c:v>1.7517232418946857E-2</c:v>
                </c:pt>
                <c:pt idx="11">
                  <c:v>1.2568601723670415E-3</c:v>
                </c:pt>
                <c:pt idx="12">
                  <c:v>3.9971023224294199E-5</c:v>
                </c:pt>
                <c:pt idx="13">
                  <c:v>6.2485864027086943E-7</c:v>
                </c:pt>
                <c:pt idx="14">
                  <c:v>5.2457823818334002E-9</c:v>
                </c:pt>
                <c:pt idx="15">
                  <c:v>2.551763362376573E-11</c:v>
                </c:pt>
                <c:pt idx="16">
                  <c:v>7.6802814218934886E-14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37-314C-A15F-37DE932620FC}"/>
            </c:ext>
          </c:extLst>
        </c:ser>
        <c:ser>
          <c:idx val="2"/>
          <c:order val="2"/>
          <c:tx>
            <c:strRef>
              <c:f>PutGkTable!$AJ$66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PutGkTable!$AG$67:$AG$83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PutGkTable!$AJ$67:$AJ$83</c:f>
              <c:numCache>
                <c:formatCode>0.0000</c:formatCode>
                <c:ptCount val="17"/>
                <c:pt idx="0">
                  <c:v>3.6413157535063633E-20</c:v>
                </c:pt>
                <c:pt idx="1">
                  <c:v>9.9829747601651493E-15</c:v>
                </c:pt>
                <c:pt idx="2">
                  <c:v>1.6113180804909159E-10</c:v>
                </c:pt>
                <c:pt idx="3">
                  <c:v>2.5706041526295759E-7</c:v>
                </c:pt>
                <c:pt idx="4">
                  <c:v>6.0578597213752154E-5</c:v>
                </c:pt>
                <c:pt idx="5">
                  <c:v>2.8940234587731301E-3</c:v>
                </c:pt>
                <c:pt idx="6">
                  <c:v>3.6089280836016521E-2</c:v>
                </c:pt>
                <c:pt idx="7">
                  <c:v>0.14411356711779721</c:v>
                </c:pt>
                <c:pt idx="8">
                  <c:v>0.21777345900985229</c:v>
                </c:pt>
                <c:pt idx="9">
                  <c:v>0.14292407924672715</c:v>
                </c:pt>
                <c:pt idx="10">
                  <c:v>4.5686150128548209E-2</c:v>
                </c:pt>
                <c:pt idx="11">
                  <c:v>7.8303531906443388E-3</c:v>
                </c:pt>
                <c:pt idx="12">
                  <c:v>7.8044023598122856E-4</c:v>
                </c:pt>
                <c:pt idx="13">
                  <c:v>4.8462877771001518E-5</c:v>
                </c:pt>
                <c:pt idx="14">
                  <c:v>1.9887917206308637E-6</c:v>
                </c:pt>
                <c:pt idx="15">
                  <c:v>5.6738474150032412E-8</c:v>
                </c:pt>
                <c:pt idx="16">
                  <c:v>1.1756275778131189E-9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E37-314C-A15F-37DE932620FC}"/>
            </c:ext>
          </c:extLst>
        </c:ser>
        <c:ser>
          <c:idx val="3"/>
          <c:order val="3"/>
          <c:tx>
            <c:strRef>
              <c:f>PutGkTable!$AK$66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PutGkTable!$AG$67:$AG$83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PutGkTable!$AK$67:$AK$83</c:f>
              <c:numCache>
                <c:formatCode>0.0000</c:formatCode>
                <c:ptCount val="17"/>
                <c:pt idx="0">
                  <c:v>2.2138942538625791E-15</c:v>
                </c:pt>
                <c:pt idx="1">
                  <c:v>2.6261095230764712E-11</c:v>
                </c:pt>
                <c:pt idx="2">
                  <c:v>3.7258960102381544E-8</c:v>
                </c:pt>
                <c:pt idx="3">
                  <c:v>9.3245046528342434E-6</c:v>
                </c:pt>
                <c:pt idx="4">
                  <c:v>5.5633346565513923E-4</c:v>
                </c:pt>
                <c:pt idx="5">
                  <c:v>1.0033008819090708E-2</c:v>
                </c:pt>
                <c:pt idx="6">
                  <c:v>6.6105163163659941E-2</c:v>
                </c:pt>
                <c:pt idx="7">
                  <c:v>0.18547920454659683</c:v>
                </c:pt>
                <c:pt idx="8">
                  <c:v>0.25118039341108511</c:v>
                </c:pt>
                <c:pt idx="9">
                  <c:v>0.18203815041877494</c:v>
                </c:pt>
                <c:pt idx="10">
                  <c:v>7.6938968689493709E-2</c:v>
                </c:pt>
                <c:pt idx="11">
                  <c:v>2.0381249613524027E-2</c:v>
                </c:pt>
                <c:pt idx="12">
                  <c:v>3.5961608377988131E-3</c:v>
                </c:pt>
                <c:pt idx="13">
                  <c:v>4.4506677252410988E-4</c:v>
                </c:pt>
                <c:pt idx="14">
                  <c:v>4.038137314557552E-5</c:v>
                </c:pt>
                <c:pt idx="15">
                  <c:v>2.7899636340967845E-6</c:v>
                </c:pt>
                <c:pt idx="16">
                  <c:v>1.5167651578010652E-7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E37-314C-A15F-37DE932620FC}"/>
            </c:ext>
          </c:extLst>
        </c:ser>
        <c:ser>
          <c:idx val="4"/>
          <c:order val="4"/>
          <c:tx>
            <c:strRef>
              <c:f>PutGkTable!$AL$66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PutGkTable!$AG$67:$AG$83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PutGkTable!$AL$67:$AL$83</c:f>
              <c:numCache>
                <c:formatCode>0.0000</c:formatCode>
                <c:ptCount val="17"/>
                <c:pt idx="0">
                  <c:v>1.6837357993007911E-12</c:v>
                </c:pt>
                <c:pt idx="1">
                  <c:v>3.0347470957467907E-9</c:v>
                </c:pt>
                <c:pt idx="2">
                  <c:v>1.0010098526373569E-6</c:v>
                </c:pt>
                <c:pt idx="3">
                  <c:v>8.2443811591708765E-5</c:v>
                </c:pt>
                <c:pt idx="4">
                  <c:v>2.1573604959593175E-3</c:v>
                </c:pt>
                <c:pt idx="5">
                  <c:v>2.1685359940348946E-2</c:v>
                </c:pt>
                <c:pt idx="6">
                  <c:v>9.7437835238203124E-2</c:v>
                </c:pt>
                <c:pt idx="7">
                  <c:v>0.22122153003014297</c:v>
                </c:pt>
                <c:pt idx="8">
                  <c:v>0.28051246304186256</c:v>
                </c:pt>
                <c:pt idx="9">
                  <c:v>0.2157618086402236</c:v>
                </c:pt>
                <c:pt idx="10">
                  <c:v>0.10783044375026943</c:v>
                </c:pt>
                <c:pt idx="11">
                  <c:v>3.709184487135108E-2</c:v>
                </c:pt>
                <c:pt idx="12">
                  <c:v>9.2196988092317321E-3</c:v>
                </c:pt>
                <c:pt idx="13">
                  <c:v>1.7258883967674482E-3</c:v>
                </c:pt>
                <c:pt idx="14">
                  <c:v>2.5206590353609034E-4</c:v>
                </c:pt>
                <c:pt idx="15">
                  <c:v>2.9607997104108362E-5</c:v>
                </c:pt>
                <c:pt idx="16">
                  <c:v>2.8713454403848715E-6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E37-314C-A15F-37DE932620FC}"/>
            </c:ext>
          </c:extLst>
        </c:ser>
        <c:ser>
          <c:idx val="5"/>
          <c:order val="5"/>
          <c:tx>
            <c:strRef>
              <c:f>PutGkTable!$AM$66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PutGkTable!$AG$67:$AG$83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PutGkTable!$AM$67:$AM$83</c:f>
              <c:numCache>
                <c:formatCode>0.0000</c:formatCode>
                <c:ptCount val="17"/>
                <c:pt idx="0">
                  <c:v>1.4260773627185632E-10</c:v>
                </c:pt>
                <c:pt idx="1">
                  <c:v>7.3190274501949432E-8</c:v>
                </c:pt>
                <c:pt idx="2">
                  <c:v>9.1278366359240927E-6</c:v>
                </c:pt>
                <c:pt idx="3">
                  <c:v>3.5834719979831777E-4</c:v>
                </c:pt>
                <c:pt idx="4">
                  <c:v>5.4130101077600355E-3</c:v>
                </c:pt>
                <c:pt idx="5">
                  <c:v>3.6850893362287709E-2</c:v>
                </c:pt>
                <c:pt idx="6">
                  <c:v>0.12828628098948194</c:v>
                </c:pt>
                <c:pt idx="7">
                  <c:v>0.25291422770740374</c:v>
                </c:pt>
                <c:pt idx="8">
                  <c:v>0.30694050496199521</c:v>
                </c:pt>
                <c:pt idx="9">
                  <c:v>0.24564453432089614</c:v>
                </c:pt>
                <c:pt idx="10">
                  <c:v>0.13727638643411783</c:v>
                </c:pt>
                <c:pt idx="11">
                  <c:v>5.620409306957521E-2</c:v>
                </c:pt>
                <c:pt idx="12">
                  <c:v>1.7556027112756591E-2</c:v>
                </c:pt>
                <c:pt idx="13">
                  <c:v>4.3304080862080164E-3</c:v>
                </c:pt>
                <c:pt idx="14">
                  <c:v>8.6868143918896563E-4</c:v>
                </c:pt>
                <c:pt idx="15">
                  <c:v>1.4534734818581386E-4</c:v>
                </c:pt>
                <c:pt idx="16">
                  <c:v>2.0732639788992961E-5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E37-314C-A15F-37DE932620FC}"/>
            </c:ext>
          </c:extLst>
        </c:ser>
        <c:ser>
          <c:idx val="6"/>
          <c:order val="6"/>
          <c:tx>
            <c:strRef>
              <c:f>PutGkTable!$AN$66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PutGkTable!$AG$67:$AG$83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PutGkTable!$AN$67:$AN$83</c:f>
              <c:numCache>
                <c:formatCode>0.0000</c:formatCode>
                <c:ptCount val="17"/>
                <c:pt idx="0">
                  <c:v>3.4375360039163322E-9</c:v>
                </c:pt>
                <c:pt idx="1">
                  <c:v>7.1926239310787049E-7</c:v>
                </c:pt>
                <c:pt idx="2">
                  <c:v>4.4780256387178206E-5</c:v>
                </c:pt>
                <c:pt idx="3">
                  <c:v>1.0355649356059845E-3</c:v>
                </c:pt>
                <c:pt idx="4">
                  <c:v>1.0564824233400872E-2</c:v>
                </c:pt>
                <c:pt idx="5">
                  <c:v>5.4448949916165577E-2</c:v>
                </c:pt>
                <c:pt idx="6">
                  <c:v>0.15796405593882862</c:v>
                </c:pt>
                <c:pt idx="7">
                  <c:v>0.28155342127741201</c:v>
                </c:pt>
                <c:pt idx="8">
                  <c:v>0.3311608714611029</c:v>
                </c:pt>
                <c:pt idx="9">
                  <c:v>0.27264617640732547</c:v>
                </c:pt>
                <c:pt idx="10">
                  <c:v>0.16502382731650939</c:v>
                </c:pt>
                <c:pt idx="11">
                  <c:v>7.6514510849957473E-2</c:v>
                </c:pt>
                <c:pt idx="12">
                  <c:v>2.8136724172845171E-2</c:v>
                </c:pt>
                <c:pt idx="13">
                  <c:v>8.4518593867206771E-3</c:v>
                </c:pt>
                <c:pt idx="14">
                  <c:v>2.1268370180966027E-3</c:v>
                </c:pt>
                <c:pt idx="15">
                  <c:v>4.5817559828766936E-4</c:v>
                </c:pt>
                <c:pt idx="16">
                  <c:v>8.6094036586961629E-5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E37-314C-A15F-37DE932620FC}"/>
            </c:ext>
          </c:extLst>
        </c:ser>
        <c:ser>
          <c:idx val="7"/>
          <c:order val="7"/>
          <c:tx>
            <c:strRef>
              <c:f>PutGkTable!$AO$66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PutGkTable!$AG$67:$AG$83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PutGkTable!$AO$67:$AO$83</c:f>
              <c:numCache>
                <c:formatCode>0.0000</c:formatCode>
                <c:ptCount val="17"/>
                <c:pt idx="0">
                  <c:v>3.7721952577593391E-8</c:v>
                </c:pt>
                <c:pt idx="1">
                  <c:v>4.0269999011754232E-6</c:v>
                </c:pt>
                <c:pt idx="2">
                  <c:v>1.4889989640669957E-4</c:v>
                </c:pt>
                <c:pt idx="3">
                  <c:v>2.3152671506101981E-3</c:v>
                </c:pt>
                <c:pt idx="4">
                  <c:v>1.759740529856035E-2</c:v>
                </c:pt>
                <c:pt idx="5">
                  <c:v>7.3606201526075665E-2</c:v>
                </c:pt>
                <c:pt idx="6">
                  <c:v>0.18625614252560363</c:v>
                </c:pt>
                <c:pt idx="7">
                  <c:v>0.30780115974298611</c:v>
                </c:pt>
                <c:pt idx="8">
                  <c:v>0.35362780796997578</c:v>
                </c:pt>
                <c:pt idx="9">
                  <c:v>0.29739757516778265</c:v>
                </c:pt>
                <c:pt idx="10">
                  <c:v>0.19110786021475307</c:v>
                </c:pt>
                <c:pt idx="11">
                  <c:v>9.7273487048199256E-2</c:v>
                </c:pt>
                <c:pt idx="12">
                  <c:v>4.0427583513910757E-2</c:v>
                </c:pt>
                <c:pt idx="13">
                  <c:v>1.4077924238848249E-2</c:v>
                </c:pt>
                <c:pt idx="14">
                  <c:v>4.1991195969349748E-3</c:v>
                </c:pt>
                <c:pt idx="15">
                  <c:v>1.0933755800638381E-3</c:v>
                </c:pt>
                <c:pt idx="16">
                  <c:v>2.5262754622349385E-4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E37-314C-A15F-37DE932620FC}"/>
            </c:ext>
          </c:extLst>
        </c:ser>
        <c:ser>
          <c:idx val="8"/>
          <c:order val="8"/>
          <c:tx>
            <c:strRef>
              <c:f>PutGkTable!$AP$66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PutGkTable!$AG$67:$AG$83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PutGkTable!$AP$67:$AP$83</c:f>
              <c:numCache>
                <c:formatCode>0.0000</c:formatCode>
                <c:ptCount val="17"/>
                <c:pt idx="0">
                  <c:v>2.4471925152833751E-7</c:v>
                </c:pt>
                <c:pt idx="1">
                  <c:v>1.5479180979646812E-5</c:v>
                </c:pt>
                <c:pt idx="2">
                  <c:v>3.8164553510493975E-4</c:v>
                </c:pt>
                <c:pt idx="3">
                  <c:v>4.3580320477808066E-3</c:v>
                </c:pt>
                <c:pt idx="4">
                  <c:v>2.6345645732472472E-2</c:v>
                </c:pt>
                <c:pt idx="5">
                  <c:v>9.3682861219506974E-2</c:v>
                </c:pt>
                <c:pt idx="6">
                  <c:v>0.21314624132838869</c:v>
                </c:pt>
                <c:pt idx="7">
                  <c:v>0.33211834114491312</c:v>
                </c:pt>
                <c:pt idx="8">
                  <c:v>0.37465720501521849</c:v>
                </c:pt>
                <c:pt idx="9">
                  <c:v>0.32033505994229872</c:v>
                </c:pt>
                <c:pt idx="10">
                  <c:v>0.21565675444124369</c:v>
                </c:pt>
                <c:pt idx="11">
                  <c:v>0.11803032678147579</c:v>
                </c:pt>
                <c:pt idx="12">
                  <c:v>5.3953369730765102E-2</c:v>
                </c:pt>
                <c:pt idx="13">
                  <c:v>2.1076516585977947E-2</c:v>
                </c:pt>
                <c:pt idx="14">
                  <c:v>7.1754270940931385E-3</c:v>
                </c:pt>
                <c:pt idx="15">
                  <c:v>2.1651121661498728E-3</c:v>
                </c:pt>
                <c:pt idx="16">
                  <c:v>5.8750695962988023E-4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E37-314C-A15F-37DE932620FC}"/>
            </c:ext>
          </c:extLst>
        </c:ser>
        <c:ser>
          <c:idx val="9"/>
          <c:order val="9"/>
          <c:tx>
            <c:strRef>
              <c:f>PutGkTable!$AQ$66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PutGkTable!$AG$67:$AG$83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PutGkTable!$AQ$67:$AQ$83</c:f>
              <c:numCache>
                <c:formatCode>0.0000</c:formatCode>
                <c:ptCount val="17"/>
                <c:pt idx="0">
                  <c:v>1.0981137573304838E-6</c:v>
                </c:pt>
                <c:pt idx="1">
                  <c:v>4.5696305078151927E-5</c:v>
                </c:pt>
                <c:pt idx="2">
                  <c:v>8.1469084911896738E-4</c:v>
                </c:pt>
                <c:pt idx="3">
                  <c:v>7.267112565693663E-3</c:v>
                </c:pt>
                <c:pt idx="4">
                  <c:v>3.6579438640896036E-2</c:v>
                </c:pt>
                <c:pt idx="5">
                  <c:v>0.11422910084499063</c:v>
                </c:pt>
                <c:pt idx="6">
                  <c:v>0.23869941692283714</c:v>
                </c:pt>
                <c:pt idx="7">
                  <c:v>0.35483868952949416</c:v>
                </c:pt>
                <c:pt idx="8">
                  <c:v>0.39447933090788895</c:v>
                </c:pt>
                <c:pt idx="9">
                  <c:v>0.34177330202865702</c:v>
                </c:pt>
                <c:pt idx="10">
                  <c:v>0.23882000168449916</c:v>
                </c:pt>
                <c:pt idx="11">
                  <c:v>0.13852014243074293</c:v>
                </c:pt>
                <c:pt idx="12">
                  <c:v>6.8329969593104792E-2</c:v>
                </c:pt>
                <c:pt idx="13">
                  <c:v>2.9263550912716776E-2</c:v>
                </c:pt>
                <c:pt idx="14">
                  <c:v>1.1074379087941755E-2</c:v>
                </c:pt>
                <c:pt idx="15">
                  <c:v>3.7598389688949102E-3</c:v>
                </c:pt>
                <c:pt idx="16">
                  <c:v>1.1602695242521599E-3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E37-314C-A15F-37DE932620FC}"/>
            </c:ext>
          </c:extLst>
        </c:ser>
        <c:ser>
          <c:idx val="10"/>
          <c:order val="10"/>
          <c:tx>
            <c:strRef>
              <c:f>PutGkTable!$AR$66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PutGkTable!$AG$67:$AG$83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PutGkTable!$AR$67:$AR$83</c:f>
              <c:numCache>
                <c:formatCode>0.0000</c:formatCode>
                <c:ptCount val="17"/>
                <c:pt idx="0">
                  <c:v>1.0457482945948283E-3</c:v>
                </c:pt>
                <c:pt idx="1">
                  <c:v>6.612314700451225E-3</c:v>
                </c:pt>
                <c:pt idx="2">
                  <c:v>2.7407108585812273E-2</c:v>
                </c:pt>
                <c:pt idx="3">
                  <c:v>8.0455722498671681E-2</c:v>
                </c:pt>
                <c:pt idx="4">
                  <c:v>0.17761814611091617</c:v>
                </c:pt>
                <c:pt idx="5">
                  <c:v>0.30915406339357615</c:v>
                </c:pt>
                <c:pt idx="6">
                  <c:v>0.44056131835135992</c:v>
                </c:pt>
                <c:pt idx="7">
                  <c:v>0.5299390140117628</c:v>
                </c:pt>
                <c:pt idx="8">
                  <c:v>0.55163706332541196</c:v>
                </c:pt>
                <c:pt idx="9">
                  <c:v>0.5072394859703554</c:v>
                </c:pt>
                <c:pt idx="10">
                  <c:v>0.41911044907526823</c:v>
                </c:pt>
                <c:pt idx="11">
                  <c:v>0.31566273567519071</c:v>
                </c:pt>
                <c:pt idx="12">
                  <c:v>0.21935705841356859</c:v>
                </c:pt>
                <c:pt idx="13">
                  <c:v>0.14209451688873281</c:v>
                </c:pt>
                <c:pt idx="14">
                  <c:v>8.6559585117731042E-2</c:v>
                </c:pt>
                <c:pt idx="15">
                  <c:v>4.9962307922047977E-2</c:v>
                </c:pt>
                <c:pt idx="16">
                  <c:v>2.7503549451983311E-2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E37-314C-A15F-37DE932620FC}"/>
            </c:ext>
          </c:extLst>
        </c:ser>
        <c:ser>
          <c:idx val="11"/>
          <c:order val="11"/>
          <c:tx>
            <c:strRef>
              <c:f>PutGkTable!$AS$66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PutGkTable!$AG$67:$AG$83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PutGkTable!$AS$67:$AS$83</c:f>
              <c:numCache>
                <c:formatCode>0.0000</c:formatCode>
                <c:ptCount val="17"/>
                <c:pt idx="0">
                  <c:v>1.114218925364715E-2</c:v>
                </c:pt>
                <c:pt idx="1">
                  <c:v>3.7594797189649545E-2</c:v>
                </c:pt>
                <c:pt idx="2">
                  <c:v>9.5815720461128837E-2</c:v>
                </c:pt>
                <c:pt idx="3">
                  <c:v>0.19419529853530498</c:v>
                </c:pt>
                <c:pt idx="4">
                  <c:v>0.3257273204061763</c:v>
                </c:pt>
                <c:pt idx="5">
                  <c:v>0.46657820462206057</c:v>
                </c:pt>
                <c:pt idx="6">
                  <c:v>0.58525004130384151</c:v>
                </c:pt>
                <c:pt idx="7">
                  <c:v>0.65600571654605955</c:v>
                </c:pt>
                <c:pt idx="8">
                  <c:v>0.66805659306916709</c:v>
                </c:pt>
                <c:pt idx="9">
                  <c:v>0.62659671715556564</c:v>
                </c:pt>
                <c:pt idx="10">
                  <c:v>0.54747527123167761</c:v>
                </c:pt>
                <c:pt idx="11">
                  <c:v>0.44985946919602909</c:v>
                </c:pt>
                <c:pt idx="12">
                  <c:v>0.35044120413266605</c:v>
                </c:pt>
                <c:pt idx="13">
                  <c:v>0.26058185632494107</c:v>
                </c:pt>
                <c:pt idx="14">
                  <c:v>0.18603608061799032</c:v>
                </c:pt>
                <c:pt idx="15">
                  <c:v>0.12815935968047903</c:v>
                </c:pt>
                <c:pt idx="16">
                  <c:v>8.5562234911034263E-2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E37-314C-A15F-37DE932620FC}"/>
            </c:ext>
          </c:extLst>
        </c:ser>
        <c:ser>
          <c:idx val="12"/>
          <c:order val="12"/>
          <c:tx>
            <c:strRef>
              <c:f>PutGkTable!$AT$66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PutGkTable!$AG$67:$AG$83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PutGkTable!$AT$67:$AT$83</c:f>
              <c:numCache>
                <c:formatCode>0.0000</c:formatCode>
                <c:ptCount val="17"/>
                <c:pt idx="0">
                  <c:v>3.7735130894815956E-2</c:v>
                </c:pt>
                <c:pt idx="1">
                  <c:v>9.3007615269544944E-2</c:v>
                </c:pt>
                <c:pt idx="2">
                  <c:v>0.18587765767930997</c:v>
                </c:pt>
                <c:pt idx="3">
                  <c:v>0.31302804195460354</c:v>
                </c:pt>
                <c:pt idx="4">
                  <c:v>0.45765821306048549</c:v>
                </c:pt>
                <c:pt idx="5">
                  <c:v>0.59470671051964619</c:v>
                </c:pt>
                <c:pt idx="6">
                  <c:v>0.69986237314498323</c:v>
                </c:pt>
                <c:pt idx="7">
                  <c:v>0.75727241342456975</c:v>
                </c:pt>
                <c:pt idx="8">
                  <c:v>0.76277563092104828</c:v>
                </c:pt>
                <c:pt idx="9">
                  <c:v>0.72256894624086909</c:v>
                </c:pt>
                <c:pt idx="10">
                  <c:v>0.64921143972907114</c:v>
                </c:pt>
                <c:pt idx="11">
                  <c:v>0.55719510030463626</c:v>
                </c:pt>
                <c:pt idx="12">
                  <c:v>0.45956885215668847</c:v>
                </c:pt>
                <c:pt idx="13">
                  <c:v>0.36612657044838831</c:v>
                </c:pt>
                <c:pt idx="14">
                  <c:v>0.28297093897443343</c:v>
                </c:pt>
                <c:pt idx="15">
                  <c:v>0.21296483325512208</c:v>
                </c:pt>
                <c:pt idx="16">
                  <c:v>0.15657861761389583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E37-314C-A15F-37DE932620FC}"/>
            </c:ext>
          </c:extLst>
        </c:ser>
        <c:ser>
          <c:idx val="13"/>
          <c:order val="13"/>
          <c:tx>
            <c:strRef>
              <c:f>PutGkTable!$AU$66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PutGkTable!$AG$67:$AG$83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PutGkTable!$AU$67:$AU$83</c:f>
              <c:numCache>
                <c:formatCode>0.0000</c:formatCode>
                <c:ptCount val="17"/>
                <c:pt idx="0">
                  <c:v>8.0099557916829336E-2</c:v>
                </c:pt>
                <c:pt idx="1">
                  <c:v>0.16352043251983772</c:v>
                </c:pt>
                <c:pt idx="2">
                  <c:v>0.28243629412307231</c:v>
                </c:pt>
                <c:pt idx="3">
                  <c:v>0.42560725743199951</c:v>
                </c:pt>
                <c:pt idx="4">
                  <c:v>0.57302367456033554</c:v>
                </c:pt>
                <c:pt idx="5">
                  <c:v>0.70234247577560904</c:v>
                </c:pt>
                <c:pt idx="6">
                  <c:v>0.7954894433465316</c:v>
                </c:pt>
                <c:pt idx="7">
                  <c:v>0.84270952755154971</c:v>
                </c:pt>
                <c:pt idx="8">
                  <c:v>0.84326874401380636</c:v>
                </c:pt>
                <c:pt idx="9">
                  <c:v>0.8035872917870398</c:v>
                </c:pt>
                <c:pt idx="10">
                  <c:v>0.73420648836426439</c:v>
                </c:pt>
                <c:pt idx="11">
                  <c:v>0.64682173138278298</c:v>
                </c:pt>
                <c:pt idx="12">
                  <c:v>0.55209129543356328</c:v>
                </c:pt>
                <c:pt idx="13">
                  <c:v>0.45841893964826835</c:v>
                </c:pt>
                <c:pt idx="14">
                  <c:v>0.37157602890379687</c:v>
                </c:pt>
                <c:pt idx="15">
                  <c:v>0.29489098382107909</c:v>
                </c:pt>
                <c:pt idx="16">
                  <c:v>0.22973211747964487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E37-314C-A15F-37DE932620FC}"/>
            </c:ext>
          </c:extLst>
        </c:ser>
        <c:bandFmts>
          <c:bandFmt>
            <c:idx val="0"/>
            <c:spPr>
              <a:solidFill>
                <a:schemeClr val="accent2">
                  <a:shade val="42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5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68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>
                  <a:shade val="80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shade val="9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>
                  <a:tint val="94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81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69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56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43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18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5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92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80000"/>
                </a:schemeClr>
              </a:solidFill>
              <a:ln/>
              <a:effectLst/>
              <a:sp3d/>
            </c:spPr>
          </c:bandFmt>
        </c:bandFmts>
        <c:axId val="1660045952"/>
        <c:axId val="1666651392"/>
        <c:axId val="1649284096"/>
      </c:surface3DChart>
      <c:catAx>
        <c:axId val="1660045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651392"/>
        <c:crosses val="autoZero"/>
        <c:auto val="1"/>
        <c:lblAlgn val="ctr"/>
        <c:lblOffset val="100"/>
        <c:noMultiLvlLbl val="0"/>
      </c:catAx>
      <c:valAx>
        <c:axId val="1666651392"/>
        <c:scaling>
          <c:orientation val="minMax"/>
          <c:max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0045952"/>
        <c:crosses val="autoZero"/>
        <c:crossBetween val="midCat"/>
      </c:valAx>
      <c:serAx>
        <c:axId val="16492840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65139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</a:t>
            </a:r>
            <a:r>
              <a:rPr lang="en-US" baseline="0"/>
              <a:t> - 10%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PutGkTable!$AH$86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PutGkTable!$AG$87:$AG$103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PutGkTable!$AH$87:$AH$103</c:f>
              <c:numCache>
                <c:formatCode>0.0000</c:formatCode>
                <c:ptCount val="17"/>
                <c:pt idx="0">
                  <c:v>-9.9900049983337513E-2</c:v>
                </c:pt>
                <c:pt idx="1">
                  <c:v>-9.9900049983337513E-2</c:v>
                </c:pt>
                <c:pt idx="2">
                  <c:v>-9.9900049983337513E-2</c:v>
                </c:pt>
                <c:pt idx="3">
                  <c:v>-9.9900049983337513E-2</c:v>
                </c:pt>
                <c:pt idx="4">
                  <c:v>-9.9900049983241909E-2</c:v>
                </c:pt>
                <c:pt idx="5">
                  <c:v>-9.9900035001622409E-2</c:v>
                </c:pt>
                <c:pt idx="6">
                  <c:v>-9.985443454753605E-2</c:v>
                </c:pt>
                <c:pt idx="7">
                  <c:v>-9.4494234402450236E-2</c:v>
                </c:pt>
                <c:pt idx="8">
                  <c:v>-4.9319898584384118E-2</c:v>
                </c:pt>
                <c:pt idx="9">
                  <c:v>-5.9475160906577321E-3</c:v>
                </c:pt>
                <c:pt idx="10">
                  <c:v>-1.2224207973859986E-4</c:v>
                </c:pt>
                <c:pt idx="11">
                  <c:v>-4.5889459193277288E-7</c:v>
                </c:pt>
                <c:pt idx="12">
                  <c:v>-3.7020182591963375E-10</c:v>
                </c:pt>
                <c:pt idx="13">
                  <c:v>-7.6155492043541037E-14</c:v>
                </c:pt>
                <c:pt idx="14">
                  <c:v>-4.6807319848133936E-18</c:v>
                </c:pt>
                <c:pt idx="15">
                  <c:v>-9.9014289886287907E-23</c:v>
                </c:pt>
                <c:pt idx="16">
                  <c:v>-8.1659350383028293E-28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8E-734A-898B-178526B16992}"/>
            </c:ext>
          </c:extLst>
        </c:ser>
        <c:ser>
          <c:idx val="1"/>
          <c:order val="1"/>
          <c:tx>
            <c:strRef>
              <c:f>PutGkTable!$AI$86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PutGkTable!$AG$87:$AG$103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PutGkTable!$AI$87:$AI$103</c:f>
              <c:numCache>
                <c:formatCode>0.0000</c:formatCode>
                <c:ptCount val="17"/>
                <c:pt idx="0">
                  <c:v>-0.1996003997334666</c:v>
                </c:pt>
                <c:pt idx="1">
                  <c:v>-0.1996003997334666</c:v>
                </c:pt>
                <c:pt idx="2">
                  <c:v>-0.19960039973346644</c:v>
                </c:pt>
                <c:pt idx="3">
                  <c:v>-0.19960039971898233</c:v>
                </c:pt>
                <c:pt idx="4">
                  <c:v>-0.19960033197089469</c:v>
                </c:pt>
                <c:pt idx="5">
                  <c:v>-0.1995700377223957</c:v>
                </c:pt>
                <c:pt idx="6">
                  <c:v>-0.19764250540073472</c:v>
                </c:pt>
                <c:pt idx="7">
                  <c:v>-0.17357631408340379</c:v>
                </c:pt>
                <c:pt idx="8">
                  <c:v>-9.8019788801767233E-2</c:v>
                </c:pt>
                <c:pt idx="9">
                  <c:v>-2.6503101786800834E-2</c:v>
                </c:pt>
                <c:pt idx="10">
                  <c:v>-3.1212121757166287E-3</c:v>
                </c:pt>
                <c:pt idx="11">
                  <c:v>-1.6432569767061539E-4</c:v>
                </c:pt>
                <c:pt idx="12">
                  <c:v>-4.1376194053933257E-6</c:v>
                </c:pt>
                <c:pt idx="13">
                  <c:v>-5.3758969650157475E-8</c:v>
                </c:pt>
                <c:pt idx="14">
                  <c:v>-3.8775380325376679E-10</c:v>
                </c:pt>
                <c:pt idx="15">
                  <c:v>-1.6597823077329752E-12</c:v>
                </c:pt>
                <c:pt idx="16">
                  <c:v>-4.4756006533481524E-15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8E-734A-898B-178526B16992}"/>
            </c:ext>
          </c:extLst>
        </c:ser>
        <c:ser>
          <c:idx val="2"/>
          <c:order val="2"/>
          <c:tx>
            <c:strRef>
              <c:f>PutGkTable!$AJ$86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PutGkTable!$AG$87:$AG$103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PutGkTable!$AJ$87:$AJ$103</c:f>
              <c:numCache>
                <c:formatCode>0.0000</c:formatCode>
                <c:ptCount val="17"/>
                <c:pt idx="0">
                  <c:v>-0.2991013486510119</c:v>
                </c:pt>
                <c:pt idx="1">
                  <c:v>-0.29910134865101123</c:v>
                </c:pt>
                <c:pt idx="2">
                  <c:v>-0.29910134863770482</c:v>
                </c:pt>
                <c:pt idx="3">
                  <c:v>-0.29910132259838007</c:v>
                </c:pt>
                <c:pt idx="4">
                  <c:v>-0.29909357825878446</c:v>
                </c:pt>
                <c:pt idx="5">
                  <c:v>-0.29861017224298619</c:v>
                </c:pt>
                <c:pt idx="6">
                  <c:v>-0.29043783160633652</c:v>
                </c:pt>
                <c:pt idx="7">
                  <c:v>-0.2447697507234966</c:v>
                </c:pt>
                <c:pt idx="8">
                  <c:v>-0.14628325566737618</c:v>
                </c:pt>
                <c:pt idx="9">
                  <c:v>-5.3618495455553881E-2</c:v>
                </c:pt>
                <c:pt idx="10">
                  <c:v>-1.1536916845379724E-2</c:v>
                </c:pt>
                <c:pt idx="11">
                  <c:v>-1.4815132448374984E-3</c:v>
                </c:pt>
                <c:pt idx="12">
                  <c:v>-1.1821674012054746E-4</c:v>
                </c:pt>
                <c:pt idx="13">
                  <c:v>-6.1411164212453242E-6</c:v>
                </c:pt>
                <c:pt idx="14">
                  <c:v>-2.1742039088202344E-7</c:v>
                </c:pt>
                <c:pt idx="15">
                  <c:v>-5.4734607299924929E-9</c:v>
                </c:pt>
                <c:pt idx="16">
                  <c:v>-1.0180530527490383E-10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8E-734A-898B-178526B16992}"/>
            </c:ext>
          </c:extLst>
        </c:ser>
        <c:ser>
          <c:idx val="3"/>
          <c:order val="3"/>
          <c:tx>
            <c:strRef>
              <c:f>PutGkTable!$AK$86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PutGkTable!$AG$87:$AG$103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PutGkTable!$AK$87:$AK$103</c:f>
              <c:numCache>
                <c:formatCode>0.0000</c:formatCode>
                <c:ptCount val="17"/>
                <c:pt idx="0">
                  <c:v>-0.39840319573759642</c:v>
                </c:pt>
                <c:pt idx="1">
                  <c:v>-0.39840319573519695</c:v>
                </c:pt>
                <c:pt idx="2">
                  <c:v>-0.39840319165809851</c:v>
                </c:pt>
                <c:pt idx="3">
                  <c:v>-0.39840194648520055</c:v>
                </c:pt>
                <c:pt idx="4">
                  <c:v>-0.39830932167047478</c:v>
                </c:pt>
                <c:pt idx="5">
                  <c:v>-0.3961825093921294</c:v>
                </c:pt>
                <c:pt idx="6">
                  <c:v>-0.37804449596512057</c:v>
                </c:pt>
                <c:pt idx="7">
                  <c:v>-0.31160173252766638</c:v>
                </c:pt>
                <c:pt idx="8">
                  <c:v>-0.19417631512966549</c:v>
                </c:pt>
                <c:pt idx="9">
                  <c:v>-8.405078707790245E-2</c:v>
                </c:pt>
                <c:pt idx="10">
                  <c:v>-2.4681032286023107E-2</c:v>
                </c:pt>
                <c:pt idx="11">
                  <c:v>-4.9793903766825612E-3</c:v>
                </c:pt>
                <c:pt idx="12">
                  <c:v>-7.0994678821790255E-4</c:v>
                </c:pt>
                <c:pt idx="13">
                  <c:v>-7.3922110985878773E-5</c:v>
                </c:pt>
                <c:pt idx="14">
                  <c:v>-5.807775067082551E-6</c:v>
                </c:pt>
                <c:pt idx="15">
                  <c:v>-3.549802325374195E-7</c:v>
                </c:pt>
                <c:pt idx="16">
                  <c:v>-1.7355255510596831E-8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C8E-734A-898B-178526B16992}"/>
            </c:ext>
          </c:extLst>
        </c:ser>
        <c:ser>
          <c:idx val="4"/>
          <c:order val="4"/>
          <c:tx>
            <c:strRef>
              <c:f>PutGkTable!$AL$86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PutGkTable!$AG$87:$AG$103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PutGkTable!$AL$87:$AL$103</c:f>
              <c:numCache>
                <c:formatCode>0.0000</c:formatCode>
                <c:ptCount val="17"/>
                <c:pt idx="0">
                  <c:v>-0.49750623959617862</c:v>
                </c:pt>
                <c:pt idx="1">
                  <c:v>-0.49750623925100773</c:v>
                </c:pt>
                <c:pt idx="2">
                  <c:v>-0.49750610334612155</c:v>
                </c:pt>
                <c:pt idx="3">
                  <c:v>-0.49749254581248642</c:v>
                </c:pt>
                <c:pt idx="4">
                  <c:v>-0.49705693331611978</c:v>
                </c:pt>
                <c:pt idx="5">
                  <c:v>-0.49162693233839572</c:v>
                </c:pt>
                <c:pt idx="6">
                  <c:v>-0.46124764352636227</c:v>
                </c:pt>
                <c:pt idx="7">
                  <c:v>-0.37557538029528148</c:v>
                </c:pt>
                <c:pt idx="8">
                  <c:v>-0.24173738548666901</c:v>
                </c:pt>
                <c:pt idx="9">
                  <c:v>-0.11647512386205332</c:v>
                </c:pt>
                <c:pt idx="10">
                  <c:v>-4.1439734620382689E-2</c:v>
                </c:pt>
                <c:pt idx="11">
                  <c:v>-1.1002792784816784E-2</c:v>
                </c:pt>
                <c:pt idx="12">
                  <c:v>-2.2275567745076927E-3</c:v>
                </c:pt>
                <c:pt idx="13">
                  <c:v>-3.5258563277928013E-4</c:v>
                </c:pt>
                <c:pt idx="14">
                  <c:v>-4.4740300836920976E-5</c:v>
                </c:pt>
                <c:pt idx="15">
                  <c:v>-4.6600046454232701E-6</c:v>
                </c:pt>
                <c:pt idx="16">
                  <c:v>-4.0710561486007701E-7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8E-734A-898B-178526B16992}"/>
            </c:ext>
          </c:extLst>
        </c:ser>
        <c:ser>
          <c:idx val="5"/>
          <c:order val="5"/>
          <c:tx>
            <c:strRef>
              <c:f>PutGkTable!$AM$86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PutGkTable!$AG$87:$AG$103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PutGkTable!$AM$87:$AM$103</c:f>
              <c:numCache>
                <c:formatCode>0.0000</c:formatCode>
                <c:ptCount val="17"/>
                <c:pt idx="0">
                  <c:v>-0.59641077841587942</c:v>
                </c:pt>
                <c:pt idx="1">
                  <c:v>-0.59641076847476215</c:v>
                </c:pt>
                <c:pt idx="2">
                  <c:v>-0.59640929545940025</c:v>
                </c:pt>
                <c:pt idx="3">
                  <c:v>-0.59633991425530075</c:v>
                </c:pt>
                <c:pt idx="4">
                  <c:v>-0.59507405122365842</c:v>
                </c:pt>
                <c:pt idx="5">
                  <c:v>-0.58464424984096153</c:v>
                </c:pt>
                <c:pt idx="6">
                  <c:v>-0.54084164328407514</c:v>
                </c:pt>
                <c:pt idx="7">
                  <c:v>-0.43747332474639966</c:v>
                </c:pt>
                <c:pt idx="8">
                  <c:v>-0.28899256857821803</c:v>
                </c:pt>
                <c:pt idx="9">
                  <c:v>-0.15021961569853937</c:v>
                </c:pt>
                <c:pt idx="10">
                  <c:v>-6.094639500904122E-2</c:v>
                </c:pt>
                <c:pt idx="11">
                  <c:v>-1.9479340505072655E-2</c:v>
                </c:pt>
                <c:pt idx="12">
                  <c:v>-4.9902996063027252E-3</c:v>
                </c:pt>
                <c:pt idx="13">
                  <c:v>-1.0454860691588219E-3</c:v>
                </c:pt>
                <c:pt idx="14">
                  <c:v>-1.8277187067678867E-4</c:v>
                </c:pt>
                <c:pt idx="15">
                  <c:v>-2.717622405464722E-5</c:v>
                </c:pt>
                <c:pt idx="16">
                  <c:v>-3.4976118162045719E-6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C8E-734A-898B-178526B16992}"/>
            </c:ext>
          </c:extLst>
        </c:ser>
        <c:ser>
          <c:idx val="6"/>
          <c:order val="6"/>
          <c:tx>
            <c:strRef>
              <c:f>PutGkTable!$AN$86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PutGkTable!$AG$87:$AG$103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PutGkTable!$AN$87:$AN$103</c:f>
              <c:numCache>
                <c:formatCode>0.0000</c:formatCode>
                <c:ptCount val="17"/>
                <c:pt idx="0">
                  <c:v>-0.6951171095909271</c:v>
                </c:pt>
                <c:pt idx="1">
                  <c:v>-0.69511699629717838</c:v>
                </c:pt>
                <c:pt idx="2">
                  <c:v>-0.69510866599683718</c:v>
                </c:pt>
                <c:pt idx="3">
                  <c:v>-0.69487999767534281</c:v>
                </c:pt>
                <c:pt idx="4">
                  <c:v>-0.69210769581279652</c:v>
                </c:pt>
                <c:pt idx="5">
                  <c:v>-0.67518489921089664</c:v>
                </c:pt>
                <c:pt idx="6">
                  <c:v>-0.61746316022743408</c:v>
                </c:pt>
                <c:pt idx="7">
                  <c:v>-0.49776030881182398</c:v>
                </c:pt>
                <c:pt idx="8">
                  <c:v>-0.33596116095735595</c:v>
                </c:pt>
                <c:pt idx="9">
                  <c:v>-0.18489405725331287</c:v>
                </c:pt>
                <c:pt idx="10">
                  <c:v>-8.2579818420475584E-2</c:v>
                </c:pt>
                <c:pt idx="11">
                  <c:v>-3.0181976038431837E-2</c:v>
                </c:pt>
                <c:pt idx="12">
                  <c:v>-9.1586807596606805E-3</c:v>
                </c:pt>
                <c:pt idx="13">
                  <c:v>-2.3461919494972084E-3</c:v>
                </c:pt>
                <c:pt idx="14">
                  <c:v>-5.1597000135761924E-4</c:v>
                </c:pt>
                <c:pt idx="15">
                  <c:v>-9.8976324948288555E-5</c:v>
                </c:pt>
                <c:pt idx="16">
                  <c:v>-1.6805717595808305E-5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C8E-734A-898B-178526B16992}"/>
            </c:ext>
          </c:extLst>
        </c:ser>
        <c:ser>
          <c:idx val="7"/>
          <c:order val="7"/>
          <c:tx>
            <c:strRef>
              <c:f>PutGkTable!$AO$86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PutGkTable!$AG$87:$AG$103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PutGkTable!$AO$87:$AO$103</c:f>
              <c:numCache>
                <c:formatCode>0.0000</c:formatCode>
                <c:ptCount val="17"/>
                <c:pt idx="0">
                  <c:v>-0.79362552608576475</c:v>
                </c:pt>
                <c:pt idx="1">
                  <c:v>-0.79362480654308254</c:v>
                </c:pt>
                <c:pt idx="2">
                  <c:v>-0.7935936043085654</c:v>
                </c:pt>
                <c:pt idx="3">
                  <c:v>-0.79302408550228254</c:v>
                </c:pt>
                <c:pt idx="4">
                  <c:v>-0.78795837941602986</c:v>
                </c:pt>
                <c:pt idx="5">
                  <c:v>-0.76333065645166864</c:v>
                </c:pt>
                <c:pt idx="6">
                  <c:v>-0.69160045612128529</c:v>
                </c:pt>
                <c:pt idx="7">
                  <c:v>-0.55673809412580411</c:v>
                </c:pt>
                <c:pt idx="8">
                  <c:v>-0.38265821976803804</c:v>
                </c:pt>
                <c:pt idx="9">
                  <c:v>-0.22025034744081634</c:v>
                </c:pt>
                <c:pt idx="10">
                  <c:v>-0.10589364670422442</c:v>
                </c:pt>
                <c:pt idx="11">
                  <c:v>-4.2850602886025962E-2</c:v>
                </c:pt>
                <c:pt idx="12">
                  <c:v>-1.4776758266337857E-2</c:v>
                </c:pt>
                <c:pt idx="13">
                  <c:v>-4.4045297688068445E-3</c:v>
                </c:pt>
                <c:pt idx="14">
                  <c:v>-1.1511350758450093E-3</c:v>
                </c:pt>
                <c:pt idx="15">
                  <c:v>-2.6740280174910219E-4</c:v>
                </c:pt>
                <c:pt idx="16">
                  <c:v>-5.5908141161773162E-5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C8E-734A-898B-178526B16992}"/>
            </c:ext>
          </c:extLst>
        </c:ser>
        <c:ser>
          <c:idx val="8"/>
          <c:order val="8"/>
          <c:tx>
            <c:strRef>
              <c:f>PutGkTable!$AP$86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PutGkTable!$AG$87:$AG$103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PutGkTable!$AP$87:$AP$103</c:f>
              <c:numCache>
                <c:formatCode>0.0000</c:formatCode>
                <c:ptCount val="17"/>
                <c:pt idx="0">
                  <c:v>-0.89193629878559966</c:v>
                </c:pt>
                <c:pt idx="1">
                  <c:v>-0.89193321512612056</c:v>
                </c:pt>
                <c:pt idx="2">
                  <c:v>-0.89184472786438262</c:v>
                </c:pt>
                <c:pt idx="3">
                  <c:v>-0.89067167653905843</c:v>
                </c:pt>
                <c:pt idx="4">
                  <c:v>-0.88248936205981077</c:v>
                </c:pt>
                <c:pt idx="5">
                  <c:v>-0.84922150791862006</c:v>
                </c:pt>
                <c:pt idx="6">
                  <c:v>-0.76362775076181977</c:v>
                </c:pt>
                <c:pt idx="7">
                  <c:v>-0.61461560731262421</c:v>
                </c:pt>
                <c:pt idx="8">
                  <c:v>-0.42909594584950783</c:v>
                </c:pt>
                <c:pt idx="9">
                  <c:v>-0.25612022988471977</c:v>
                </c:pt>
                <c:pt idx="10">
                  <c:v>-0.13056052320905745</c:v>
                </c:pt>
                <c:pt idx="11">
                  <c:v>-5.7238493731413029E-2</c:v>
                </c:pt>
                <c:pt idx="12">
                  <c:v>-2.1817588452681832E-2</c:v>
                </c:pt>
                <c:pt idx="13">
                  <c:v>-7.3201992281897478E-3</c:v>
                </c:pt>
                <c:pt idx="14">
                  <c:v>-2.1889103353476399E-3</c:v>
                </c:pt>
                <c:pt idx="15">
                  <c:v>-5.9028090815702071E-4</c:v>
                </c:pt>
                <c:pt idx="16">
                  <c:v>-1.4513415048132041E-4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C8E-734A-898B-178526B16992}"/>
            </c:ext>
          </c:extLst>
        </c:ser>
        <c:ser>
          <c:idx val="9"/>
          <c:order val="9"/>
          <c:tx>
            <c:strRef>
              <c:f>PutGkTable!$AQ$86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PutGkTable!$AG$87:$AG$103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PutGkTable!$AQ$87:$AQ$103</c:f>
              <c:numCache>
                <c:formatCode>0.0000</c:formatCode>
                <c:ptCount val="17"/>
                <c:pt idx="0">
                  <c:v>-0.99004962430033638</c:v>
                </c:pt>
                <c:pt idx="1">
                  <c:v>-0.99003961536586416</c:v>
                </c:pt>
                <c:pt idx="2">
                  <c:v>-0.98983357421253249</c:v>
                </c:pt>
                <c:pt idx="3">
                  <c:v>-0.98772259095825921</c:v>
                </c:pt>
                <c:pt idx="4">
                  <c:v>-0.97561925382655401</c:v>
                </c:pt>
                <c:pt idx="5">
                  <c:v>-0.93301664808441942</c:v>
                </c:pt>
                <c:pt idx="6">
                  <c:v>-0.83383533155302392</c:v>
                </c:pt>
                <c:pt idx="7">
                  <c:v>-0.67154464766556188</c:v>
                </c:pt>
                <c:pt idx="8">
                  <c:v>-0.47528450546914641</c:v>
                </c:pt>
                <c:pt idx="9">
                  <c:v>-0.29238396974088876</c:v>
                </c:pt>
                <c:pt idx="10">
                  <c:v>-0.15633468393362243</c:v>
                </c:pt>
                <c:pt idx="11">
                  <c:v>-7.3126821154321592E-2</c:v>
                </c:pt>
                <c:pt idx="12">
                  <c:v>-3.0215639479525973E-2</c:v>
                </c:pt>
                <c:pt idx="13">
                  <c:v>-1.1149292047401196E-2</c:v>
                </c:pt>
                <c:pt idx="14">
                  <c:v>-3.7142887060016444E-3</c:v>
                </c:pt>
                <c:pt idx="15">
                  <c:v>-1.1288829945233631E-3</c:v>
                </c:pt>
                <c:pt idx="16">
                  <c:v>-3.1605882700215971E-4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C8E-734A-898B-178526B16992}"/>
            </c:ext>
          </c:extLst>
        </c:ser>
        <c:ser>
          <c:idx val="10"/>
          <c:order val="10"/>
          <c:tx>
            <c:strRef>
              <c:f>PutGkTable!$AR$86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PutGkTable!$AG$87:$AG$103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PutGkTable!$AR$87:$AR$103</c:f>
              <c:numCache>
                <c:formatCode>0.0000</c:formatCode>
                <c:ptCount val="17"/>
                <c:pt idx="0">
                  <c:v>-1.9600071765528571</c:v>
                </c:pt>
                <c:pt idx="1">
                  <c:v>-1.957529074674156</c:v>
                </c:pt>
                <c:pt idx="2">
                  <c:v>-1.9464474795042801</c:v>
                </c:pt>
                <c:pt idx="3">
                  <c:v>-1.9117921496304344</c:v>
                </c:pt>
                <c:pt idx="4">
                  <c:v>-1.8312350274293627</c:v>
                </c:pt>
                <c:pt idx="5">
                  <c:v>-1.6851347130193406</c:v>
                </c:pt>
                <c:pt idx="6">
                  <c:v>-1.470180213210559</c:v>
                </c:pt>
                <c:pt idx="7">
                  <c:v>-1.2053541901517708</c:v>
                </c:pt>
                <c:pt idx="8">
                  <c:v>-0.92494293545844175</c:v>
                </c:pt>
                <c:pt idx="9">
                  <c:v>-0.66420495083359443</c:v>
                </c:pt>
                <c:pt idx="10">
                  <c:v>-0.44744114329833884</c:v>
                </c:pt>
                <c:pt idx="11">
                  <c:v>-0.28387565416432975</c:v>
                </c:pt>
                <c:pt idx="12">
                  <c:v>-0.17041305844647878</c:v>
                </c:pt>
                <c:pt idx="13">
                  <c:v>-9.7269983363962156E-2</c:v>
                </c:pt>
                <c:pt idx="14">
                  <c:v>-5.3044518844668306E-2</c:v>
                </c:pt>
                <c:pt idx="15">
                  <c:v>-2.7763060015189755E-2</c:v>
                </c:pt>
                <c:pt idx="16">
                  <c:v>-1.4005521022504215E-2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C8E-734A-898B-178526B16992}"/>
            </c:ext>
          </c:extLst>
        </c:ser>
        <c:ser>
          <c:idx val="11"/>
          <c:order val="11"/>
          <c:tx>
            <c:strRef>
              <c:f>PutGkTable!$AS$86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PutGkTable!$AG$87:$AG$103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PutGkTable!$AS$87:$AS$103</c:f>
              <c:numCache>
                <c:formatCode>0.0000</c:formatCode>
                <c:ptCount val="17"/>
                <c:pt idx="0">
                  <c:v>-2.9052211402699144</c:v>
                </c:pt>
                <c:pt idx="1">
                  <c:v>-2.8875049425784916</c:v>
                </c:pt>
                <c:pt idx="2">
                  <c:v>-2.8406869415859761</c:v>
                </c:pt>
                <c:pt idx="3">
                  <c:v>-2.7433364363860733</c:v>
                </c:pt>
                <c:pt idx="4">
                  <c:v>-2.5772999483671151</c:v>
                </c:pt>
                <c:pt idx="5">
                  <c:v>-2.3372499898052825</c:v>
                </c:pt>
                <c:pt idx="6">
                  <c:v>-2.035196727627282</c:v>
                </c:pt>
                <c:pt idx="7">
                  <c:v>-1.6972697086452215</c:v>
                </c:pt>
                <c:pt idx="8">
                  <c:v>-1.3552089139551933</c:v>
                </c:pt>
                <c:pt idx="9">
                  <c:v>-1.037389302277212</c:v>
                </c:pt>
                <c:pt idx="10">
                  <c:v>-0.76306938538913072</c:v>
                </c:pt>
                <c:pt idx="11">
                  <c:v>-0.54089660745686818</c:v>
                </c:pt>
                <c:pt idx="12">
                  <c:v>-0.37061971310998387</c:v>
                </c:pt>
                <c:pt idx="13">
                  <c:v>-0.24623428923447238</c:v>
                </c:pt>
                <c:pt idx="14">
                  <c:v>-0.15909940709285955</c:v>
                </c:pt>
                <c:pt idx="15">
                  <c:v>-0.10025507523116202</c:v>
                </c:pt>
                <c:pt idx="16">
                  <c:v>-6.1771701030619901E-2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C8E-734A-898B-178526B16992}"/>
            </c:ext>
          </c:extLst>
        </c:ser>
        <c:ser>
          <c:idx val="12"/>
          <c:order val="12"/>
          <c:tx>
            <c:strRef>
              <c:f>PutGkTable!$AT$86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PutGkTable!$AG$87:$AG$103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PutGkTable!$AT$87:$AT$103</c:f>
              <c:numCache>
                <c:formatCode>0.0000</c:formatCode>
                <c:ptCount val="17"/>
                <c:pt idx="0">
                  <c:v>-3.8160199409351754</c:v>
                </c:pt>
                <c:pt idx="1">
                  <c:v>-3.76632542383236</c:v>
                </c:pt>
                <c:pt idx="2">
                  <c:v>-3.6657910800281894</c:v>
                </c:pt>
                <c:pt idx="3">
                  <c:v>-3.4958079648603313</c:v>
                </c:pt>
                <c:pt idx="4">
                  <c:v>-3.2479221622975727</c:v>
                </c:pt>
                <c:pt idx="5">
                  <c:v>-2.9283005382871439</c:v>
                </c:pt>
                <c:pt idx="6">
                  <c:v>-2.5566162545287616</c:v>
                </c:pt>
                <c:pt idx="7">
                  <c:v>-2.1604977247507242</c:v>
                </c:pt>
                <c:pt idx="8">
                  <c:v>-1.7685142165444596</c:v>
                </c:pt>
                <c:pt idx="9">
                  <c:v>-1.4044498566974726</c:v>
                </c:pt>
                <c:pt idx="10">
                  <c:v>-1.0842371938523891</c:v>
                </c:pt>
                <c:pt idx="11">
                  <c:v>-0.81551953305242586</c:v>
                </c:pt>
                <c:pt idx="12">
                  <c:v>-0.59900537227292028</c:v>
                </c:pt>
                <c:pt idx="13">
                  <c:v>-0.43061133337451024</c:v>
                </c:pt>
                <c:pt idx="14">
                  <c:v>-0.30361441765510089</c:v>
                </c:pt>
                <c:pt idx="15">
                  <c:v>-0.21037948457823835</c:v>
                </c:pt>
                <c:pt idx="16">
                  <c:v>-0.14352340135387856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C8E-734A-898B-178526B16992}"/>
            </c:ext>
          </c:extLst>
        </c:ser>
        <c:ser>
          <c:idx val="13"/>
          <c:order val="13"/>
          <c:tx>
            <c:strRef>
              <c:f>PutGkTable!$AU$86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PutGkTable!$AG$87:$AG$103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PutGkTable!$AU$87:$AU$103</c:f>
              <c:numCache>
                <c:formatCode>0.0000</c:formatCode>
                <c:ptCount val="17"/>
                <c:pt idx="0">
                  <c:v>-4.6852697276379232</c:v>
                </c:pt>
                <c:pt idx="1">
                  <c:v>-4.5907104705252273</c:v>
                </c:pt>
                <c:pt idx="2">
                  <c:v>-4.4279826431888436</c:v>
                </c:pt>
                <c:pt idx="3">
                  <c:v>-4.1851840910857252</c:v>
                </c:pt>
                <c:pt idx="4">
                  <c:v>-3.863061057732152</c:v>
                </c:pt>
                <c:pt idx="5">
                  <c:v>-3.4754296402903977</c:v>
                </c:pt>
                <c:pt idx="6">
                  <c:v>-3.0455786504962981</c:v>
                </c:pt>
                <c:pt idx="7">
                  <c:v>-2.6006737133094067</c:v>
                </c:pt>
                <c:pt idx="8">
                  <c:v>-2.1663757703673947</c:v>
                </c:pt>
                <c:pt idx="9">
                  <c:v>-1.7631042837691091</c:v>
                </c:pt>
                <c:pt idx="10">
                  <c:v>-1.4043642802347476</c:v>
                </c:pt>
                <c:pt idx="11">
                  <c:v>-1.0968174400128405</c:v>
                </c:pt>
                <c:pt idx="12">
                  <c:v>-0.84145321734060696</c:v>
                </c:pt>
                <c:pt idx="13">
                  <c:v>-0.63521830954418723</c:v>
                </c:pt>
                <c:pt idx="14">
                  <c:v>-0.47263294150338991</c:v>
                </c:pt>
                <c:pt idx="15">
                  <c:v>-0.34712911679763819</c:v>
                </c:pt>
                <c:pt idx="16">
                  <c:v>-0.25201588710677392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C8E-734A-898B-178526B16992}"/>
            </c:ext>
          </c:extLst>
        </c:ser>
        <c:bandFmts>
          <c:bandFmt>
            <c:idx val="0"/>
            <c:spPr>
              <a:solidFill>
                <a:schemeClr val="accent2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95000"/>
                </a:schemeClr>
              </a:solidFill>
              <a:ln/>
              <a:effectLst/>
              <a:sp3d/>
            </c:spPr>
          </c:bandFmt>
        </c:bandFmts>
        <c:axId val="1663832448"/>
        <c:axId val="1663833792"/>
        <c:axId val="1662994432"/>
      </c:surface3DChart>
      <c:catAx>
        <c:axId val="1663832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833792"/>
        <c:crosses val="autoZero"/>
        <c:auto val="1"/>
        <c:lblAlgn val="ctr"/>
        <c:lblOffset val="100"/>
        <c:noMultiLvlLbl val="0"/>
      </c:catAx>
      <c:valAx>
        <c:axId val="1663833792"/>
        <c:scaling>
          <c:orientation val="minMax"/>
          <c:max val="0"/>
          <c:min val="-4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832448"/>
        <c:crosses val="autoZero"/>
        <c:crossBetween val="midCat"/>
      </c:valAx>
      <c:serAx>
        <c:axId val="16629944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83379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ImpVol - Call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'Empirical PART 2'!$B$5</c:f>
              <c:strCache>
                <c:ptCount val="1"/>
                <c:pt idx="0">
                  <c:v>τ1=0.19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/>
            <a:effectLst/>
            <a:sp3d/>
          </c:spPr>
          <c:cat>
            <c:numRef>
              <c:f>'Empirical PART 2'!$A$6:$A$22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 formatCode="#,##0">
                  <c:v>1000</c:v>
                </c:pt>
                <c:pt idx="12" formatCode="#,##0">
                  <c:v>1040</c:v>
                </c:pt>
                <c:pt idx="13" formatCode="#,##0">
                  <c:v>1080</c:v>
                </c:pt>
                <c:pt idx="14" formatCode="#,##0">
                  <c:v>1120</c:v>
                </c:pt>
                <c:pt idx="15" formatCode="#,##0">
                  <c:v>1160</c:v>
                </c:pt>
                <c:pt idx="16" formatCode="#,##0">
                  <c:v>1200</c:v>
                </c:pt>
              </c:numCache>
            </c:numRef>
          </c:cat>
          <c:val>
            <c:numRef>
              <c:f>'Empirical PART 2'!$B$6:$B$22</c:f>
              <c:numCache>
                <c:formatCode>General</c:formatCode>
                <c:ptCount val="17"/>
                <c:pt idx="0">
                  <c:v>73.105000000000004</c:v>
                </c:pt>
                <c:pt idx="1">
                  <c:v>65.264499999999998</c:v>
                </c:pt>
                <c:pt idx="2">
                  <c:v>62.688899999999997</c:v>
                </c:pt>
                <c:pt idx="3">
                  <c:v>60.847700000000003</c:v>
                </c:pt>
                <c:pt idx="4">
                  <c:v>58.430700000000002</c:v>
                </c:pt>
                <c:pt idx="5">
                  <c:v>56.890700000000002</c:v>
                </c:pt>
                <c:pt idx="6">
                  <c:v>55.754899999999999</c:v>
                </c:pt>
                <c:pt idx="7">
                  <c:v>53.964300000000001</c:v>
                </c:pt>
                <c:pt idx="8">
                  <c:v>52.819600000000001</c:v>
                </c:pt>
                <c:pt idx="9">
                  <c:v>52.315899999999999</c:v>
                </c:pt>
                <c:pt idx="10">
                  <c:v>51.4512</c:v>
                </c:pt>
                <c:pt idx="11">
                  <c:v>48.574599999999997</c:v>
                </c:pt>
                <c:pt idx="12">
                  <c:v>51.438299999999998</c:v>
                </c:pt>
                <c:pt idx="13">
                  <c:v>51.061399999999999</c:v>
                </c:pt>
                <c:pt idx="14">
                  <c:v>51.5732</c:v>
                </c:pt>
                <c:pt idx="15">
                  <c:v>51.827500000000001</c:v>
                </c:pt>
                <c:pt idx="16">
                  <c:v>53.203600000000002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11-3A47-AEDA-E5CABD163975}"/>
            </c:ext>
          </c:extLst>
        </c:ser>
        <c:ser>
          <c:idx val="1"/>
          <c:order val="1"/>
          <c:tx>
            <c:strRef>
              <c:f>'Empirical PART 2'!$C$5</c:f>
              <c:strCache>
                <c:ptCount val="1"/>
                <c:pt idx="0">
                  <c:v>τ2=0.44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'Empirical PART 2'!$A$6:$A$22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 formatCode="#,##0">
                  <c:v>1000</c:v>
                </c:pt>
                <c:pt idx="12" formatCode="#,##0">
                  <c:v>1040</c:v>
                </c:pt>
                <c:pt idx="13" formatCode="#,##0">
                  <c:v>1080</c:v>
                </c:pt>
                <c:pt idx="14" formatCode="#,##0">
                  <c:v>1120</c:v>
                </c:pt>
                <c:pt idx="15" formatCode="#,##0">
                  <c:v>1160</c:v>
                </c:pt>
                <c:pt idx="16" formatCode="#,##0">
                  <c:v>1200</c:v>
                </c:pt>
              </c:numCache>
            </c:numRef>
          </c:cat>
          <c:val>
            <c:numRef>
              <c:f>'Empirical PART 2'!$C$6:$C$22</c:f>
              <c:numCache>
                <c:formatCode>General</c:formatCode>
                <c:ptCount val="17"/>
                <c:pt idx="0">
                  <c:v>63.1586</c:v>
                </c:pt>
                <c:pt idx="1">
                  <c:v>59.042200000000001</c:v>
                </c:pt>
                <c:pt idx="2">
                  <c:v>57.542299999999997</c:v>
                </c:pt>
                <c:pt idx="3">
                  <c:v>56.472700000000003</c:v>
                </c:pt>
                <c:pt idx="4">
                  <c:v>55.155900000000003</c:v>
                </c:pt>
                <c:pt idx="5">
                  <c:v>54.1282</c:v>
                </c:pt>
                <c:pt idx="6">
                  <c:v>53.0364</c:v>
                </c:pt>
                <c:pt idx="7">
                  <c:v>52.250100000000003</c:v>
                </c:pt>
                <c:pt idx="8">
                  <c:v>51.447499999999998</c:v>
                </c:pt>
                <c:pt idx="9">
                  <c:v>50.829900000000002</c:v>
                </c:pt>
                <c:pt idx="10">
                  <c:v>50.460599999999999</c:v>
                </c:pt>
                <c:pt idx="11">
                  <c:v>48.5809</c:v>
                </c:pt>
                <c:pt idx="12">
                  <c:v>50.050699999999999</c:v>
                </c:pt>
                <c:pt idx="13">
                  <c:v>48.098999999999997</c:v>
                </c:pt>
                <c:pt idx="14">
                  <c:v>49.580800000000004</c:v>
                </c:pt>
                <c:pt idx="15">
                  <c:v>48.017600000000002</c:v>
                </c:pt>
                <c:pt idx="16">
                  <c:v>49.456400000000002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11-3A47-AEDA-E5CABD163975}"/>
            </c:ext>
          </c:extLst>
        </c:ser>
        <c:ser>
          <c:idx val="2"/>
          <c:order val="2"/>
          <c:tx>
            <c:strRef>
              <c:f>'Empirical PART 2'!$D$5</c:f>
              <c:strCache>
                <c:ptCount val="1"/>
                <c:pt idx="0">
                  <c:v>τ3=0.69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/>
            <a:effectLst/>
            <a:sp3d/>
          </c:spPr>
          <c:cat>
            <c:numRef>
              <c:f>'Empirical PART 2'!$A$6:$A$22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 formatCode="#,##0">
                  <c:v>1000</c:v>
                </c:pt>
                <c:pt idx="12" formatCode="#,##0">
                  <c:v>1040</c:v>
                </c:pt>
                <c:pt idx="13" formatCode="#,##0">
                  <c:v>1080</c:v>
                </c:pt>
                <c:pt idx="14" formatCode="#,##0">
                  <c:v>1120</c:v>
                </c:pt>
                <c:pt idx="15" formatCode="#,##0">
                  <c:v>1160</c:v>
                </c:pt>
                <c:pt idx="16" formatCode="#,##0">
                  <c:v>1200</c:v>
                </c:pt>
              </c:numCache>
            </c:numRef>
          </c:cat>
          <c:val>
            <c:numRef>
              <c:f>'Empirical PART 2'!$D$6:$D$22</c:f>
              <c:numCache>
                <c:formatCode>General</c:formatCode>
                <c:ptCount val="17"/>
                <c:pt idx="0">
                  <c:v>58.177300000000002</c:v>
                </c:pt>
                <c:pt idx="1">
                  <c:v>55.530900000000003</c:v>
                </c:pt>
                <c:pt idx="2">
                  <c:v>54.444699999999997</c:v>
                </c:pt>
                <c:pt idx="3">
                  <c:v>53.6815</c:v>
                </c:pt>
                <c:pt idx="4">
                  <c:v>52.619</c:v>
                </c:pt>
                <c:pt idx="5">
                  <c:v>46.569899999999997</c:v>
                </c:pt>
                <c:pt idx="6">
                  <c:v>51.084299999999999</c:v>
                </c:pt>
                <c:pt idx="7">
                  <c:v>50.621899999999997</c:v>
                </c:pt>
                <c:pt idx="8">
                  <c:v>49.975900000000003</c:v>
                </c:pt>
                <c:pt idx="9">
                  <c:v>49.2515</c:v>
                </c:pt>
                <c:pt idx="10">
                  <c:v>49.185200000000002</c:v>
                </c:pt>
                <c:pt idx="11">
                  <c:v>48.362499999999997</c:v>
                </c:pt>
                <c:pt idx="12">
                  <c:v>47.963500000000003</c:v>
                </c:pt>
                <c:pt idx="13">
                  <c:v>47.982399999999998</c:v>
                </c:pt>
                <c:pt idx="14">
                  <c:v>47.295200000000001</c:v>
                </c:pt>
                <c:pt idx="15">
                  <c:v>44.383600000000001</c:v>
                </c:pt>
                <c:pt idx="16">
                  <c:v>43.992699999999999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11-3A47-AEDA-E5CABD163975}"/>
            </c:ext>
          </c:extLst>
        </c:ser>
        <c:bandFmts>
          <c:bandFmt>
            <c:idx val="0"/>
            <c:spPr>
              <a:solidFill>
                <a:schemeClr val="accent1">
                  <a:shade val="45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61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76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92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9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77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62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46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1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99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84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68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53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37000"/>
                </a:schemeClr>
              </a:solidFill>
              <a:ln/>
              <a:effectLst/>
              <a:sp3d/>
            </c:spPr>
          </c:bandFmt>
        </c:bandFmts>
        <c:axId val="1828341504"/>
        <c:axId val="1825062208"/>
        <c:axId val="1825937920"/>
      </c:surface3DChart>
      <c:catAx>
        <c:axId val="1828341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5062208"/>
        <c:crosses val="autoZero"/>
        <c:auto val="1"/>
        <c:lblAlgn val="ctr"/>
        <c:lblOffset val="100"/>
        <c:noMultiLvlLbl val="0"/>
      </c:catAx>
      <c:valAx>
        <c:axId val="18250622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</a:t>
                </a:r>
                <a:r>
                  <a:rPr lang="en-US" baseline="0"/>
                  <a:t> Vol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341504"/>
        <c:crosses val="autoZero"/>
        <c:crossBetween val="midCat"/>
      </c:valAx>
      <c:serAx>
        <c:axId val="1825937920"/>
        <c:scaling>
          <c:orientation val="maxMin"/>
        </c:scaling>
        <c:delete val="1"/>
        <c:axPos val="b"/>
        <c:majorTickMark val="out"/>
        <c:minorTickMark val="none"/>
        <c:tickLblPos val="nextTo"/>
        <c:crossAx val="182506220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 - Call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'Empirical PART 2'!$B$38</c:f>
              <c:strCache>
                <c:ptCount val="1"/>
                <c:pt idx="0">
                  <c:v>τ1=0.19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2'!$B$39:$B$58</c:f>
              <c:numCache>
                <c:formatCode>0.0000</c:formatCode>
                <c:ptCount val="20"/>
                <c:pt idx="0">
                  <c:v>0.95930000000000004</c:v>
                </c:pt>
                <c:pt idx="1">
                  <c:v>0.92110000000000003</c:v>
                </c:pt>
                <c:pt idx="2">
                  <c:v>0.88990000000000002</c:v>
                </c:pt>
                <c:pt idx="3">
                  <c:v>0.84819999999999995</c:v>
                </c:pt>
                <c:pt idx="4">
                  <c:v>0.79720000000000002</c:v>
                </c:pt>
                <c:pt idx="5">
                  <c:v>0.73619999999999997</c:v>
                </c:pt>
                <c:pt idx="6">
                  <c:v>0.66639999999999999</c:v>
                </c:pt>
                <c:pt idx="7">
                  <c:v>0.59019999999999995</c:v>
                </c:pt>
                <c:pt idx="8">
                  <c:v>0.51100000000000001</c:v>
                </c:pt>
                <c:pt idx="9">
                  <c:v>0.43209999999999998</c:v>
                </c:pt>
                <c:pt idx="10">
                  <c:v>0.3574</c:v>
                </c:pt>
                <c:pt idx="11">
                  <c:v>0.27750000000000002</c:v>
                </c:pt>
                <c:pt idx="12">
                  <c:v>0.23300000000000001</c:v>
                </c:pt>
                <c:pt idx="13">
                  <c:v>0.185</c:v>
                </c:pt>
                <c:pt idx="14">
                  <c:v>0.14630000000000001</c:v>
                </c:pt>
                <c:pt idx="15">
                  <c:v>0.11559999999999999</c:v>
                </c:pt>
                <c:pt idx="16">
                  <c:v>9.3899999999999997E-2</c:v>
                </c:pt>
                <c:pt idx="17">
                  <c:v>7.5399999999999995E-2</c:v>
                </c:pt>
                <c:pt idx="18">
                  <c:v>6.1199999999999997E-2</c:v>
                </c:pt>
                <c:pt idx="19">
                  <c:v>5.04E-2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C8-6242-8DC4-A1183502CBE8}"/>
            </c:ext>
          </c:extLst>
        </c:ser>
        <c:ser>
          <c:idx val="1"/>
          <c:order val="1"/>
          <c:tx>
            <c:strRef>
              <c:f>'Empirical PART 2'!$C$38</c:f>
              <c:strCache>
                <c:ptCount val="1"/>
                <c:pt idx="0">
                  <c:v>τ2=0.44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2'!$C$39:$C$58</c:f>
              <c:numCache>
                <c:formatCode>0.0000</c:formatCode>
                <c:ptCount val="20"/>
                <c:pt idx="0">
                  <c:v>0.92410000000000003</c:v>
                </c:pt>
                <c:pt idx="1">
                  <c:v>0.87229999999999996</c:v>
                </c:pt>
                <c:pt idx="2">
                  <c:v>0.83819999999999995</c:v>
                </c:pt>
                <c:pt idx="3">
                  <c:v>0.79869999999999997</c:v>
                </c:pt>
                <c:pt idx="4">
                  <c:v>0.75539999999999996</c:v>
                </c:pt>
                <c:pt idx="5">
                  <c:v>0.70779999999999998</c:v>
                </c:pt>
                <c:pt idx="6">
                  <c:v>0.65749999999999997</c:v>
                </c:pt>
                <c:pt idx="7">
                  <c:v>0.60450000000000004</c:v>
                </c:pt>
                <c:pt idx="8">
                  <c:v>0.55100000000000005</c:v>
                </c:pt>
                <c:pt idx="9">
                  <c:v>0.49730000000000002</c:v>
                </c:pt>
                <c:pt idx="10">
                  <c:v>0.4456</c:v>
                </c:pt>
                <c:pt idx="11">
                  <c:v>0.3896</c:v>
                </c:pt>
                <c:pt idx="12">
                  <c:v>0.3498</c:v>
                </c:pt>
                <c:pt idx="13">
                  <c:v>0.29920000000000002</c:v>
                </c:pt>
                <c:pt idx="14">
                  <c:v>0.26879999999999998</c:v>
                </c:pt>
                <c:pt idx="15">
                  <c:v>0.22550000000000001</c:v>
                </c:pt>
                <c:pt idx="16">
                  <c:v>0.2046</c:v>
                </c:pt>
                <c:pt idx="17">
                  <c:v>0.17849999999999999</c:v>
                </c:pt>
                <c:pt idx="18">
                  <c:v>0.14430000000000001</c:v>
                </c:pt>
                <c:pt idx="19">
                  <c:v>0.1358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C8-6242-8DC4-A1183502CBE8}"/>
            </c:ext>
          </c:extLst>
        </c:ser>
        <c:ser>
          <c:idx val="2"/>
          <c:order val="2"/>
          <c:tx>
            <c:strRef>
              <c:f>'Empirical PART 2'!$D$38</c:f>
              <c:strCache>
                <c:ptCount val="1"/>
                <c:pt idx="0">
                  <c:v>τ3=0.69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2'!$D$39:$D$58</c:f>
              <c:numCache>
                <c:formatCode>0.0000</c:formatCode>
                <c:ptCount val="20"/>
                <c:pt idx="0">
                  <c:v>0.90559999999999996</c:v>
                </c:pt>
                <c:pt idx="1">
                  <c:v>0.8518</c:v>
                </c:pt>
                <c:pt idx="2">
                  <c:v>0.81920000000000004</c:v>
                </c:pt>
                <c:pt idx="3">
                  <c:v>0.78359999999999996</c:v>
                </c:pt>
                <c:pt idx="4">
                  <c:v>0.74490000000000001</c:v>
                </c:pt>
                <c:pt idx="5">
                  <c:v>0.70930000000000004</c:v>
                </c:pt>
                <c:pt idx="6">
                  <c:v>0.66190000000000004</c:v>
                </c:pt>
                <c:pt idx="7">
                  <c:v>0.61819999999999997</c:v>
                </c:pt>
                <c:pt idx="8">
                  <c:v>0.57450000000000001</c:v>
                </c:pt>
                <c:pt idx="9">
                  <c:v>0.53029999999999999</c:v>
                </c:pt>
                <c:pt idx="10">
                  <c:v>0.48720000000000002</c:v>
                </c:pt>
                <c:pt idx="11">
                  <c:v>0.44540000000000002</c:v>
                </c:pt>
                <c:pt idx="12">
                  <c:v>0.4047</c:v>
                </c:pt>
                <c:pt idx="13">
                  <c:v>0.36670000000000003</c:v>
                </c:pt>
                <c:pt idx="14">
                  <c:v>0.33069999999999999</c:v>
                </c:pt>
                <c:pt idx="15">
                  <c:v>0.2767</c:v>
                </c:pt>
                <c:pt idx="16">
                  <c:v>0.2447</c:v>
                </c:pt>
                <c:pt idx="17">
                  <c:v>0.2397</c:v>
                </c:pt>
                <c:pt idx="18">
                  <c:v>0.2145</c:v>
                </c:pt>
                <c:pt idx="19">
                  <c:v>0.192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C8-6242-8DC4-A1183502C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6204480"/>
        <c:axId val="1808678208"/>
      </c:lineChart>
      <c:catAx>
        <c:axId val="183620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678208"/>
        <c:crosses val="autoZero"/>
        <c:auto val="1"/>
        <c:lblAlgn val="ctr"/>
        <c:lblOffset val="100"/>
        <c:noMultiLvlLbl val="0"/>
      </c:catAx>
      <c:valAx>
        <c:axId val="180867820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6204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 - Call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'Empirical PART 2'!$G$38</c:f>
              <c:strCache>
                <c:ptCount val="1"/>
                <c:pt idx="0">
                  <c:v>τ1=0.19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2'!$G$39:$G$58</c:f>
              <c:numCache>
                <c:formatCode>0.0000</c:formatCode>
                <c:ptCount val="20"/>
                <c:pt idx="0">
                  <c:v>2.9999999999999997E-4</c:v>
                </c:pt>
                <c:pt idx="1">
                  <c:v>5.9999999999999995E-4</c:v>
                </c:pt>
                <c:pt idx="2">
                  <c:v>8.0000000000000004E-4</c:v>
                </c:pt>
                <c:pt idx="3">
                  <c:v>1E-3</c:v>
                </c:pt>
                <c:pt idx="4">
                  <c:v>1.2999999999999999E-3</c:v>
                </c:pt>
                <c:pt idx="5">
                  <c:v>1.5E-3</c:v>
                </c:pt>
                <c:pt idx="6">
                  <c:v>1.8E-3</c:v>
                </c:pt>
                <c:pt idx="7">
                  <c:v>1.9E-3</c:v>
                </c:pt>
                <c:pt idx="8">
                  <c:v>2E-3</c:v>
                </c:pt>
                <c:pt idx="9">
                  <c:v>2E-3</c:v>
                </c:pt>
                <c:pt idx="10">
                  <c:v>1.9E-3</c:v>
                </c:pt>
                <c:pt idx="11">
                  <c:v>1.8E-3</c:v>
                </c:pt>
                <c:pt idx="12">
                  <c:v>1.6000000000000001E-3</c:v>
                </c:pt>
                <c:pt idx="13">
                  <c:v>1.4E-3</c:v>
                </c:pt>
                <c:pt idx="14">
                  <c:v>1.1999999999999999E-3</c:v>
                </c:pt>
                <c:pt idx="15">
                  <c:v>1E-3</c:v>
                </c:pt>
                <c:pt idx="16">
                  <c:v>8.0000000000000004E-4</c:v>
                </c:pt>
                <c:pt idx="17">
                  <c:v>6.9999999999999999E-4</c:v>
                </c:pt>
                <c:pt idx="18">
                  <c:v>5.9999999999999995E-4</c:v>
                </c:pt>
                <c:pt idx="19">
                  <c:v>5.0000000000000001E-4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AC-D645-9134-442268A614D1}"/>
            </c:ext>
          </c:extLst>
        </c:ser>
        <c:ser>
          <c:idx val="1"/>
          <c:order val="1"/>
          <c:tx>
            <c:strRef>
              <c:f>'Empirical PART 2'!$H$38</c:f>
              <c:strCache>
                <c:ptCount val="1"/>
                <c:pt idx="0">
                  <c:v>τ2=0.44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2'!$H$39:$H$58</c:f>
              <c:numCache>
                <c:formatCode>0.0000</c:formatCode>
                <c:ptCount val="20"/>
                <c:pt idx="0">
                  <c:v>4.0000000000000002E-4</c:v>
                </c:pt>
                <c:pt idx="1">
                  <c:v>5.9999999999999995E-4</c:v>
                </c:pt>
                <c:pt idx="2">
                  <c:v>8.0000000000000004E-4</c:v>
                </c:pt>
                <c:pt idx="3">
                  <c:v>8.9999999999999998E-4</c:v>
                </c:pt>
                <c:pt idx="4">
                  <c:v>1E-3</c:v>
                </c:pt>
                <c:pt idx="5">
                  <c:v>1.1000000000000001E-3</c:v>
                </c:pt>
                <c:pt idx="6">
                  <c:v>1.1999999999999999E-3</c:v>
                </c:pt>
                <c:pt idx="7">
                  <c:v>1.2999999999999999E-3</c:v>
                </c:pt>
                <c:pt idx="8">
                  <c:v>1.4E-3</c:v>
                </c:pt>
                <c:pt idx="9">
                  <c:v>1.4E-3</c:v>
                </c:pt>
                <c:pt idx="10">
                  <c:v>1.4E-3</c:v>
                </c:pt>
                <c:pt idx="11">
                  <c:v>1.4E-3</c:v>
                </c:pt>
                <c:pt idx="12">
                  <c:v>1.2999999999999999E-3</c:v>
                </c:pt>
                <c:pt idx="13">
                  <c:v>1.2999999999999999E-3</c:v>
                </c:pt>
                <c:pt idx="14">
                  <c:v>1.1999999999999999E-3</c:v>
                </c:pt>
                <c:pt idx="15">
                  <c:v>1.1000000000000001E-3</c:v>
                </c:pt>
                <c:pt idx="16">
                  <c:v>1E-3</c:v>
                </c:pt>
                <c:pt idx="17">
                  <c:v>8.9999999999999998E-4</c:v>
                </c:pt>
                <c:pt idx="18">
                  <c:v>8.0000000000000004E-4</c:v>
                </c:pt>
                <c:pt idx="19">
                  <c:v>8.0000000000000004E-4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AC-D645-9134-442268A614D1}"/>
            </c:ext>
          </c:extLst>
        </c:ser>
        <c:ser>
          <c:idx val="2"/>
          <c:order val="2"/>
          <c:tx>
            <c:strRef>
              <c:f>'Empirical PART 2'!$I$38</c:f>
              <c:strCache>
                <c:ptCount val="1"/>
                <c:pt idx="0">
                  <c:v>τ3=0.69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2'!$I$39:$I$58</c:f>
              <c:numCache>
                <c:formatCode>0.0000</c:formatCode>
                <c:ptCount val="20"/>
                <c:pt idx="0">
                  <c:v>4.0000000000000002E-4</c:v>
                </c:pt>
                <c:pt idx="1">
                  <c:v>5.9999999999999995E-4</c:v>
                </c:pt>
                <c:pt idx="2">
                  <c:v>6.9999999999999999E-4</c:v>
                </c:pt>
                <c:pt idx="3">
                  <c:v>8.0000000000000004E-4</c:v>
                </c:pt>
                <c:pt idx="4">
                  <c:v>8.9999999999999998E-4</c:v>
                </c:pt>
                <c:pt idx="5">
                  <c:v>1E-3</c:v>
                </c:pt>
                <c:pt idx="6">
                  <c:v>1E-3</c:v>
                </c:pt>
                <c:pt idx="7">
                  <c:v>1.1000000000000001E-3</c:v>
                </c:pt>
                <c:pt idx="8">
                  <c:v>1.1000000000000001E-3</c:v>
                </c:pt>
                <c:pt idx="9">
                  <c:v>1.1000000000000001E-3</c:v>
                </c:pt>
                <c:pt idx="10">
                  <c:v>1.1000000000000001E-3</c:v>
                </c:pt>
                <c:pt idx="11">
                  <c:v>1.1999999999999999E-3</c:v>
                </c:pt>
                <c:pt idx="12">
                  <c:v>1.1000000000000001E-3</c:v>
                </c:pt>
                <c:pt idx="13">
                  <c:v>1.1000000000000001E-3</c:v>
                </c:pt>
                <c:pt idx="14">
                  <c:v>1.1000000000000001E-3</c:v>
                </c:pt>
                <c:pt idx="15">
                  <c:v>1.1000000000000001E-3</c:v>
                </c:pt>
                <c:pt idx="16">
                  <c:v>1E-3</c:v>
                </c:pt>
                <c:pt idx="17">
                  <c:v>8.9999999999999998E-4</c:v>
                </c:pt>
                <c:pt idx="18">
                  <c:v>8.9999999999999998E-4</c:v>
                </c:pt>
                <c:pt idx="19">
                  <c:v>8.0000000000000004E-4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4AC-D645-9134-442268A614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5401792"/>
        <c:axId val="1825399104"/>
      </c:lineChart>
      <c:catAx>
        <c:axId val="182540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5399104"/>
        <c:crosses val="autoZero"/>
        <c:auto val="1"/>
        <c:lblAlgn val="ctr"/>
        <c:lblOffset val="100"/>
        <c:noMultiLvlLbl val="0"/>
      </c:catAx>
      <c:valAx>
        <c:axId val="1825399104"/>
        <c:scaling>
          <c:orientation val="minMax"/>
          <c:max val="2.500000000000000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5401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 - Call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'Empirical PART 2'!$M$38</c:f>
              <c:strCache>
                <c:ptCount val="1"/>
                <c:pt idx="0">
                  <c:v>τ1=0.19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2'!$M$39:$M$58</c:f>
              <c:numCache>
                <c:formatCode>0.0000</c:formatCode>
                <c:ptCount val="20"/>
                <c:pt idx="0">
                  <c:v>-0.20200000000000001</c:v>
                </c:pt>
                <c:pt idx="1">
                  <c:v>-0.28249999999999997</c:v>
                </c:pt>
                <c:pt idx="2">
                  <c:v>-0.37780000000000002</c:v>
                </c:pt>
                <c:pt idx="3">
                  <c:v>-0.37890000000000001</c:v>
                </c:pt>
                <c:pt idx="4">
                  <c:v>-0.46949999999999997</c:v>
                </c:pt>
                <c:pt idx="5">
                  <c:v>-0.54679999999999995</c:v>
                </c:pt>
                <c:pt idx="6">
                  <c:v>-0.54959999999999998</c:v>
                </c:pt>
                <c:pt idx="7">
                  <c:v>-0.58819999999999995</c:v>
                </c:pt>
                <c:pt idx="8">
                  <c:v>-0.58850000000000002</c:v>
                </c:pt>
                <c:pt idx="9">
                  <c:v>-0.55049999999999999</c:v>
                </c:pt>
                <c:pt idx="10">
                  <c:v>-0.55210000000000004</c:v>
                </c:pt>
                <c:pt idx="11">
                  <c:v>-0.45500000000000002</c:v>
                </c:pt>
                <c:pt idx="12">
                  <c:v>-0.38640000000000002</c:v>
                </c:pt>
                <c:pt idx="13">
                  <c:v>-0.39</c:v>
                </c:pt>
                <c:pt idx="14">
                  <c:v>-0.29149999999999998</c:v>
                </c:pt>
                <c:pt idx="15">
                  <c:v>-0.2974</c:v>
                </c:pt>
                <c:pt idx="16">
                  <c:v>-0.20780000000000001</c:v>
                </c:pt>
                <c:pt idx="17">
                  <c:v>-0.21210000000000001</c:v>
                </c:pt>
                <c:pt idx="18">
                  <c:v>-0.21970000000000001</c:v>
                </c:pt>
                <c:pt idx="19">
                  <c:v>-0.13950000000000001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4-614C-BF7D-2645C75A0D02}"/>
            </c:ext>
          </c:extLst>
        </c:ser>
        <c:ser>
          <c:idx val="1"/>
          <c:order val="1"/>
          <c:tx>
            <c:strRef>
              <c:f>'Empirical PART 2'!$N$38</c:f>
              <c:strCache>
                <c:ptCount val="1"/>
                <c:pt idx="0">
                  <c:v>τ2=0.44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2'!$N$39:$N$58</c:f>
              <c:numCache>
                <c:formatCode>0.0000</c:formatCode>
                <c:ptCount val="20"/>
                <c:pt idx="0">
                  <c:v>-0.17280000000000001</c:v>
                </c:pt>
                <c:pt idx="1">
                  <c:v>-0.23250000000000001</c:v>
                </c:pt>
                <c:pt idx="2">
                  <c:v>-0.29120000000000001</c:v>
                </c:pt>
                <c:pt idx="3">
                  <c:v>-0.29509999999999997</c:v>
                </c:pt>
                <c:pt idx="4">
                  <c:v>-0.34399999999999997</c:v>
                </c:pt>
                <c:pt idx="5">
                  <c:v>-0.34699999999999998</c:v>
                </c:pt>
                <c:pt idx="6">
                  <c:v>-0.37590000000000001</c:v>
                </c:pt>
                <c:pt idx="7">
                  <c:v>-0.37930000000000003</c:v>
                </c:pt>
                <c:pt idx="8">
                  <c:v>-0.38200000000000001</c:v>
                </c:pt>
                <c:pt idx="9">
                  <c:v>-0.38540000000000002</c:v>
                </c:pt>
                <c:pt idx="10">
                  <c:v>-0.36170000000000002</c:v>
                </c:pt>
                <c:pt idx="11">
                  <c:v>-0.35560000000000003</c:v>
                </c:pt>
                <c:pt idx="12">
                  <c:v>-0.31900000000000001</c:v>
                </c:pt>
                <c:pt idx="13">
                  <c:v>-0.3125</c:v>
                </c:pt>
                <c:pt idx="14">
                  <c:v>-0.32650000000000001</c:v>
                </c:pt>
                <c:pt idx="15">
                  <c:v>-0.25509999999999999</c:v>
                </c:pt>
                <c:pt idx="16">
                  <c:v>-0.2661</c:v>
                </c:pt>
                <c:pt idx="17">
                  <c:v>-0.27250000000000002</c:v>
                </c:pt>
                <c:pt idx="18">
                  <c:v>-0.19500000000000001</c:v>
                </c:pt>
                <c:pt idx="19">
                  <c:v>-0.2051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4-614C-BF7D-2645C75A0D02}"/>
            </c:ext>
          </c:extLst>
        </c:ser>
        <c:ser>
          <c:idx val="2"/>
          <c:order val="2"/>
          <c:tx>
            <c:strRef>
              <c:f>'Empirical PART 2'!$O$38</c:f>
              <c:strCache>
                <c:ptCount val="1"/>
                <c:pt idx="0">
                  <c:v>τ3=0.69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2'!$O$39:$O$58</c:f>
              <c:numCache>
                <c:formatCode>0.0000</c:formatCode>
                <c:ptCount val="20"/>
                <c:pt idx="0">
                  <c:v>-0.17230000000000001</c:v>
                </c:pt>
                <c:pt idx="1">
                  <c:v>-0.22</c:v>
                </c:pt>
                <c:pt idx="2">
                  <c:v>-0.2235</c:v>
                </c:pt>
                <c:pt idx="3">
                  <c:v>-0.26240000000000002</c:v>
                </c:pt>
                <c:pt idx="4">
                  <c:v>-0.2651</c:v>
                </c:pt>
                <c:pt idx="5">
                  <c:v>-0.24540000000000001</c:v>
                </c:pt>
                <c:pt idx="6">
                  <c:v>-0.29199999999999998</c:v>
                </c:pt>
                <c:pt idx="7">
                  <c:v>-0.29630000000000001</c:v>
                </c:pt>
                <c:pt idx="8">
                  <c:v>-0.29930000000000001</c:v>
                </c:pt>
                <c:pt idx="9">
                  <c:v>-0.3014</c:v>
                </c:pt>
                <c:pt idx="10">
                  <c:v>-0.307</c:v>
                </c:pt>
                <c:pt idx="11">
                  <c:v>-0.28570000000000001</c:v>
                </c:pt>
                <c:pt idx="12">
                  <c:v>-0.28849999999999998</c:v>
                </c:pt>
                <c:pt idx="13">
                  <c:v>-0.25230000000000002</c:v>
                </c:pt>
                <c:pt idx="14">
                  <c:v>-0.253</c:v>
                </c:pt>
                <c:pt idx="15">
                  <c:v>-0.24260000000000001</c:v>
                </c:pt>
                <c:pt idx="16">
                  <c:v>-0.1943</c:v>
                </c:pt>
                <c:pt idx="17">
                  <c:v>-0.20860000000000001</c:v>
                </c:pt>
                <c:pt idx="18">
                  <c:v>-0.21110000000000001</c:v>
                </c:pt>
                <c:pt idx="19">
                  <c:v>-0.21490000000000001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4-614C-BF7D-2645C75A0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4921664"/>
        <c:axId val="1814925248"/>
      </c:lineChart>
      <c:catAx>
        <c:axId val="1814921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4925248"/>
        <c:crosses val="autoZero"/>
        <c:auto val="1"/>
        <c:lblAlgn val="ctr"/>
        <c:lblOffset val="100"/>
        <c:noMultiLvlLbl val="0"/>
      </c:catAx>
      <c:valAx>
        <c:axId val="1814925248"/>
        <c:scaling>
          <c:orientation val="minMax"/>
          <c:max val="0"/>
          <c:min val="-0.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4921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Vega - Call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'Empirical PART 2'!$R$38</c:f>
              <c:strCache>
                <c:ptCount val="1"/>
                <c:pt idx="0">
                  <c:v>τ1=0.19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2'!$R$39:$R$58</c:f>
              <c:numCache>
                <c:formatCode>0.0000</c:formatCode>
                <c:ptCount val="20"/>
                <c:pt idx="0">
                  <c:v>0.33489999999999998</c:v>
                </c:pt>
                <c:pt idx="1">
                  <c:v>0.54210000000000003</c:v>
                </c:pt>
                <c:pt idx="2">
                  <c:v>0.7752</c:v>
                </c:pt>
                <c:pt idx="3">
                  <c:v>0.80149999999999999</c:v>
                </c:pt>
                <c:pt idx="4">
                  <c:v>1.0527</c:v>
                </c:pt>
                <c:pt idx="5">
                  <c:v>1.2738</c:v>
                </c:pt>
                <c:pt idx="6">
                  <c:v>1.3113999999999999</c:v>
                </c:pt>
                <c:pt idx="7">
                  <c:v>1.4607000000000001</c:v>
                </c:pt>
                <c:pt idx="8">
                  <c:v>1.5004999999999999</c:v>
                </c:pt>
                <c:pt idx="9">
                  <c:v>1.4212</c:v>
                </c:pt>
                <c:pt idx="10">
                  <c:v>1.4570000000000001</c:v>
                </c:pt>
                <c:pt idx="11">
                  <c:v>1.2733000000000001</c:v>
                </c:pt>
                <c:pt idx="12">
                  <c:v>1.0213000000000001</c:v>
                </c:pt>
                <c:pt idx="13">
                  <c:v>1.044</c:v>
                </c:pt>
                <c:pt idx="14">
                  <c:v>0.77170000000000005</c:v>
                </c:pt>
                <c:pt idx="15">
                  <c:v>0.78720000000000001</c:v>
                </c:pt>
                <c:pt idx="16">
                  <c:v>0.5343</c:v>
                </c:pt>
                <c:pt idx="17">
                  <c:v>0.54410000000000003</c:v>
                </c:pt>
                <c:pt idx="18">
                  <c:v>0.55330000000000001</c:v>
                </c:pt>
                <c:pt idx="19">
                  <c:v>0.34470000000000001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13-424D-8531-F5C64C8E7654}"/>
            </c:ext>
          </c:extLst>
        </c:ser>
        <c:ser>
          <c:idx val="1"/>
          <c:order val="1"/>
          <c:tx>
            <c:strRef>
              <c:f>'Empirical PART 2'!$S$38</c:f>
              <c:strCache>
                <c:ptCount val="1"/>
                <c:pt idx="0">
                  <c:v>τ2=0.44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2'!$S$39:$S$58</c:f>
              <c:numCache>
                <c:formatCode>0.0000</c:formatCode>
                <c:ptCount val="20"/>
                <c:pt idx="0">
                  <c:v>0.746</c:v>
                </c:pt>
                <c:pt idx="1">
                  <c:v>1.1152</c:v>
                </c:pt>
                <c:pt idx="2">
                  <c:v>1.4719</c:v>
                </c:pt>
                <c:pt idx="3">
                  <c:v>1.5235000000000001</c:v>
                </c:pt>
                <c:pt idx="4">
                  <c:v>1.8478000000000001</c:v>
                </c:pt>
                <c:pt idx="5">
                  <c:v>1.9065000000000001</c:v>
                </c:pt>
                <c:pt idx="6">
                  <c:v>2.1280000000000001</c:v>
                </c:pt>
                <c:pt idx="7">
                  <c:v>2.1899000000000002</c:v>
                </c:pt>
                <c:pt idx="8">
                  <c:v>2.2509000000000001</c:v>
                </c:pt>
                <c:pt idx="9">
                  <c:v>2.3111000000000002</c:v>
                </c:pt>
                <c:pt idx="10">
                  <c:v>2.1880000000000002</c:v>
                </c:pt>
                <c:pt idx="11">
                  <c:v>2.2454000000000001</c:v>
                </c:pt>
                <c:pt idx="12">
                  <c:v>1.9545999999999999</c:v>
                </c:pt>
                <c:pt idx="13">
                  <c:v>2.0034000000000001</c:v>
                </c:pt>
                <c:pt idx="14">
                  <c:v>2.0428999999999999</c:v>
                </c:pt>
                <c:pt idx="15">
                  <c:v>1.6428</c:v>
                </c:pt>
                <c:pt idx="16">
                  <c:v>1.6718999999999999</c:v>
                </c:pt>
                <c:pt idx="17">
                  <c:v>1.7032</c:v>
                </c:pt>
                <c:pt idx="18">
                  <c:v>1.2612000000000001</c:v>
                </c:pt>
                <c:pt idx="19">
                  <c:v>1.2790999999999999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13-424D-8531-F5C64C8E7654}"/>
            </c:ext>
          </c:extLst>
        </c:ser>
        <c:ser>
          <c:idx val="2"/>
          <c:order val="2"/>
          <c:tx>
            <c:strRef>
              <c:f>'Empirical PART 2'!$T$38</c:f>
              <c:strCache>
                <c:ptCount val="1"/>
                <c:pt idx="0">
                  <c:v>τ3=0.69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2'!$T$39:$T$58</c:f>
              <c:numCache>
                <c:formatCode>0.0000</c:formatCode>
                <c:ptCount val="20"/>
                <c:pt idx="0">
                  <c:v>1.2661</c:v>
                </c:pt>
                <c:pt idx="1">
                  <c:v>1.7484999999999999</c:v>
                </c:pt>
                <c:pt idx="2">
                  <c:v>1.8148</c:v>
                </c:pt>
                <c:pt idx="3">
                  <c:v>2.2071999999999998</c:v>
                </c:pt>
                <c:pt idx="4">
                  <c:v>2.2820999999999998</c:v>
                </c:pt>
                <c:pt idx="5">
                  <c:v>2.3611</c:v>
                </c:pt>
                <c:pt idx="6">
                  <c:v>2.6318999999999999</c:v>
                </c:pt>
                <c:pt idx="7">
                  <c:v>2.7101000000000002</c:v>
                </c:pt>
                <c:pt idx="8">
                  <c:v>2.7871999999999999</c:v>
                </c:pt>
                <c:pt idx="9">
                  <c:v>2.8635999999999999</c:v>
                </c:pt>
                <c:pt idx="10">
                  <c:v>2.9384000000000001</c:v>
                </c:pt>
                <c:pt idx="11">
                  <c:v>2.7816999999999998</c:v>
                </c:pt>
                <c:pt idx="12">
                  <c:v>2.8498000000000001</c:v>
                </c:pt>
                <c:pt idx="13">
                  <c:v>2.4839000000000002</c:v>
                </c:pt>
                <c:pt idx="14">
                  <c:v>2.5413999999999999</c:v>
                </c:pt>
                <c:pt idx="15">
                  <c:v>2.6132</c:v>
                </c:pt>
                <c:pt idx="16">
                  <c:v>2.0985999999999998</c:v>
                </c:pt>
                <c:pt idx="17">
                  <c:v>2.1255000000000002</c:v>
                </c:pt>
                <c:pt idx="18">
                  <c:v>2.1671999999999998</c:v>
                </c:pt>
                <c:pt idx="19">
                  <c:v>2.2069999999999999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13-424D-8531-F5C64C8E76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4855360"/>
        <c:axId val="1834857152"/>
      </c:lineChart>
      <c:catAx>
        <c:axId val="183485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857152"/>
        <c:crosses val="autoZero"/>
        <c:auto val="1"/>
        <c:lblAlgn val="ctr"/>
        <c:lblOffset val="100"/>
        <c:noMultiLvlLbl val="0"/>
      </c:catAx>
      <c:valAx>
        <c:axId val="183485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855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 - Call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'Empirical PART 2'!$W$38</c:f>
              <c:strCache>
                <c:ptCount val="1"/>
                <c:pt idx="0">
                  <c:v>τ1=0.19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2'!$W$39:$W$58</c:f>
              <c:numCache>
                <c:formatCode>0.0000</c:formatCode>
                <c:ptCount val="20"/>
                <c:pt idx="0">
                  <c:v>0.91649999999999998</c:v>
                </c:pt>
                <c:pt idx="1">
                  <c:v>0.99719999999999998</c:v>
                </c:pt>
                <c:pt idx="2">
                  <c:v>1.014</c:v>
                </c:pt>
                <c:pt idx="3">
                  <c:v>1.0097</c:v>
                </c:pt>
                <c:pt idx="4">
                  <c:v>0.98660000000000003</c:v>
                </c:pt>
                <c:pt idx="5">
                  <c:v>0.94179999999999997</c:v>
                </c:pt>
                <c:pt idx="6">
                  <c:v>0.87739999999999996</c:v>
                </c:pt>
                <c:pt idx="7">
                  <c:v>0.79649999999999999</c:v>
                </c:pt>
                <c:pt idx="8">
                  <c:v>0.70420000000000005</c:v>
                </c:pt>
                <c:pt idx="9">
                  <c:v>0.60589999999999999</c:v>
                </c:pt>
                <c:pt idx="10">
                  <c:v>0.50839999999999996</c:v>
                </c:pt>
                <c:pt idx="11">
                  <c:v>0.40260000000000001</c:v>
                </c:pt>
                <c:pt idx="12">
                  <c:v>0.33850000000000002</c:v>
                </c:pt>
                <c:pt idx="13">
                  <c:v>0.2707</c:v>
                </c:pt>
                <c:pt idx="14">
                  <c:v>0.21529999999999999</c:v>
                </c:pt>
                <c:pt idx="15">
                  <c:v>0.1709</c:v>
                </c:pt>
                <c:pt idx="16">
                  <c:v>0.13930000000000001</c:v>
                </c:pt>
                <c:pt idx="17">
                  <c:v>0.11210000000000001</c:v>
                </c:pt>
                <c:pt idx="18">
                  <c:v>9.1200000000000003E-2</c:v>
                </c:pt>
                <c:pt idx="19">
                  <c:v>7.51E-2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B5-CB49-824E-7B87A5042926}"/>
            </c:ext>
          </c:extLst>
        </c:ser>
        <c:ser>
          <c:idx val="1"/>
          <c:order val="1"/>
          <c:tx>
            <c:strRef>
              <c:f>'Empirical PART 2'!$X$38</c:f>
              <c:strCache>
                <c:ptCount val="1"/>
                <c:pt idx="0">
                  <c:v>τ2=0.44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2'!$X$39:$X$58</c:f>
              <c:numCache>
                <c:formatCode>0.0000</c:formatCode>
                <c:ptCount val="20"/>
                <c:pt idx="0">
                  <c:v>1.9188000000000001</c:v>
                </c:pt>
                <c:pt idx="1">
                  <c:v>2.0232000000000001</c:v>
                </c:pt>
                <c:pt idx="2">
                  <c:v>2.0327999999999999</c:v>
                </c:pt>
                <c:pt idx="3">
                  <c:v>2.0135999999999998</c:v>
                </c:pt>
                <c:pt idx="4">
                  <c:v>1.9722</c:v>
                </c:pt>
                <c:pt idx="5">
                  <c:v>1.9064000000000001</c:v>
                </c:pt>
                <c:pt idx="6">
                  <c:v>1.8201000000000001</c:v>
                </c:pt>
                <c:pt idx="7">
                  <c:v>1.7138</c:v>
                </c:pt>
                <c:pt idx="8">
                  <c:v>1.5959000000000001</c:v>
                </c:pt>
                <c:pt idx="9">
                  <c:v>1.4666999999999999</c:v>
                </c:pt>
                <c:pt idx="10">
                  <c:v>1.3354999999999999</c:v>
                </c:pt>
                <c:pt idx="11">
                  <c:v>1.1919</c:v>
                </c:pt>
                <c:pt idx="12">
                  <c:v>1.0757000000000001</c:v>
                </c:pt>
                <c:pt idx="13">
                  <c:v>0.93589999999999995</c:v>
                </c:pt>
                <c:pt idx="14">
                  <c:v>0.84250000000000003</c:v>
                </c:pt>
                <c:pt idx="15">
                  <c:v>0.71730000000000005</c:v>
                </c:pt>
                <c:pt idx="16">
                  <c:v>0.65059999999999996</c:v>
                </c:pt>
                <c:pt idx="17">
                  <c:v>0.57079999999999997</c:v>
                </c:pt>
                <c:pt idx="18">
                  <c:v>0.46739999999999998</c:v>
                </c:pt>
                <c:pt idx="19">
                  <c:v>0.43819999999999998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B5-CB49-824E-7B87A5042926}"/>
            </c:ext>
          </c:extLst>
        </c:ser>
        <c:ser>
          <c:idx val="2"/>
          <c:order val="2"/>
          <c:tx>
            <c:strRef>
              <c:f>'Empirical PART 2'!$Y$38</c:f>
              <c:strCache>
                <c:ptCount val="1"/>
                <c:pt idx="0">
                  <c:v>τ3=0.69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2'!$Y$39:$Y$58</c:f>
              <c:numCache>
                <c:formatCode>0.0000</c:formatCode>
                <c:ptCount val="20"/>
                <c:pt idx="0">
                  <c:v>2.8144</c:v>
                </c:pt>
                <c:pt idx="1">
                  <c:v>2.9339</c:v>
                </c:pt>
                <c:pt idx="2">
                  <c:v>2.9426000000000001</c:v>
                </c:pt>
                <c:pt idx="3">
                  <c:v>2.9218000000000002</c:v>
                </c:pt>
                <c:pt idx="4">
                  <c:v>2.8704000000000001</c:v>
                </c:pt>
                <c:pt idx="5">
                  <c:v>2.9199000000000002</c:v>
                </c:pt>
                <c:pt idx="6">
                  <c:v>2.6983999999999999</c:v>
                </c:pt>
                <c:pt idx="7">
                  <c:v>2.5802</c:v>
                </c:pt>
                <c:pt idx="8">
                  <c:v>2.4499</c:v>
                </c:pt>
                <c:pt idx="9">
                  <c:v>2.3052999999999999</c:v>
                </c:pt>
                <c:pt idx="10">
                  <c:v>2.1541999999999999</c:v>
                </c:pt>
                <c:pt idx="11">
                  <c:v>2.0001000000000002</c:v>
                </c:pt>
                <c:pt idx="12">
                  <c:v>1.8428</c:v>
                </c:pt>
                <c:pt idx="13">
                  <c:v>1.6903999999999999</c:v>
                </c:pt>
                <c:pt idx="14">
                  <c:v>1.542</c:v>
                </c:pt>
                <c:pt idx="15">
                  <c:v>1.327</c:v>
                </c:pt>
                <c:pt idx="16">
                  <c:v>1.1843999999999999</c:v>
                </c:pt>
                <c:pt idx="17">
                  <c:v>1.1467000000000001</c:v>
                </c:pt>
                <c:pt idx="18">
                  <c:v>1.0334000000000001</c:v>
                </c:pt>
                <c:pt idx="19">
                  <c:v>0.93030000000000002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B5-CB49-824E-7B87A5042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0686656"/>
        <c:axId val="1830688448"/>
      </c:lineChart>
      <c:catAx>
        <c:axId val="183068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0688448"/>
        <c:crosses val="autoZero"/>
        <c:auto val="1"/>
        <c:lblAlgn val="ctr"/>
        <c:lblOffset val="100"/>
        <c:noMultiLvlLbl val="0"/>
      </c:catAx>
      <c:valAx>
        <c:axId val="1830688448"/>
        <c:scaling>
          <c:orientation val="minMax"/>
          <c:max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068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ImpVol</a:t>
            </a:r>
            <a:r>
              <a:rPr lang="en-US" baseline="0"/>
              <a:t> - Put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'Empirical PART 2'!$O$5</c:f>
              <c:strCache>
                <c:ptCount val="1"/>
                <c:pt idx="0">
                  <c:v>τ1=0.19</c:v>
                </c:pt>
              </c:strCache>
            </c:strRef>
          </c:tx>
          <c:spPr>
            <a:solidFill>
              <a:schemeClr val="accent2">
                <a:tint val="65000"/>
              </a:schemeClr>
            </a:solidFill>
            <a:ln/>
            <a:effectLst/>
            <a:sp3d/>
          </c:spPr>
          <c:cat>
            <c:numRef>
              <c:f>'Empirical PART 2'!$A$6:$A$22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 formatCode="#,##0">
                  <c:v>1000</c:v>
                </c:pt>
                <c:pt idx="12" formatCode="#,##0">
                  <c:v>1040</c:v>
                </c:pt>
                <c:pt idx="13" formatCode="#,##0">
                  <c:v>1080</c:v>
                </c:pt>
                <c:pt idx="14" formatCode="#,##0">
                  <c:v>1120</c:v>
                </c:pt>
                <c:pt idx="15" formatCode="#,##0">
                  <c:v>1160</c:v>
                </c:pt>
                <c:pt idx="16" formatCode="#,##0">
                  <c:v>1200</c:v>
                </c:pt>
              </c:numCache>
            </c:numRef>
          </c:cat>
          <c:val>
            <c:numRef>
              <c:f>'Empirical PART 2'!$O$6:$O$22</c:f>
              <c:numCache>
                <c:formatCode>General</c:formatCode>
                <c:ptCount val="17"/>
                <c:pt idx="0">
                  <c:v>104.15179999999999</c:v>
                </c:pt>
                <c:pt idx="1">
                  <c:v>63.049900000000001</c:v>
                </c:pt>
                <c:pt idx="2">
                  <c:v>61.114800000000002</c:v>
                </c:pt>
                <c:pt idx="3">
                  <c:v>59.050600000000003</c:v>
                </c:pt>
                <c:pt idx="4">
                  <c:v>57.281199999999998</c:v>
                </c:pt>
                <c:pt idx="5">
                  <c:v>55.905500000000004</c:v>
                </c:pt>
                <c:pt idx="6">
                  <c:v>54.820900000000002</c:v>
                </c:pt>
                <c:pt idx="7">
                  <c:v>53.146500000000003</c:v>
                </c:pt>
                <c:pt idx="8">
                  <c:v>52.026899999999998</c:v>
                </c:pt>
                <c:pt idx="9">
                  <c:v>51.465000000000003</c:v>
                </c:pt>
                <c:pt idx="10">
                  <c:v>50.607599999999998</c:v>
                </c:pt>
                <c:pt idx="11">
                  <c:v>50.028799999999997</c:v>
                </c:pt>
                <c:pt idx="12">
                  <c:v>50.147399999999998</c:v>
                </c:pt>
                <c:pt idx="13">
                  <c:v>49.803600000000003</c:v>
                </c:pt>
                <c:pt idx="14">
                  <c:v>50.104900000000001</c:v>
                </c:pt>
                <c:pt idx="15">
                  <c:v>50.426400000000001</c:v>
                </c:pt>
                <c:pt idx="16">
                  <c:v>50.542999999999999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75-6F41-AF21-E60D6CDC809D}"/>
            </c:ext>
          </c:extLst>
        </c:ser>
        <c:ser>
          <c:idx val="1"/>
          <c:order val="1"/>
          <c:tx>
            <c:strRef>
              <c:f>'Empirical PART 2'!$P$5</c:f>
              <c:strCache>
                <c:ptCount val="1"/>
                <c:pt idx="0">
                  <c:v>τ2=0.44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'Empirical PART 2'!$A$6:$A$22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 formatCode="#,##0">
                  <c:v>1000</c:v>
                </c:pt>
                <c:pt idx="12" formatCode="#,##0">
                  <c:v>1040</c:v>
                </c:pt>
                <c:pt idx="13" formatCode="#,##0">
                  <c:v>1080</c:v>
                </c:pt>
                <c:pt idx="14" formatCode="#,##0">
                  <c:v>1120</c:v>
                </c:pt>
                <c:pt idx="15" formatCode="#,##0">
                  <c:v>1160</c:v>
                </c:pt>
                <c:pt idx="16" formatCode="#,##0">
                  <c:v>1200</c:v>
                </c:pt>
              </c:numCache>
            </c:numRef>
          </c:cat>
          <c:val>
            <c:numRef>
              <c:f>'Empirical PART 2'!$P$6:$P$22</c:f>
              <c:numCache>
                <c:formatCode>General</c:formatCode>
                <c:ptCount val="17"/>
                <c:pt idx="0">
                  <c:v>60.632300000000001</c:v>
                </c:pt>
                <c:pt idx="1">
                  <c:v>57.26</c:v>
                </c:pt>
                <c:pt idx="2">
                  <c:v>56.250500000000002</c:v>
                </c:pt>
                <c:pt idx="3">
                  <c:v>55.1661</c:v>
                </c:pt>
                <c:pt idx="4">
                  <c:v>54.071199999999997</c:v>
                </c:pt>
                <c:pt idx="5">
                  <c:v>53.134999999999998</c:v>
                </c:pt>
                <c:pt idx="6">
                  <c:v>53.620100000000001</c:v>
                </c:pt>
                <c:pt idx="7">
                  <c:v>51.372500000000002</c:v>
                </c:pt>
                <c:pt idx="8">
                  <c:v>50.631999999999998</c:v>
                </c:pt>
                <c:pt idx="9">
                  <c:v>49.964599999999997</c:v>
                </c:pt>
                <c:pt idx="10">
                  <c:v>49.551699999999997</c:v>
                </c:pt>
                <c:pt idx="11">
                  <c:v>49.013500000000001</c:v>
                </c:pt>
                <c:pt idx="12">
                  <c:v>49.044499999999999</c:v>
                </c:pt>
                <c:pt idx="13">
                  <c:v>48.42</c:v>
                </c:pt>
                <c:pt idx="14">
                  <c:v>48.58</c:v>
                </c:pt>
                <c:pt idx="15">
                  <c:v>48.254899999999999</c:v>
                </c:pt>
                <c:pt idx="16">
                  <c:v>48.261800000000001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75-6F41-AF21-E60D6CDC809D}"/>
            </c:ext>
          </c:extLst>
        </c:ser>
        <c:ser>
          <c:idx val="2"/>
          <c:order val="2"/>
          <c:tx>
            <c:strRef>
              <c:f>'Empirical PART 2'!$Q$5</c:f>
              <c:strCache>
                <c:ptCount val="1"/>
                <c:pt idx="0">
                  <c:v>τ3=0.69</c:v>
                </c:pt>
              </c:strCache>
            </c:strRef>
          </c:tx>
          <c:spPr>
            <a:solidFill>
              <a:schemeClr val="accent2">
                <a:shade val="65000"/>
              </a:schemeClr>
            </a:solidFill>
            <a:ln/>
            <a:effectLst/>
            <a:sp3d/>
          </c:spPr>
          <c:cat>
            <c:numRef>
              <c:f>'Empirical PART 2'!$A$6:$A$22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 formatCode="#,##0">
                  <c:v>1000</c:v>
                </c:pt>
                <c:pt idx="12" formatCode="#,##0">
                  <c:v>1040</c:v>
                </c:pt>
                <c:pt idx="13" formatCode="#,##0">
                  <c:v>1080</c:v>
                </c:pt>
                <c:pt idx="14" formatCode="#,##0">
                  <c:v>1120</c:v>
                </c:pt>
                <c:pt idx="15" formatCode="#,##0">
                  <c:v>1160</c:v>
                </c:pt>
                <c:pt idx="16" formatCode="#,##0">
                  <c:v>1200</c:v>
                </c:pt>
              </c:numCache>
            </c:numRef>
          </c:cat>
          <c:val>
            <c:numRef>
              <c:f>'Empirical PART 2'!$Q$6:$Q$22</c:f>
              <c:numCache>
                <c:formatCode>General</c:formatCode>
                <c:ptCount val="17"/>
                <c:pt idx="0">
                  <c:v>55.903700000000001</c:v>
                </c:pt>
                <c:pt idx="1">
                  <c:v>53.928600000000003</c:v>
                </c:pt>
                <c:pt idx="2">
                  <c:v>52.935899999999997</c:v>
                </c:pt>
                <c:pt idx="3">
                  <c:v>52.4131</c:v>
                </c:pt>
                <c:pt idx="4">
                  <c:v>51.398000000000003</c:v>
                </c:pt>
                <c:pt idx="5">
                  <c:v>51.200299999999999</c:v>
                </c:pt>
                <c:pt idx="6">
                  <c:v>53.0289</c:v>
                </c:pt>
                <c:pt idx="7">
                  <c:v>49.617800000000003</c:v>
                </c:pt>
                <c:pt idx="8">
                  <c:v>49.013399999999997</c:v>
                </c:pt>
                <c:pt idx="9">
                  <c:v>48.319299999999998</c:v>
                </c:pt>
                <c:pt idx="10">
                  <c:v>48.238799999999998</c:v>
                </c:pt>
                <c:pt idx="11">
                  <c:v>47.358699999999999</c:v>
                </c:pt>
                <c:pt idx="12">
                  <c:v>46.997199999999999</c:v>
                </c:pt>
                <c:pt idx="13">
                  <c:v>46.889200000000002</c:v>
                </c:pt>
                <c:pt idx="14">
                  <c:v>46.212400000000002</c:v>
                </c:pt>
                <c:pt idx="15">
                  <c:v>46.073999999999998</c:v>
                </c:pt>
                <c:pt idx="16">
                  <c:v>46.045299999999997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75-6F41-AF21-E60D6CDC809D}"/>
            </c:ext>
          </c:extLst>
        </c:ser>
        <c:bandFmts>
          <c:bandFmt>
            <c:idx val="0"/>
            <c:spPr>
              <a:solidFill>
                <a:schemeClr val="accent2">
                  <a:tint val="46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tint val="62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tint val="77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>
                  <a:tint val="93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shade val="92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>
                  <a:shade val="76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shade val="61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shade val="45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shade val="4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shade val="4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shade val="45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shade val="45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shade val="45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shade val="4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shade val="45000"/>
                </a:schemeClr>
              </a:solidFill>
              <a:ln/>
              <a:effectLst/>
              <a:sp3d/>
            </c:spPr>
          </c:bandFmt>
        </c:bandFmts>
        <c:axId val="2060843456"/>
        <c:axId val="2060844352"/>
        <c:axId val="2056692224"/>
      </c:surface3DChart>
      <c:catAx>
        <c:axId val="2060843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844352"/>
        <c:crosses val="autoZero"/>
        <c:auto val="1"/>
        <c:lblAlgn val="ctr"/>
        <c:lblOffset val="100"/>
        <c:noMultiLvlLbl val="0"/>
      </c:catAx>
      <c:valAx>
        <c:axId val="2060844352"/>
        <c:scaling>
          <c:orientation val="minMax"/>
          <c:max val="75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Imp</a:t>
                </a:r>
                <a:r>
                  <a:rPr lang="en-US" baseline="0"/>
                  <a:t> Vol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843456"/>
        <c:crosses val="autoZero"/>
        <c:crossBetween val="midCat"/>
      </c:valAx>
      <c:serAx>
        <c:axId val="2056692224"/>
        <c:scaling>
          <c:orientation val="minMax"/>
        </c:scaling>
        <c:delete val="1"/>
        <c:axPos val="b"/>
        <c:majorTickMark val="out"/>
        <c:minorTickMark val="none"/>
        <c:tickLblPos val="nextTo"/>
        <c:crossAx val="206084435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DELTA - CALL (VBA)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1"/>
          <c:order val="0"/>
          <c:tx>
            <c:strRef>
              <c:f>'Merge PART 3'!$B$38</c:f>
              <c:strCache>
                <c:ptCount val="1"/>
                <c:pt idx="0">
                  <c:v>τ1 =0.19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'Merge PART 3'!$A$39:$A$55</c:f>
              <c:numCache>
                <c:formatCode>0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'Merge PART 3'!$B$39:$B$55</c:f>
              <c:numCache>
                <c:formatCode>0.00000</c:formatCode>
                <c:ptCount val="17"/>
                <c:pt idx="0">
                  <c:v>0.95967054569160748</c:v>
                </c:pt>
                <c:pt idx="1">
                  <c:v>0.92182908919018036</c:v>
                </c:pt>
                <c:pt idx="2">
                  <c:v>0.89029128220747444</c:v>
                </c:pt>
                <c:pt idx="3">
                  <c:v>0.84814679492038725</c:v>
                </c:pt>
                <c:pt idx="4">
                  <c:v>0.79839125684110601</c:v>
                </c:pt>
                <c:pt idx="5">
                  <c:v>0.73685594094105999</c:v>
                </c:pt>
                <c:pt idx="6">
                  <c:v>0.66659586472139121</c:v>
                </c:pt>
                <c:pt idx="7">
                  <c:v>0.59074602391439801</c:v>
                </c:pt>
                <c:pt idx="8">
                  <c:v>0.51090550130984869</c:v>
                </c:pt>
                <c:pt idx="9">
                  <c:v>0.43268855584732291</c:v>
                </c:pt>
                <c:pt idx="10">
                  <c:v>0.3572002738249489</c:v>
                </c:pt>
                <c:pt idx="11">
                  <c:v>0.27647853749627216</c:v>
                </c:pt>
                <c:pt idx="12">
                  <c:v>0.23481156614515294</c:v>
                </c:pt>
                <c:pt idx="13">
                  <c:v>0.18415495909419974</c:v>
                </c:pt>
                <c:pt idx="14">
                  <c:v>0.14679652244440933</c:v>
                </c:pt>
                <c:pt idx="15">
                  <c:v>0.11519679593413786</c:v>
                </c:pt>
                <c:pt idx="16">
                  <c:v>9.5336853619206768E-2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9B-0B44-BE3A-AE5750BDBA1F}"/>
            </c:ext>
          </c:extLst>
        </c:ser>
        <c:ser>
          <c:idx val="2"/>
          <c:order val="1"/>
          <c:tx>
            <c:strRef>
              <c:f>'Merge PART 3'!$C$38</c:f>
              <c:strCache>
                <c:ptCount val="1"/>
                <c:pt idx="0">
                  <c:v>τ2=0.44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'Merge PART 3'!$A$39:$A$55</c:f>
              <c:numCache>
                <c:formatCode>0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'Merge PART 3'!$C$39:$C$55</c:f>
              <c:numCache>
                <c:formatCode>0.00000</c:formatCode>
                <c:ptCount val="17"/>
                <c:pt idx="0">
                  <c:v>0.92365614466320922</c:v>
                </c:pt>
                <c:pt idx="1">
                  <c:v>0.87205606470260155</c:v>
                </c:pt>
                <c:pt idx="2">
                  <c:v>0.83808439836709236</c:v>
                </c:pt>
                <c:pt idx="3">
                  <c:v>0.79850708543053395</c:v>
                </c:pt>
                <c:pt idx="4">
                  <c:v>0.75527960813107575</c:v>
                </c:pt>
                <c:pt idx="5">
                  <c:v>0.70776060673895946</c:v>
                </c:pt>
                <c:pt idx="6">
                  <c:v>0.65725911612420107</c:v>
                </c:pt>
                <c:pt idx="7">
                  <c:v>0.6045187974183962</c:v>
                </c:pt>
                <c:pt idx="8">
                  <c:v>0.55073320654529412</c:v>
                </c:pt>
                <c:pt idx="9">
                  <c:v>0.4972484834884574</c:v>
                </c:pt>
                <c:pt idx="10">
                  <c:v>0.44569050854758441</c:v>
                </c:pt>
                <c:pt idx="11">
                  <c:v>0.38926750243357178</c:v>
                </c:pt>
                <c:pt idx="12">
                  <c:v>0.35141659014013388</c:v>
                </c:pt>
                <c:pt idx="13">
                  <c:v>0.29858442320646417</c:v>
                </c:pt>
                <c:pt idx="14">
                  <c:v>0.26974668804342072</c:v>
                </c:pt>
                <c:pt idx="15">
                  <c:v>0.22534520833422331</c:v>
                </c:pt>
                <c:pt idx="16">
                  <c:v>0.20432925540652436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9B-0B44-BE3A-AE5750BDBA1F}"/>
            </c:ext>
          </c:extLst>
        </c:ser>
        <c:ser>
          <c:idx val="3"/>
          <c:order val="2"/>
          <c:tx>
            <c:strRef>
              <c:f>'Merge PART 3'!$D$38</c:f>
              <c:strCache>
                <c:ptCount val="1"/>
                <c:pt idx="0">
                  <c:v>τ3=0.69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'Merge PART 3'!$A$39:$A$55</c:f>
              <c:numCache>
                <c:formatCode>0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'Merge PART 3'!$D$39:$D$55</c:f>
              <c:numCache>
                <c:formatCode>0.00000</c:formatCode>
                <c:ptCount val="17"/>
                <c:pt idx="0">
                  <c:v>0.90510335512554108</c:v>
                </c:pt>
                <c:pt idx="1">
                  <c:v>0.85104867009677854</c:v>
                </c:pt>
                <c:pt idx="2">
                  <c:v>0.81856009713340927</c:v>
                </c:pt>
                <c:pt idx="3">
                  <c:v>0.78244766044403846</c:v>
                </c:pt>
                <c:pt idx="4">
                  <c:v>0.74426799043296132</c:v>
                </c:pt>
                <c:pt idx="5">
                  <c:v>0.70834778215313687</c:v>
                </c:pt>
                <c:pt idx="6">
                  <c:v>0.66094771282832809</c:v>
                </c:pt>
                <c:pt idx="7">
                  <c:v>0.61751241672515844</c:v>
                </c:pt>
                <c:pt idx="8">
                  <c:v>0.57352529095135973</c:v>
                </c:pt>
                <c:pt idx="9">
                  <c:v>0.52924311314449612</c:v>
                </c:pt>
                <c:pt idx="10">
                  <c:v>0.48753353899696666</c:v>
                </c:pt>
                <c:pt idx="11">
                  <c:v>0.44421414974775913</c:v>
                </c:pt>
                <c:pt idx="12">
                  <c:v>0.40391347043691311</c:v>
                </c:pt>
                <c:pt idx="13">
                  <c:v>0.36780725447657869</c:v>
                </c:pt>
                <c:pt idx="14">
                  <c:v>0.32964512117015465</c:v>
                </c:pt>
                <c:pt idx="15">
                  <c:v>0.27760315506841865</c:v>
                </c:pt>
                <c:pt idx="16">
                  <c:v>0.24470363716495391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9B-0B44-BE3A-AE5750BDBA1F}"/>
            </c:ext>
          </c:extLst>
        </c:ser>
        <c:bandFmts>
          <c:bandFmt>
            <c:idx val="0"/>
            <c:spPr>
              <a:solidFill>
                <a:schemeClr val="accent1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</c:bandFmts>
        <c:axId val="1621324927"/>
        <c:axId val="1621327167"/>
        <c:axId val="669270015"/>
      </c:surface3DChart>
      <c:catAx>
        <c:axId val="162132492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1327167"/>
        <c:crosses val="autoZero"/>
        <c:auto val="1"/>
        <c:lblAlgn val="ctr"/>
        <c:lblOffset val="100"/>
        <c:noMultiLvlLbl val="0"/>
      </c:catAx>
      <c:valAx>
        <c:axId val="1621327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1324927"/>
        <c:crosses val="autoZero"/>
        <c:crossBetween val="midCat"/>
      </c:valAx>
      <c:serAx>
        <c:axId val="669270015"/>
        <c:scaling>
          <c:orientation val="minMax"/>
        </c:scaling>
        <c:delete val="1"/>
        <c:axPos val="b"/>
        <c:majorTickMark val="out"/>
        <c:minorTickMark val="none"/>
        <c:tickLblPos val="nextTo"/>
        <c:crossAx val="1621327167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 - CALL (VBA)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1"/>
          <c:order val="0"/>
          <c:tx>
            <c:strRef>
              <c:f>'Merge PART 3'!$G$38</c:f>
              <c:strCache>
                <c:ptCount val="1"/>
                <c:pt idx="0">
                  <c:v>τ1=0.19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'Merge PART 3'!$F$39:$F$55</c:f>
              <c:numCache>
                <c:formatCode>0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'Merge PART 3'!$G$39:$G$55</c:f>
              <c:numCache>
                <c:formatCode>0.00000</c:formatCode>
                <c:ptCount val="17"/>
                <c:pt idx="0">
                  <c:v>3.1699553776562959E-4</c:v>
                </c:pt>
                <c:pt idx="1">
                  <c:v>5.9794260435053941E-4</c:v>
                </c:pt>
                <c:pt idx="2">
                  <c:v>7.9974964446396699E-4</c:v>
                </c:pt>
                <c:pt idx="3">
                  <c:v>1.032020166763006E-3</c:v>
                </c:pt>
                <c:pt idx="4">
                  <c:v>1.2861072533111024E-3</c:v>
                </c:pt>
                <c:pt idx="5">
                  <c:v>1.5325115090341441E-3</c:v>
                </c:pt>
                <c:pt idx="6">
                  <c:v>1.7422406557741463E-3</c:v>
                </c:pt>
                <c:pt idx="7">
                  <c:v>1.9235391308823199E-3</c:v>
                </c:pt>
                <c:pt idx="8">
                  <c:v>2.0168974455543605E-3</c:v>
                </c:pt>
                <c:pt idx="9">
                  <c:v>2.0080123334890367E-3</c:v>
                </c:pt>
                <c:pt idx="10">
                  <c:v>1.9371582525919539E-3</c:v>
                </c:pt>
                <c:pt idx="11">
                  <c:v>1.8398657037584278E-3</c:v>
                </c:pt>
                <c:pt idx="12">
                  <c:v>1.5952048253258808E-3</c:v>
                </c:pt>
                <c:pt idx="13">
                  <c:v>1.3925105754310579E-3</c:v>
                </c:pt>
                <c:pt idx="14">
                  <c:v>1.1903871689718046E-3</c:v>
                </c:pt>
                <c:pt idx="15">
                  <c:v>1.0016820545301927E-3</c:v>
                </c:pt>
                <c:pt idx="16">
                  <c:v>8.5085649106465345E-4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6F-914B-A078-C193020D6D85}"/>
            </c:ext>
          </c:extLst>
        </c:ser>
        <c:ser>
          <c:idx val="2"/>
          <c:order val="1"/>
          <c:tx>
            <c:strRef>
              <c:f>'Merge PART 3'!$H$38</c:f>
              <c:strCache>
                <c:ptCount val="1"/>
                <c:pt idx="0">
                  <c:v>τ2=0.44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'Merge PART 3'!$F$39:$F$55</c:f>
              <c:numCache>
                <c:formatCode>0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'Merge PART 3'!$H$39:$H$55</c:f>
              <c:numCache>
                <c:formatCode>0.00000</c:formatCode>
                <c:ptCount val="17"/>
                <c:pt idx="0">
                  <c:v>3.9879653716641897E-4</c:v>
                </c:pt>
                <c:pt idx="1">
                  <c:v>6.2204316575554619E-4</c:v>
                </c:pt>
                <c:pt idx="2">
                  <c:v>7.4805094832263981E-4</c:v>
                </c:pt>
                <c:pt idx="3">
                  <c:v>8.7413931165160178E-4</c:v>
                </c:pt>
                <c:pt idx="4">
                  <c:v>9.9989971775583529E-4</c:v>
                </c:pt>
                <c:pt idx="5">
                  <c:v>1.1141156864306633E-3</c:v>
                </c:pt>
                <c:pt idx="6">
                  <c:v>1.2164691422402829E-3</c:v>
                </c:pt>
                <c:pt idx="7">
                  <c:v>1.2940419931070459E-3</c:v>
                </c:pt>
                <c:pt idx="8">
                  <c:v>1.3501954509388642E-3</c:v>
                </c:pt>
                <c:pt idx="9">
                  <c:v>1.3777236287639309E-3</c:v>
                </c:pt>
                <c:pt idx="10">
                  <c:v>1.3749596834639281E-3</c:v>
                </c:pt>
                <c:pt idx="11">
                  <c:v>1.3856452362350823E-3</c:v>
                </c:pt>
                <c:pt idx="12">
                  <c:v>1.3010010317728779E-3</c:v>
                </c:pt>
                <c:pt idx="13">
                  <c:v>1.2662201418470926E-3</c:v>
                </c:pt>
                <c:pt idx="14">
                  <c:v>1.1701099405519422E-3</c:v>
                </c:pt>
                <c:pt idx="15">
                  <c:v>1.0973696251882611E-3</c:v>
                </c:pt>
                <c:pt idx="16">
                  <c:v>1.0065207994523772E-3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6F-914B-A078-C193020D6D85}"/>
            </c:ext>
          </c:extLst>
        </c:ser>
        <c:ser>
          <c:idx val="3"/>
          <c:order val="2"/>
          <c:tx>
            <c:strRef>
              <c:f>'Merge PART 3'!$I$38</c:f>
              <c:strCache>
                <c:ptCount val="1"/>
                <c:pt idx="0">
                  <c:v>τ3=0.69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'Merge PART 3'!$F$39:$F$55</c:f>
              <c:numCache>
                <c:formatCode>0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'Merge PART 3'!$I$39:$I$55</c:f>
              <c:numCache>
                <c:formatCode>0.00000</c:formatCode>
                <c:ptCount val="17"/>
                <c:pt idx="0">
                  <c:v>4.069262667704201E-4</c:v>
                </c:pt>
                <c:pt idx="1">
                  <c:v>5.8582357079896025E-4</c:v>
                </c:pt>
                <c:pt idx="2">
                  <c:v>6.7898655931669248E-4</c:v>
                </c:pt>
                <c:pt idx="3">
                  <c:v>7.6823072041942416E-4</c:v>
                </c:pt>
                <c:pt idx="4">
                  <c:v>8.5673216513140076E-4</c:v>
                </c:pt>
                <c:pt idx="5">
                  <c:v>1.0331029608579131E-3</c:v>
                </c:pt>
                <c:pt idx="6">
                  <c:v>1.0043814043690425E-3</c:v>
                </c:pt>
                <c:pt idx="7">
                  <c:v>1.0564473043426969E-3</c:v>
                </c:pt>
                <c:pt idx="8">
                  <c:v>1.0999484328974151E-3</c:v>
                </c:pt>
                <c:pt idx="9">
                  <c:v>1.1324138401495492E-3</c:v>
                </c:pt>
                <c:pt idx="10">
                  <c:v>1.1364411020517203E-3</c:v>
                </c:pt>
                <c:pt idx="11">
                  <c:v>1.1450140284144576E-3</c:v>
                </c:pt>
                <c:pt idx="12">
                  <c:v>1.1319727362387535E-3</c:v>
                </c:pt>
                <c:pt idx="13">
                  <c:v>1.1009121800407873E-3</c:v>
                </c:pt>
                <c:pt idx="14">
                  <c:v>1.0729162879691153E-3</c:v>
                </c:pt>
                <c:pt idx="15">
                  <c:v>1.0587367542756732E-3</c:v>
                </c:pt>
                <c:pt idx="16">
                  <c:v>1.001044969281708E-3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6F-914B-A078-C193020D6D85}"/>
            </c:ext>
          </c:extLst>
        </c:ser>
        <c:bandFmts>
          <c:bandFmt>
            <c:idx val="0"/>
            <c:spPr>
              <a:solidFill>
                <a:schemeClr val="accent1">
                  <a:shade val="50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70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90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tint val="90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70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50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1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9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7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5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1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9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70000"/>
                </a:schemeClr>
              </a:solidFill>
              <a:ln/>
              <a:effectLst/>
              <a:sp3d/>
            </c:spPr>
          </c:bandFmt>
        </c:bandFmts>
        <c:axId val="1645734847"/>
        <c:axId val="1645736639"/>
        <c:axId val="1623273471"/>
      </c:surface3DChart>
      <c:catAx>
        <c:axId val="16457348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736639"/>
        <c:crosses val="autoZero"/>
        <c:auto val="1"/>
        <c:lblAlgn val="ctr"/>
        <c:lblOffset val="100"/>
        <c:noMultiLvlLbl val="0"/>
      </c:catAx>
      <c:valAx>
        <c:axId val="1645736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734847"/>
        <c:crosses val="autoZero"/>
        <c:crossBetween val="midCat"/>
      </c:valAx>
      <c:serAx>
        <c:axId val="1623273471"/>
        <c:scaling>
          <c:orientation val="minMax"/>
        </c:scaling>
        <c:delete val="1"/>
        <c:axPos val="b"/>
        <c:majorTickMark val="out"/>
        <c:minorTickMark val="none"/>
        <c:tickLblPos val="nextTo"/>
        <c:crossAx val="1645736639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</a:t>
            </a:r>
            <a:r>
              <a:rPr lang="en-US" baseline="0"/>
              <a:t> - CALL (VBA)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1"/>
          <c:order val="0"/>
          <c:tx>
            <c:strRef>
              <c:f>'Merge PART 3'!$Q$38</c:f>
              <c:strCache>
                <c:ptCount val="1"/>
                <c:pt idx="0">
                  <c:v>τ1=0.19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'Merge PART 3'!$P$39:$P$55</c:f>
              <c:numCache>
                <c:formatCode>0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'Merge PART 3'!$Q$39:$Q$55</c:f>
              <c:numCache>
                <c:formatCode>0.00000</c:formatCode>
                <c:ptCount val="17"/>
                <c:pt idx="0">
                  <c:v>0.32474158254916702</c:v>
                </c:pt>
                <c:pt idx="1">
                  <c:v>0.54685751715171149</c:v>
                </c:pt>
                <c:pt idx="2">
                  <c:v>0.70255831397058</c:v>
                </c:pt>
                <c:pt idx="3">
                  <c:v>0.87997437028541781</c:v>
                </c:pt>
                <c:pt idx="4">
                  <c:v>1.0530668684291169</c:v>
                </c:pt>
                <c:pt idx="5">
                  <c:v>1.2217509761402279</c:v>
                </c:pt>
                <c:pt idx="6">
                  <c:v>1.3612216806202488</c:v>
                </c:pt>
                <c:pt idx="7">
                  <c:v>1.4546055695290807</c:v>
                </c:pt>
                <c:pt idx="8">
                  <c:v>1.492851457268501</c:v>
                </c:pt>
                <c:pt idx="9">
                  <c:v>1.4721014803413299</c:v>
                </c:pt>
                <c:pt idx="10">
                  <c:v>1.3966843981820452</c:v>
                </c:pt>
                <c:pt idx="11">
                  <c:v>1.2523710776206929</c:v>
                </c:pt>
                <c:pt idx="12">
                  <c:v>1.149848794314015</c:v>
                </c:pt>
                <c:pt idx="13">
                  <c:v>0.99638892740597573</c:v>
                </c:pt>
                <c:pt idx="14">
                  <c:v>0.8603001304105764</c:v>
                </c:pt>
                <c:pt idx="15">
                  <c:v>0.72749133701920843</c:v>
                </c:pt>
                <c:pt idx="16">
                  <c:v>0.63435885785870783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83-EB4E-A67E-3FF2F3315B1D}"/>
            </c:ext>
          </c:extLst>
        </c:ser>
        <c:ser>
          <c:idx val="2"/>
          <c:order val="1"/>
          <c:tx>
            <c:strRef>
              <c:f>'Merge PART 3'!$R$38</c:f>
              <c:strCache>
                <c:ptCount val="1"/>
                <c:pt idx="0">
                  <c:v>τ2=0.44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'Merge PART 3'!$P$39:$P$55</c:f>
              <c:numCache>
                <c:formatCode>0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'Merge PART 3'!$R$39:$R$55</c:f>
              <c:numCache>
                <c:formatCode>0.00000</c:formatCode>
                <c:ptCount val="17"/>
                <c:pt idx="0">
                  <c:v>0.8173736278167395</c:v>
                </c:pt>
                <c:pt idx="1">
                  <c:v>1.1918450649443426</c:v>
                </c:pt>
                <c:pt idx="2">
                  <c:v>1.3968672740212242</c:v>
                </c:pt>
                <c:pt idx="3">
                  <c:v>1.6019758024988398</c:v>
                </c:pt>
                <c:pt idx="4">
                  <c:v>1.7897203214529827</c:v>
                </c:pt>
                <c:pt idx="5">
                  <c:v>1.9569990830295638</c:v>
                </c:pt>
                <c:pt idx="6">
                  <c:v>2.0936876062657475</c:v>
                </c:pt>
                <c:pt idx="7">
                  <c:v>2.1941799583125312</c:v>
                </c:pt>
                <c:pt idx="8">
                  <c:v>2.2542270885099764</c:v>
                </c:pt>
                <c:pt idx="9">
                  <c:v>2.2725744001981507</c:v>
                </c:pt>
                <c:pt idx="10">
                  <c:v>2.2515371760432146</c:v>
                </c:pt>
                <c:pt idx="11">
                  <c:v>2.1845116102289959</c:v>
                </c:pt>
                <c:pt idx="12">
                  <c:v>2.1131218699780723</c:v>
                </c:pt>
                <c:pt idx="13">
                  <c:v>1.9764326191436603</c:v>
                </c:pt>
                <c:pt idx="14">
                  <c:v>1.8826818977886868</c:v>
                </c:pt>
                <c:pt idx="15">
                  <c:v>1.7099764623658344</c:v>
                </c:pt>
                <c:pt idx="16">
                  <c:v>1.6154071551437914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83-EB4E-A67E-3FF2F3315B1D}"/>
            </c:ext>
          </c:extLst>
        </c:ser>
        <c:ser>
          <c:idx val="3"/>
          <c:order val="2"/>
          <c:tx>
            <c:strRef>
              <c:f>'Merge PART 3'!$S$38</c:f>
              <c:strCache>
                <c:ptCount val="1"/>
                <c:pt idx="0">
                  <c:v>τ3=0.69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'Merge PART 3'!$P$39:$P$55</c:f>
              <c:numCache>
                <c:formatCode>0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'Merge PART 3'!$S$39:$S$55</c:f>
              <c:numCache>
                <c:formatCode>0.00000</c:formatCode>
                <c:ptCount val="17"/>
                <c:pt idx="0">
                  <c:v>1.2047652940778726</c:v>
                </c:pt>
                <c:pt idx="1">
                  <c:v>1.6555210842076462</c:v>
                </c:pt>
                <c:pt idx="2">
                  <c:v>1.881264883267062</c:v>
                </c:pt>
                <c:pt idx="3">
                  <c:v>2.098695710559805</c:v>
                </c:pt>
                <c:pt idx="4">
                  <c:v>2.2941447946731257</c:v>
                </c:pt>
                <c:pt idx="5">
                  <c:v>2.44839832582102</c:v>
                </c:pt>
                <c:pt idx="6">
                  <c:v>2.6110745534733741</c:v>
                </c:pt>
                <c:pt idx="7">
                  <c:v>2.7215695869437218</c:v>
                </c:pt>
                <c:pt idx="8">
                  <c:v>2.7974743392271919</c:v>
                </c:pt>
                <c:pt idx="9">
                  <c:v>2.8382967030710766</c:v>
                </c:pt>
                <c:pt idx="10">
                  <c:v>2.8445563179036277</c:v>
                </c:pt>
                <c:pt idx="11">
                  <c:v>2.8180760730262575</c:v>
                </c:pt>
                <c:pt idx="12">
                  <c:v>2.7629943457828396</c:v>
                </c:pt>
                <c:pt idx="13">
                  <c:v>2.688238556465107</c:v>
                </c:pt>
                <c:pt idx="14">
                  <c:v>2.5823557246164679</c:v>
                </c:pt>
                <c:pt idx="15">
                  <c:v>2.3913529357459113</c:v>
                </c:pt>
                <c:pt idx="16">
                  <c:v>2.241131639277492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83-EB4E-A67E-3FF2F3315B1D}"/>
            </c:ext>
          </c:extLst>
        </c:ser>
        <c:bandFmts>
          <c:bandFmt>
            <c:idx val="0"/>
            <c:spPr>
              <a:solidFill>
                <a:schemeClr val="accent1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"/>
                </a:schemeClr>
              </a:solidFill>
              <a:ln/>
              <a:effectLst/>
              <a:sp3d/>
            </c:spPr>
          </c:bandFmt>
        </c:bandFmts>
        <c:axId val="1645948287"/>
        <c:axId val="613298879"/>
        <c:axId val="1628238335"/>
      </c:surface3DChart>
      <c:catAx>
        <c:axId val="1645948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298879"/>
        <c:crosses val="autoZero"/>
        <c:auto val="1"/>
        <c:lblAlgn val="ctr"/>
        <c:lblOffset val="100"/>
        <c:noMultiLvlLbl val="0"/>
      </c:catAx>
      <c:valAx>
        <c:axId val="61329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948287"/>
        <c:crosses val="autoZero"/>
        <c:crossBetween val="midCat"/>
      </c:valAx>
      <c:serAx>
        <c:axId val="1628238335"/>
        <c:scaling>
          <c:orientation val="minMax"/>
        </c:scaling>
        <c:delete val="1"/>
        <c:axPos val="b"/>
        <c:majorTickMark val="out"/>
        <c:minorTickMark val="none"/>
        <c:tickLblPos val="nextTo"/>
        <c:crossAx val="613298879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THETA</a:t>
            </a:r>
            <a:r>
              <a:rPr lang="en-US" baseline="0"/>
              <a:t> - CALL (VBA)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1"/>
          <c:order val="0"/>
          <c:tx>
            <c:strRef>
              <c:f>'Merge PART 3'!$L$38</c:f>
              <c:strCache>
                <c:ptCount val="1"/>
                <c:pt idx="0">
                  <c:v>τ1=0.19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'Merge PART 3'!$K$39:$K$55</c:f>
              <c:numCache>
                <c:formatCode>0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'Merge PART 3'!$L$39:$L$55</c:f>
              <c:numCache>
                <c:formatCode>0.00000</c:formatCode>
                <c:ptCount val="17"/>
                <c:pt idx="0">
                  <c:v>-0.19995682683948587</c:v>
                </c:pt>
                <c:pt idx="1">
                  <c:v>-0.28867424566020217</c:v>
                </c:pt>
                <c:pt idx="2">
                  <c:v>-0.34940014195020375</c:v>
                </c:pt>
                <c:pt idx="3">
                  <c:v>-0.41774407613884501</c:v>
                </c:pt>
                <c:pt idx="4">
                  <c:v>-0.47469324684343472</c:v>
                </c:pt>
                <c:pt idx="5">
                  <c:v>-0.53075739521308452</c:v>
                </c:pt>
                <c:pt idx="6">
                  <c:v>-0.57474157742261667</c:v>
                </c:pt>
                <c:pt idx="7">
                  <c:v>-0.59101732884162861</c:v>
                </c:pt>
                <c:pt idx="8">
                  <c:v>-0.59064982682566525</c:v>
                </c:pt>
                <c:pt idx="9">
                  <c:v>-0.5743181872773534</c:v>
                </c:pt>
                <c:pt idx="10">
                  <c:v>-0.53408117415248135</c:v>
                </c:pt>
                <c:pt idx="11">
                  <c:v>-0.45121389566837472</c:v>
                </c:pt>
                <c:pt idx="12">
                  <c:v>-0.43714405006110507</c:v>
                </c:pt>
                <c:pt idx="13">
                  <c:v>-0.37529025065101235</c:v>
                </c:pt>
                <c:pt idx="14">
                  <c:v>-0.32668085311588152</c:v>
                </c:pt>
                <c:pt idx="15">
                  <c:v>-0.27719816420274457</c:v>
                </c:pt>
                <c:pt idx="16">
                  <c:v>-0.24777364306425195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CA-024E-BF7B-1A2A1509F512}"/>
            </c:ext>
          </c:extLst>
        </c:ser>
        <c:ser>
          <c:idx val="2"/>
          <c:order val="1"/>
          <c:tx>
            <c:strRef>
              <c:f>'Merge PART 3'!$M$38</c:f>
              <c:strCache>
                <c:ptCount val="1"/>
                <c:pt idx="0">
                  <c:v>τ2=0.44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'Merge PART 3'!$K$39:$K$55</c:f>
              <c:numCache>
                <c:formatCode>0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'Merge PART 3'!$M$39:$M$55</c:f>
              <c:numCache>
                <c:formatCode>0.00000</c:formatCode>
                <c:ptCount val="17"/>
                <c:pt idx="0">
                  <c:v>-0.18689835617827494</c:v>
                </c:pt>
                <c:pt idx="1">
                  <c:v>-0.24669708325855794</c:v>
                </c:pt>
                <c:pt idx="2">
                  <c:v>-0.27800961700295412</c:v>
                </c:pt>
                <c:pt idx="3">
                  <c:v>-0.30914624522129225</c:v>
                </c:pt>
                <c:pt idx="4">
                  <c:v>-0.33427436613885186</c:v>
                </c:pt>
                <c:pt idx="5">
                  <c:v>-0.35583013489440674</c:v>
                </c:pt>
                <c:pt idx="6">
                  <c:v>-0.37057655854835603</c:v>
                </c:pt>
                <c:pt idx="7">
                  <c:v>-0.38035168552441717</c:v>
                </c:pt>
                <c:pt idx="8">
                  <c:v>-0.38286569013902233</c:v>
                </c:pt>
                <c:pt idx="9">
                  <c:v>-0.37968376086543448</c:v>
                </c:pt>
                <c:pt idx="10">
                  <c:v>-0.37196518045161198</c:v>
                </c:pt>
                <c:pt idx="11">
                  <c:v>-0.34669059904933275</c:v>
                </c:pt>
                <c:pt idx="12">
                  <c:v>-0.34402296950624089</c:v>
                </c:pt>
                <c:pt idx="13">
                  <c:v>-0.3087423644023341</c:v>
                </c:pt>
                <c:pt idx="14">
                  <c:v>-0.3021672534133138</c:v>
                </c:pt>
                <c:pt idx="15">
                  <c:v>-0.26543397745557112</c:v>
                </c:pt>
                <c:pt idx="16">
                  <c:v>-0.25761812972557352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CA-024E-BF7B-1A2A1509F512}"/>
            </c:ext>
          </c:extLst>
        </c:ser>
        <c:ser>
          <c:idx val="3"/>
          <c:order val="2"/>
          <c:tx>
            <c:strRef>
              <c:f>'Merge PART 3'!$N$38</c:f>
              <c:strCache>
                <c:ptCount val="1"/>
                <c:pt idx="0">
                  <c:v>τ3=0.69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'Merge PART 3'!$K$39:$K$55</c:f>
              <c:numCache>
                <c:formatCode>0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'Merge PART 3'!$N$39:$N$55</c:f>
              <c:numCache>
                <c:formatCode>0.00000</c:formatCode>
                <c:ptCount val="17"/>
                <c:pt idx="0">
                  <c:v>-0.16370551887974996</c:v>
                </c:pt>
                <c:pt idx="1">
                  <c:v>-0.20809960059052512</c:v>
                </c:pt>
                <c:pt idx="2">
                  <c:v>-0.2290210985155309</c:v>
                </c:pt>
                <c:pt idx="3">
                  <c:v>-0.24911813938155461</c:v>
                </c:pt>
                <c:pt idx="4">
                  <c:v>-0.26471968868036461</c:v>
                </c:pt>
                <c:pt idx="5">
                  <c:v>-0.25180280984869774</c:v>
                </c:pt>
                <c:pt idx="6">
                  <c:v>-0.2883595441490272</c:v>
                </c:pt>
                <c:pt idx="7">
                  <c:v>-0.29601947443705995</c:v>
                </c:pt>
                <c:pt idx="8">
                  <c:v>-0.29891348291326114</c:v>
                </c:pt>
                <c:pt idx="9">
                  <c:v>-0.29763695290152736</c:v>
                </c:pt>
                <c:pt idx="10">
                  <c:v>-0.29655695717499908</c:v>
                </c:pt>
                <c:pt idx="11">
                  <c:v>-0.28800826093189419</c:v>
                </c:pt>
                <c:pt idx="12">
                  <c:v>-0.27917103980518787</c:v>
                </c:pt>
                <c:pt idx="13">
                  <c:v>-0.27086535521300364</c:v>
                </c:pt>
                <c:pt idx="14">
                  <c:v>-0.25590457804422234</c:v>
                </c:pt>
                <c:pt idx="15">
                  <c:v>-0.22233290226529226</c:v>
                </c:pt>
                <c:pt idx="16">
                  <c:v>-0.20608218294397693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6CA-024E-BF7B-1A2A1509F512}"/>
            </c:ext>
          </c:extLst>
        </c:ser>
        <c:bandFmts>
          <c:bandFmt>
            <c:idx val="0"/>
            <c:spPr>
              <a:solidFill>
                <a:schemeClr val="accent1">
                  <a:shade val="45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61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76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92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9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77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62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46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1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99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84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68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53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37000"/>
                </a:schemeClr>
              </a:solidFill>
              <a:ln/>
              <a:effectLst/>
              <a:sp3d/>
            </c:spPr>
          </c:bandFmt>
        </c:bandFmts>
        <c:axId val="1823223167"/>
        <c:axId val="1823224959"/>
        <c:axId val="1571175935"/>
      </c:surface3DChart>
      <c:catAx>
        <c:axId val="18232231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3224959"/>
        <c:crosses val="autoZero"/>
        <c:auto val="1"/>
        <c:lblAlgn val="ctr"/>
        <c:lblOffset val="100"/>
        <c:noMultiLvlLbl val="0"/>
      </c:catAx>
      <c:valAx>
        <c:axId val="1823224959"/>
        <c:scaling>
          <c:orientation val="minMax"/>
          <c:min val="-0.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3223167"/>
        <c:crosses val="autoZero"/>
        <c:crossBetween val="midCat"/>
      </c:valAx>
      <c:serAx>
        <c:axId val="1571175935"/>
        <c:scaling>
          <c:orientation val="minMax"/>
        </c:scaling>
        <c:delete val="1"/>
        <c:axPos val="b"/>
        <c:majorTickMark val="out"/>
        <c:minorTickMark val="none"/>
        <c:tickLblPos val="nextTo"/>
        <c:crossAx val="1823224959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</a:t>
            </a:r>
            <a:r>
              <a:rPr lang="en-US" baseline="0"/>
              <a:t> - CALL (VBA)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1"/>
          <c:order val="0"/>
          <c:tx>
            <c:strRef>
              <c:f>'Merge PART 3'!$V$38</c:f>
              <c:strCache>
                <c:ptCount val="1"/>
                <c:pt idx="0">
                  <c:v>τ1=0.19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'Merge PART 3'!$U$39:$U$55</c:f>
              <c:numCache>
                <c:formatCode>0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'Merge PART 3'!$V$39:$V$55</c:f>
              <c:numCache>
                <c:formatCode>0.00000</c:formatCode>
                <c:ptCount val="17"/>
                <c:pt idx="0">
                  <c:v>0.90850284130569448</c:v>
                </c:pt>
                <c:pt idx="1">
                  <c:v>0.98924828137446652</c:v>
                </c:pt>
                <c:pt idx="2">
                  <c:v>1.0052756596503554</c:v>
                </c:pt>
                <c:pt idx="3">
                  <c:v>1.0001562487811113</c:v>
                </c:pt>
                <c:pt idx="4">
                  <c:v>0.98009987899526252</c:v>
                </c:pt>
                <c:pt idx="5">
                  <c:v>0.93489136891582036</c:v>
                </c:pt>
                <c:pt idx="6">
                  <c:v>0.86939902359031251</c:v>
                </c:pt>
                <c:pt idx="7">
                  <c:v>0.79102187775152488</c:v>
                </c:pt>
                <c:pt idx="8">
                  <c:v>0.69866108925851544</c:v>
                </c:pt>
                <c:pt idx="9">
                  <c:v>0.60136914012282228</c:v>
                </c:pt>
                <c:pt idx="10">
                  <c:v>0.50408793157532128</c:v>
                </c:pt>
                <c:pt idx="11">
                  <c:v>0.39807624709041767</c:v>
                </c:pt>
                <c:pt idx="12">
                  <c:v>0.33794643014391551</c:v>
                </c:pt>
                <c:pt idx="13">
                  <c:v>0.26745773144857116</c:v>
                </c:pt>
                <c:pt idx="14">
                  <c:v>0.21433203855368924</c:v>
                </c:pt>
                <c:pt idx="15">
                  <c:v>0.16909192574104867</c:v>
                </c:pt>
                <c:pt idx="16">
                  <c:v>0.14013406802551912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20-B94F-A27B-2A8658FD9FA5}"/>
            </c:ext>
          </c:extLst>
        </c:ser>
        <c:ser>
          <c:idx val="2"/>
          <c:order val="1"/>
          <c:tx>
            <c:strRef>
              <c:f>'Merge PART 3'!$W$38</c:f>
              <c:strCache>
                <c:ptCount val="1"/>
                <c:pt idx="0">
                  <c:v>τ2=0.44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'Merge PART 3'!$U$39:$U$55</c:f>
              <c:numCache>
                <c:formatCode>0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'Merge PART 3'!$W$39:$W$55</c:f>
              <c:numCache>
                <c:formatCode>0.00000</c:formatCode>
                <c:ptCount val="17"/>
                <c:pt idx="0">
                  <c:v>1.9125518641118255</c:v>
                </c:pt>
                <c:pt idx="1">
                  <c:v>2.017731676340297</c:v>
                </c:pt>
                <c:pt idx="2">
                  <c:v>2.0286017378155985</c:v>
                </c:pt>
                <c:pt idx="3">
                  <c:v>2.0086158014792606</c:v>
                </c:pt>
                <c:pt idx="4">
                  <c:v>1.9689015754710355</c:v>
                </c:pt>
                <c:pt idx="5">
                  <c:v>1.9025936219387152</c:v>
                </c:pt>
                <c:pt idx="6">
                  <c:v>1.8170011930799048</c:v>
                </c:pt>
                <c:pt idx="7">
                  <c:v>1.7112918904952701</c:v>
                </c:pt>
                <c:pt idx="8">
                  <c:v>1.5928370192304271</c:v>
                </c:pt>
                <c:pt idx="9">
                  <c:v>1.4648986545371974</c:v>
                </c:pt>
                <c:pt idx="10">
                  <c:v>1.3333255540517575</c:v>
                </c:pt>
                <c:pt idx="11">
                  <c:v>1.1900546699890437</c:v>
                </c:pt>
                <c:pt idx="12">
                  <c:v>1.077558923497058</c:v>
                </c:pt>
                <c:pt idx="13">
                  <c:v>0.93348837530454287</c:v>
                </c:pt>
                <c:pt idx="14">
                  <c:v>0.84423274760579858</c:v>
                </c:pt>
                <c:pt idx="15">
                  <c:v>0.71620286156318069</c:v>
                </c:pt>
                <c:pt idx="16">
                  <c:v>0.64939054599654311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20-B94F-A27B-2A8658FD9FA5}"/>
            </c:ext>
          </c:extLst>
        </c:ser>
        <c:ser>
          <c:idx val="3"/>
          <c:order val="2"/>
          <c:tx>
            <c:strRef>
              <c:f>'Merge PART 3'!$X$38</c:f>
              <c:strCache>
                <c:ptCount val="1"/>
                <c:pt idx="0">
                  <c:v>τ3=0.69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'Merge PART 3'!$U$39:$U$55</c:f>
              <c:numCache>
                <c:formatCode>0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'Merge PART 3'!$X$39:$X$55</c:f>
              <c:numCache>
                <c:formatCode>0.00000</c:formatCode>
                <c:ptCount val="17"/>
                <c:pt idx="0">
                  <c:v>2.8135755042250747</c:v>
                </c:pt>
                <c:pt idx="1">
                  <c:v>2.9315725756189921</c:v>
                </c:pt>
                <c:pt idx="2">
                  <c:v>2.9419984377303607</c:v>
                </c:pt>
                <c:pt idx="3">
                  <c:v>2.916213152882813</c:v>
                </c:pt>
                <c:pt idx="4">
                  <c:v>2.8716338119641551</c:v>
                </c:pt>
                <c:pt idx="5">
                  <c:v>2.9143335139073518</c:v>
                </c:pt>
                <c:pt idx="6">
                  <c:v>2.6983135977855062</c:v>
                </c:pt>
                <c:pt idx="7">
                  <c:v>2.5782497271703129</c:v>
                </c:pt>
                <c:pt idx="8">
                  <c:v>2.4468661313979529</c:v>
                </c:pt>
                <c:pt idx="9">
                  <c:v>2.3042227263863073</c:v>
                </c:pt>
                <c:pt idx="10">
                  <c:v>2.1532456600758629</c:v>
                </c:pt>
                <c:pt idx="11">
                  <c:v>1.9973969403236429</c:v>
                </c:pt>
                <c:pt idx="12">
                  <c:v>1.8415772169967863</c:v>
                </c:pt>
                <c:pt idx="13">
                  <c:v>1.6939812804955818</c:v>
                </c:pt>
                <c:pt idx="14">
                  <c:v>1.5391504763407662</c:v>
                </c:pt>
                <c:pt idx="15">
                  <c:v>1.3312626733520165</c:v>
                </c:pt>
                <c:pt idx="16">
                  <c:v>1.1852055690714856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20-B94F-A27B-2A8658FD9FA5}"/>
            </c:ext>
          </c:extLst>
        </c:ser>
        <c:bandFmts>
          <c:bandFmt>
            <c:idx val="0"/>
            <c:spPr>
              <a:solidFill>
                <a:schemeClr val="accent1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"/>
                </a:schemeClr>
              </a:solidFill>
              <a:ln/>
              <a:effectLst/>
              <a:sp3d/>
            </c:spPr>
          </c:bandFmt>
        </c:bandFmts>
        <c:axId val="1868013887"/>
        <c:axId val="1824435583"/>
        <c:axId val="1623261695"/>
      </c:surface3DChart>
      <c:catAx>
        <c:axId val="18680138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435583"/>
        <c:crosses val="autoZero"/>
        <c:auto val="1"/>
        <c:lblAlgn val="ctr"/>
        <c:lblOffset val="100"/>
        <c:noMultiLvlLbl val="0"/>
      </c:catAx>
      <c:valAx>
        <c:axId val="182443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013887"/>
        <c:crosses val="autoZero"/>
        <c:crossBetween val="midCat"/>
      </c:valAx>
      <c:serAx>
        <c:axId val="1623261695"/>
        <c:scaling>
          <c:orientation val="minMax"/>
        </c:scaling>
        <c:delete val="1"/>
        <c:axPos val="b"/>
        <c:majorTickMark val="out"/>
        <c:minorTickMark val="none"/>
        <c:tickLblPos val="nextTo"/>
        <c:crossAx val="1824435583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</a:t>
            </a:r>
            <a:r>
              <a:rPr lang="en-US" baseline="0"/>
              <a:t> - CALL (REFINITIVE)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>
                <a:shade val="65000"/>
              </a:schemeClr>
            </a:solidFill>
            <a:ln/>
            <a:effectLst/>
            <a:sp3d/>
          </c:spP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2'!$B$39:$B$55</c:f>
              <c:numCache>
                <c:formatCode>0.0000</c:formatCode>
                <c:ptCount val="17"/>
                <c:pt idx="0">
                  <c:v>0.95930000000000004</c:v>
                </c:pt>
                <c:pt idx="1">
                  <c:v>0.92110000000000003</c:v>
                </c:pt>
                <c:pt idx="2">
                  <c:v>0.88990000000000002</c:v>
                </c:pt>
                <c:pt idx="3">
                  <c:v>0.84819999999999995</c:v>
                </c:pt>
                <c:pt idx="4">
                  <c:v>0.79720000000000002</c:v>
                </c:pt>
                <c:pt idx="5">
                  <c:v>0.73619999999999997</c:v>
                </c:pt>
                <c:pt idx="6">
                  <c:v>0.66639999999999999</c:v>
                </c:pt>
                <c:pt idx="7">
                  <c:v>0.59019999999999995</c:v>
                </c:pt>
                <c:pt idx="8">
                  <c:v>0.51100000000000001</c:v>
                </c:pt>
                <c:pt idx="9">
                  <c:v>0.43209999999999998</c:v>
                </c:pt>
                <c:pt idx="10">
                  <c:v>0.3574</c:v>
                </c:pt>
                <c:pt idx="11">
                  <c:v>0.27750000000000002</c:v>
                </c:pt>
                <c:pt idx="12">
                  <c:v>0.23300000000000001</c:v>
                </c:pt>
                <c:pt idx="13">
                  <c:v>0.185</c:v>
                </c:pt>
                <c:pt idx="14">
                  <c:v>0.14630000000000001</c:v>
                </c:pt>
                <c:pt idx="15">
                  <c:v>0.11559999999999999</c:v>
                </c:pt>
                <c:pt idx="16">
                  <c:v>9.3899999999999997E-2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'Empirical PART 2'!#REF!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1B7-2D4F-8BBD-37A689B78AC9}"/>
            </c:ext>
          </c:extLst>
        </c:ser>
        <c:ser>
          <c:idx val="1"/>
          <c:order val="1"/>
          <c:spPr>
            <a:solidFill>
              <a:schemeClr val="accent1"/>
            </a:solidFill>
            <a:ln/>
            <a:effectLst/>
            <a:sp3d/>
          </c:spP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2'!$C$39:$C$55</c:f>
              <c:numCache>
                <c:formatCode>0.0000</c:formatCode>
                <c:ptCount val="17"/>
                <c:pt idx="0">
                  <c:v>0.92410000000000003</c:v>
                </c:pt>
                <c:pt idx="1">
                  <c:v>0.87229999999999996</c:v>
                </c:pt>
                <c:pt idx="2">
                  <c:v>0.83819999999999995</c:v>
                </c:pt>
                <c:pt idx="3">
                  <c:v>0.79869999999999997</c:v>
                </c:pt>
                <c:pt idx="4">
                  <c:v>0.75539999999999996</c:v>
                </c:pt>
                <c:pt idx="5">
                  <c:v>0.70779999999999998</c:v>
                </c:pt>
                <c:pt idx="6">
                  <c:v>0.65749999999999997</c:v>
                </c:pt>
                <c:pt idx="7">
                  <c:v>0.60450000000000004</c:v>
                </c:pt>
                <c:pt idx="8">
                  <c:v>0.55100000000000005</c:v>
                </c:pt>
                <c:pt idx="9">
                  <c:v>0.49730000000000002</c:v>
                </c:pt>
                <c:pt idx="10">
                  <c:v>0.4456</c:v>
                </c:pt>
                <c:pt idx="11">
                  <c:v>0.3896</c:v>
                </c:pt>
                <c:pt idx="12">
                  <c:v>0.3498</c:v>
                </c:pt>
                <c:pt idx="13">
                  <c:v>0.29920000000000002</c:v>
                </c:pt>
                <c:pt idx="14">
                  <c:v>0.26879999999999998</c:v>
                </c:pt>
                <c:pt idx="15">
                  <c:v>0.22550000000000001</c:v>
                </c:pt>
                <c:pt idx="16">
                  <c:v>0.2046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'Empirical PART 2'!#REF!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F1B7-2D4F-8BBD-37A689B78AC9}"/>
            </c:ext>
          </c:extLst>
        </c:ser>
        <c:ser>
          <c:idx val="2"/>
          <c:order val="2"/>
          <c:spPr>
            <a:solidFill>
              <a:schemeClr val="accent1">
                <a:tint val="65000"/>
              </a:schemeClr>
            </a:solidFill>
            <a:ln/>
            <a:effectLst/>
            <a:sp3d/>
          </c:spP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2'!$D$39:$D$55</c:f>
              <c:numCache>
                <c:formatCode>0.0000</c:formatCode>
                <c:ptCount val="17"/>
                <c:pt idx="0">
                  <c:v>0.90559999999999996</c:v>
                </c:pt>
                <c:pt idx="1">
                  <c:v>0.8518</c:v>
                </c:pt>
                <c:pt idx="2">
                  <c:v>0.81920000000000004</c:v>
                </c:pt>
                <c:pt idx="3">
                  <c:v>0.78359999999999996</c:v>
                </c:pt>
                <c:pt idx="4">
                  <c:v>0.74490000000000001</c:v>
                </c:pt>
                <c:pt idx="5">
                  <c:v>0.70930000000000004</c:v>
                </c:pt>
                <c:pt idx="6">
                  <c:v>0.66190000000000004</c:v>
                </c:pt>
                <c:pt idx="7">
                  <c:v>0.61819999999999997</c:v>
                </c:pt>
                <c:pt idx="8">
                  <c:v>0.57450000000000001</c:v>
                </c:pt>
                <c:pt idx="9">
                  <c:v>0.53029999999999999</c:v>
                </c:pt>
                <c:pt idx="10">
                  <c:v>0.48720000000000002</c:v>
                </c:pt>
                <c:pt idx="11">
                  <c:v>0.44540000000000002</c:v>
                </c:pt>
                <c:pt idx="12">
                  <c:v>0.4047</c:v>
                </c:pt>
                <c:pt idx="13">
                  <c:v>0.36670000000000003</c:v>
                </c:pt>
                <c:pt idx="14">
                  <c:v>0.33069999999999999</c:v>
                </c:pt>
                <c:pt idx="15">
                  <c:v>0.2767</c:v>
                </c:pt>
                <c:pt idx="16">
                  <c:v>0.2447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'Empirical PART 2'!#REF!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F1B7-2D4F-8BBD-37A689B78AC9}"/>
            </c:ext>
          </c:extLst>
        </c:ser>
        <c:bandFmts>
          <c:bandFmt>
            <c:idx val="0"/>
            <c:spPr>
              <a:solidFill>
                <a:schemeClr val="accent1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</c:bandFmts>
        <c:axId val="615352511"/>
        <c:axId val="1851461119"/>
        <c:axId val="750066175"/>
      </c:surface3DChart>
      <c:catAx>
        <c:axId val="6153525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1461119"/>
        <c:crosses val="autoZero"/>
        <c:auto val="1"/>
        <c:lblAlgn val="ctr"/>
        <c:lblOffset val="100"/>
        <c:noMultiLvlLbl val="0"/>
      </c:catAx>
      <c:valAx>
        <c:axId val="1851461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Delta</a:t>
                </a:r>
              </a:p>
            </c:rich>
          </c:tx>
          <c:overlay val="0"/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352511"/>
        <c:crosses val="autoZero"/>
        <c:crossBetween val="midCat"/>
      </c:valAx>
      <c:serAx>
        <c:axId val="750066175"/>
        <c:scaling>
          <c:orientation val="minMax"/>
        </c:scaling>
        <c:delete val="1"/>
        <c:axPos val="b"/>
        <c:majorTickMark val="out"/>
        <c:minorTickMark val="none"/>
        <c:tickLblPos val="nextTo"/>
        <c:crossAx val="1851461119"/>
        <c:crosses val="autoZero"/>
      </c:serAx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</a:t>
            </a:r>
            <a:r>
              <a:rPr lang="en-US" baseline="0"/>
              <a:t> - CALL (REFINITIVE)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>
                <a:shade val="65000"/>
              </a:schemeClr>
            </a:solidFill>
            <a:ln/>
            <a:effectLst/>
            <a:sp3d/>
          </c:spPr>
          <c:cat>
            <c:numRef>
              <c:f>'Empirical PART 2'!$A$39:$A$55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'Empirical PART 2'!$G$39:$G$55</c:f>
              <c:numCache>
                <c:formatCode>0.0000</c:formatCode>
                <c:ptCount val="17"/>
                <c:pt idx="0">
                  <c:v>2.9999999999999997E-4</c:v>
                </c:pt>
                <c:pt idx="1">
                  <c:v>5.9999999999999995E-4</c:v>
                </c:pt>
                <c:pt idx="2">
                  <c:v>8.0000000000000004E-4</c:v>
                </c:pt>
                <c:pt idx="3">
                  <c:v>1E-3</c:v>
                </c:pt>
                <c:pt idx="4">
                  <c:v>1.2999999999999999E-3</c:v>
                </c:pt>
                <c:pt idx="5">
                  <c:v>1.5E-3</c:v>
                </c:pt>
                <c:pt idx="6">
                  <c:v>1.8E-3</c:v>
                </c:pt>
                <c:pt idx="7">
                  <c:v>1.9E-3</c:v>
                </c:pt>
                <c:pt idx="8">
                  <c:v>2E-3</c:v>
                </c:pt>
                <c:pt idx="9">
                  <c:v>2E-3</c:v>
                </c:pt>
                <c:pt idx="10">
                  <c:v>1.9E-3</c:v>
                </c:pt>
                <c:pt idx="11">
                  <c:v>1.8E-3</c:v>
                </c:pt>
                <c:pt idx="12">
                  <c:v>1.6000000000000001E-3</c:v>
                </c:pt>
                <c:pt idx="13">
                  <c:v>1.4E-3</c:v>
                </c:pt>
                <c:pt idx="14">
                  <c:v>1.1999999999999999E-3</c:v>
                </c:pt>
                <c:pt idx="15">
                  <c:v>1E-3</c:v>
                </c:pt>
                <c:pt idx="16">
                  <c:v>8.0000000000000004E-4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'Empirical PART 2'!#REF!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B6C-424F-87F1-AB35E0FED05F}"/>
            </c:ext>
          </c:extLst>
        </c:ser>
        <c:ser>
          <c:idx val="1"/>
          <c:order val="1"/>
          <c:spPr>
            <a:solidFill>
              <a:schemeClr val="accent1"/>
            </a:solidFill>
            <a:ln/>
            <a:effectLst/>
            <a:sp3d/>
          </c:spPr>
          <c:cat>
            <c:numRef>
              <c:f>'Empirical PART 2'!$A$39:$A$55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'Empirical PART 2'!$H$39:$H$55</c:f>
              <c:numCache>
                <c:formatCode>0.0000</c:formatCode>
                <c:ptCount val="17"/>
                <c:pt idx="0">
                  <c:v>4.0000000000000002E-4</c:v>
                </c:pt>
                <c:pt idx="1">
                  <c:v>5.9999999999999995E-4</c:v>
                </c:pt>
                <c:pt idx="2">
                  <c:v>8.0000000000000004E-4</c:v>
                </c:pt>
                <c:pt idx="3">
                  <c:v>8.9999999999999998E-4</c:v>
                </c:pt>
                <c:pt idx="4">
                  <c:v>1E-3</c:v>
                </c:pt>
                <c:pt idx="5">
                  <c:v>1.1000000000000001E-3</c:v>
                </c:pt>
                <c:pt idx="6">
                  <c:v>1.1999999999999999E-3</c:v>
                </c:pt>
                <c:pt idx="7">
                  <c:v>1.2999999999999999E-3</c:v>
                </c:pt>
                <c:pt idx="8">
                  <c:v>1.4E-3</c:v>
                </c:pt>
                <c:pt idx="9">
                  <c:v>1.4E-3</c:v>
                </c:pt>
                <c:pt idx="10">
                  <c:v>1.4E-3</c:v>
                </c:pt>
                <c:pt idx="11">
                  <c:v>1.4E-3</c:v>
                </c:pt>
                <c:pt idx="12">
                  <c:v>1.2999999999999999E-3</c:v>
                </c:pt>
                <c:pt idx="13">
                  <c:v>1.2999999999999999E-3</c:v>
                </c:pt>
                <c:pt idx="14">
                  <c:v>1.1999999999999999E-3</c:v>
                </c:pt>
                <c:pt idx="15">
                  <c:v>1.1000000000000001E-3</c:v>
                </c:pt>
                <c:pt idx="16">
                  <c:v>1E-3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'Empirical PART 2'!#REF!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B6C-424F-87F1-AB35E0FED05F}"/>
            </c:ext>
          </c:extLst>
        </c:ser>
        <c:ser>
          <c:idx val="2"/>
          <c:order val="2"/>
          <c:cat>
            <c:numRef>
              <c:f>'Empirical PART 2'!$A$39:$A$55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'Empirical PART 2'!$I$39:$I$55</c:f>
              <c:numCache>
                <c:formatCode>0.0000</c:formatCode>
                <c:ptCount val="17"/>
                <c:pt idx="0">
                  <c:v>4.0000000000000002E-4</c:v>
                </c:pt>
                <c:pt idx="1">
                  <c:v>5.9999999999999995E-4</c:v>
                </c:pt>
                <c:pt idx="2">
                  <c:v>6.9999999999999999E-4</c:v>
                </c:pt>
                <c:pt idx="3">
                  <c:v>8.0000000000000004E-4</c:v>
                </c:pt>
                <c:pt idx="4">
                  <c:v>8.9999999999999998E-4</c:v>
                </c:pt>
                <c:pt idx="5">
                  <c:v>1E-3</c:v>
                </c:pt>
                <c:pt idx="6">
                  <c:v>1E-3</c:v>
                </c:pt>
                <c:pt idx="7">
                  <c:v>1.1000000000000001E-3</c:v>
                </c:pt>
                <c:pt idx="8">
                  <c:v>1.1000000000000001E-3</c:v>
                </c:pt>
                <c:pt idx="9">
                  <c:v>1.1000000000000001E-3</c:v>
                </c:pt>
                <c:pt idx="10">
                  <c:v>1.1000000000000001E-3</c:v>
                </c:pt>
                <c:pt idx="11">
                  <c:v>1.1999999999999999E-3</c:v>
                </c:pt>
                <c:pt idx="12">
                  <c:v>1.1000000000000001E-3</c:v>
                </c:pt>
                <c:pt idx="13">
                  <c:v>1.1000000000000001E-3</c:v>
                </c:pt>
                <c:pt idx="14">
                  <c:v>1.1000000000000001E-3</c:v>
                </c:pt>
                <c:pt idx="15">
                  <c:v>1.1000000000000001E-3</c:v>
                </c:pt>
                <c:pt idx="16">
                  <c:v>1E-3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'Empirical PART 2'!#REF!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BB6C-424F-87F1-AB35E0FED05F}"/>
            </c:ext>
          </c:extLst>
        </c:ser>
        <c:bandFmts>
          <c:bandFmt>
            <c:idx val="0"/>
            <c:spPr>
              <a:solidFill>
                <a:schemeClr val="accent1">
                  <a:shade val="70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90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tint val="90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tint val="70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50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1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9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7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5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1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9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70000"/>
                </a:schemeClr>
              </a:solidFill>
              <a:ln/>
              <a:effectLst/>
              <a:sp3d/>
            </c:spPr>
          </c:bandFmt>
        </c:bandFmts>
        <c:axId val="1959059327"/>
        <c:axId val="1959061119"/>
        <c:axId val="750319615"/>
      </c:surface3DChart>
      <c:catAx>
        <c:axId val="19590593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061119"/>
        <c:crosses val="autoZero"/>
        <c:auto val="1"/>
        <c:lblAlgn val="ctr"/>
        <c:lblOffset val="100"/>
        <c:noMultiLvlLbl val="0"/>
      </c:catAx>
      <c:valAx>
        <c:axId val="1959061119"/>
        <c:scaling>
          <c:orientation val="minMax"/>
          <c:max val="2.500000000000000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Gamma</a:t>
                </a:r>
              </a:p>
            </c:rich>
          </c:tx>
          <c:overlay val="0"/>
        </c:title>
        <c:numFmt formatCode="#,##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059327"/>
        <c:crosses val="autoZero"/>
        <c:crossBetween val="midCat"/>
      </c:valAx>
      <c:serAx>
        <c:axId val="750319615"/>
        <c:scaling>
          <c:orientation val="minMax"/>
        </c:scaling>
        <c:delete val="1"/>
        <c:axPos val="b"/>
        <c:majorTickMark val="out"/>
        <c:minorTickMark val="none"/>
        <c:tickLblPos val="nextTo"/>
        <c:crossAx val="1959061119"/>
        <c:crosses val="autoZero"/>
      </c:serAx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</a:t>
            </a:r>
            <a:r>
              <a:rPr lang="en-US" baseline="0"/>
              <a:t> - CALL (REFINITIVE)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'Empirical PART 2'!$M$38</c:f>
              <c:strCache>
                <c:ptCount val="1"/>
                <c:pt idx="0">
                  <c:v>τ1=0.19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/>
            <a:effectLst/>
            <a:sp3d/>
          </c:spPr>
          <c:cat>
            <c:numRef>
              <c:f>'Empirical PART 2'!$A$39:$A$55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'Empirical PART 2'!$M$39:$M$55</c:f>
              <c:numCache>
                <c:formatCode>0.0000</c:formatCode>
                <c:ptCount val="17"/>
                <c:pt idx="0">
                  <c:v>-0.20200000000000001</c:v>
                </c:pt>
                <c:pt idx="1">
                  <c:v>-0.28249999999999997</c:v>
                </c:pt>
                <c:pt idx="2">
                  <c:v>-0.37780000000000002</c:v>
                </c:pt>
                <c:pt idx="3">
                  <c:v>-0.37890000000000001</c:v>
                </c:pt>
                <c:pt idx="4">
                  <c:v>-0.46949999999999997</c:v>
                </c:pt>
                <c:pt idx="5">
                  <c:v>-0.54679999999999995</c:v>
                </c:pt>
                <c:pt idx="6">
                  <c:v>-0.54959999999999998</c:v>
                </c:pt>
                <c:pt idx="7">
                  <c:v>-0.58819999999999995</c:v>
                </c:pt>
                <c:pt idx="8">
                  <c:v>-0.58850000000000002</c:v>
                </c:pt>
                <c:pt idx="9">
                  <c:v>-0.55049999999999999</c:v>
                </c:pt>
                <c:pt idx="10">
                  <c:v>-0.55210000000000004</c:v>
                </c:pt>
                <c:pt idx="11">
                  <c:v>-0.45500000000000002</c:v>
                </c:pt>
                <c:pt idx="12">
                  <c:v>-0.38640000000000002</c:v>
                </c:pt>
                <c:pt idx="13">
                  <c:v>-0.39</c:v>
                </c:pt>
                <c:pt idx="14">
                  <c:v>-0.29149999999999998</c:v>
                </c:pt>
                <c:pt idx="15">
                  <c:v>-0.2974</c:v>
                </c:pt>
                <c:pt idx="16">
                  <c:v>-0.20780000000000001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1E-0244-96E2-23EACE6D81EE}"/>
            </c:ext>
          </c:extLst>
        </c:ser>
        <c:ser>
          <c:idx val="1"/>
          <c:order val="1"/>
          <c:tx>
            <c:strRef>
              <c:f>'Empirical PART 2'!$N$38</c:f>
              <c:strCache>
                <c:ptCount val="1"/>
                <c:pt idx="0">
                  <c:v>τ2=0.44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'Empirical PART 2'!$A$39:$A$55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'Empirical PART 2'!$N$39:$N$55</c:f>
              <c:numCache>
                <c:formatCode>0.0000</c:formatCode>
                <c:ptCount val="17"/>
                <c:pt idx="0">
                  <c:v>-0.17280000000000001</c:v>
                </c:pt>
                <c:pt idx="1">
                  <c:v>-0.23250000000000001</c:v>
                </c:pt>
                <c:pt idx="2">
                  <c:v>-0.29120000000000001</c:v>
                </c:pt>
                <c:pt idx="3">
                  <c:v>-0.29509999999999997</c:v>
                </c:pt>
                <c:pt idx="4">
                  <c:v>-0.34399999999999997</c:v>
                </c:pt>
                <c:pt idx="5">
                  <c:v>-0.34699999999999998</c:v>
                </c:pt>
                <c:pt idx="6">
                  <c:v>-0.37590000000000001</c:v>
                </c:pt>
                <c:pt idx="7">
                  <c:v>-0.37930000000000003</c:v>
                </c:pt>
                <c:pt idx="8">
                  <c:v>-0.38200000000000001</c:v>
                </c:pt>
                <c:pt idx="9">
                  <c:v>-0.38540000000000002</c:v>
                </c:pt>
                <c:pt idx="10">
                  <c:v>-0.36170000000000002</c:v>
                </c:pt>
                <c:pt idx="11">
                  <c:v>-0.35560000000000003</c:v>
                </c:pt>
                <c:pt idx="12">
                  <c:v>-0.31900000000000001</c:v>
                </c:pt>
                <c:pt idx="13">
                  <c:v>-0.3125</c:v>
                </c:pt>
                <c:pt idx="14">
                  <c:v>-0.32650000000000001</c:v>
                </c:pt>
                <c:pt idx="15">
                  <c:v>-0.25509999999999999</c:v>
                </c:pt>
                <c:pt idx="16">
                  <c:v>-0.2661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1E-0244-96E2-23EACE6D81EE}"/>
            </c:ext>
          </c:extLst>
        </c:ser>
        <c:ser>
          <c:idx val="2"/>
          <c:order val="2"/>
          <c:tx>
            <c:strRef>
              <c:f>'Empirical PART 2'!$O$38</c:f>
              <c:strCache>
                <c:ptCount val="1"/>
                <c:pt idx="0">
                  <c:v>τ3=0.69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/>
            <a:effectLst/>
            <a:sp3d/>
          </c:spPr>
          <c:cat>
            <c:numRef>
              <c:f>'Empirical PART 2'!$A$39:$A$55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'Empirical PART 2'!$O$39:$O$55</c:f>
              <c:numCache>
                <c:formatCode>0.0000</c:formatCode>
                <c:ptCount val="17"/>
                <c:pt idx="0">
                  <c:v>-0.17230000000000001</c:v>
                </c:pt>
                <c:pt idx="1">
                  <c:v>-0.22</c:v>
                </c:pt>
                <c:pt idx="2">
                  <c:v>-0.2235</c:v>
                </c:pt>
                <c:pt idx="3">
                  <c:v>-0.26240000000000002</c:v>
                </c:pt>
                <c:pt idx="4">
                  <c:v>-0.2651</c:v>
                </c:pt>
                <c:pt idx="5">
                  <c:v>-0.24540000000000001</c:v>
                </c:pt>
                <c:pt idx="6">
                  <c:v>-0.29199999999999998</c:v>
                </c:pt>
                <c:pt idx="7">
                  <c:v>-0.29630000000000001</c:v>
                </c:pt>
                <c:pt idx="8">
                  <c:v>-0.29930000000000001</c:v>
                </c:pt>
                <c:pt idx="9">
                  <c:v>-0.3014</c:v>
                </c:pt>
                <c:pt idx="10">
                  <c:v>-0.307</c:v>
                </c:pt>
                <c:pt idx="11">
                  <c:v>-0.28570000000000001</c:v>
                </c:pt>
                <c:pt idx="12">
                  <c:v>-0.28849999999999998</c:v>
                </c:pt>
                <c:pt idx="13">
                  <c:v>-0.25230000000000002</c:v>
                </c:pt>
                <c:pt idx="14">
                  <c:v>-0.253</c:v>
                </c:pt>
                <c:pt idx="15">
                  <c:v>-0.24260000000000001</c:v>
                </c:pt>
                <c:pt idx="16">
                  <c:v>-0.1943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1E-0244-96E2-23EACE6D81EE}"/>
            </c:ext>
          </c:extLst>
        </c:ser>
        <c:bandFmts>
          <c:bandFmt>
            <c:idx val="0"/>
            <c:spPr>
              <a:solidFill>
                <a:schemeClr val="accent1">
                  <a:shade val="45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61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76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92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9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77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62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46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1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99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84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68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53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37000"/>
                </a:schemeClr>
              </a:solidFill>
              <a:ln/>
              <a:effectLst/>
              <a:sp3d/>
            </c:spPr>
          </c:bandFmt>
        </c:bandFmts>
        <c:axId val="614819903"/>
        <c:axId val="1960052031"/>
        <c:axId val="665152511"/>
      </c:surface3DChart>
      <c:catAx>
        <c:axId val="6148199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052031"/>
        <c:crosses val="autoZero"/>
        <c:auto val="1"/>
        <c:lblAlgn val="ctr"/>
        <c:lblOffset val="100"/>
        <c:noMultiLvlLbl val="0"/>
      </c:catAx>
      <c:valAx>
        <c:axId val="1960052031"/>
        <c:scaling>
          <c:orientation val="minMax"/>
          <c:min val="-0.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Theta</a:t>
                </a:r>
              </a:p>
            </c:rich>
          </c:tx>
          <c:overlay val="0"/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819903"/>
        <c:crosses val="autoZero"/>
        <c:crossBetween val="midCat"/>
      </c:valAx>
      <c:serAx>
        <c:axId val="665152511"/>
        <c:scaling>
          <c:orientation val="minMax"/>
        </c:scaling>
        <c:delete val="1"/>
        <c:axPos val="b"/>
        <c:majorTickMark val="out"/>
        <c:minorTickMark val="none"/>
        <c:tickLblPos val="nextTo"/>
        <c:crossAx val="1960052031"/>
        <c:crosses val="autoZero"/>
      </c:serAx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</a:t>
            </a:r>
            <a:r>
              <a:rPr lang="en-US" baseline="0"/>
              <a:t> - CALL (REFINITIVE)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>
                <a:shade val="65000"/>
              </a:schemeClr>
            </a:solidFill>
            <a:ln/>
            <a:effectLst/>
            <a:sp3d/>
          </c:spPr>
          <c:cat>
            <c:numRef>
              <c:f>'Empirical PART 2'!$A$39:$A$55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'Empirical PART 2'!$R$39:$R$55</c:f>
              <c:numCache>
                <c:formatCode>0.0000</c:formatCode>
                <c:ptCount val="17"/>
                <c:pt idx="0">
                  <c:v>0.33489999999999998</c:v>
                </c:pt>
                <c:pt idx="1">
                  <c:v>0.54210000000000003</c:v>
                </c:pt>
                <c:pt idx="2">
                  <c:v>0.7752</c:v>
                </c:pt>
                <c:pt idx="3">
                  <c:v>0.80149999999999999</c:v>
                </c:pt>
                <c:pt idx="4">
                  <c:v>1.0527</c:v>
                </c:pt>
                <c:pt idx="5">
                  <c:v>1.2738</c:v>
                </c:pt>
                <c:pt idx="6">
                  <c:v>1.3113999999999999</c:v>
                </c:pt>
                <c:pt idx="7">
                  <c:v>1.4607000000000001</c:v>
                </c:pt>
                <c:pt idx="8">
                  <c:v>1.5004999999999999</c:v>
                </c:pt>
                <c:pt idx="9">
                  <c:v>1.4212</c:v>
                </c:pt>
                <c:pt idx="10">
                  <c:v>1.4570000000000001</c:v>
                </c:pt>
                <c:pt idx="11">
                  <c:v>1.2733000000000001</c:v>
                </c:pt>
                <c:pt idx="12">
                  <c:v>1.0213000000000001</c:v>
                </c:pt>
                <c:pt idx="13">
                  <c:v>1.044</c:v>
                </c:pt>
                <c:pt idx="14">
                  <c:v>0.77170000000000005</c:v>
                </c:pt>
                <c:pt idx="15">
                  <c:v>0.78720000000000001</c:v>
                </c:pt>
                <c:pt idx="16">
                  <c:v>0.5343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28-5443-9721-ADC4E24C8E9D}"/>
            </c:ext>
          </c:extLst>
        </c:ser>
        <c:ser>
          <c:idx val="1"/>
          <c:order val="1"/>
          <c:spPr>
            <a:solidFill>
              <a:schemeClr val="accent1"/>
            </a:solidFill>
            <a:ln/>
            <a:effectLst/>
            <a:sp3d/>
          </c:spPr>
          <c:cat>
            <c:numRef>
              <c:f>'Empirical PART 2'!$A$39:$A$55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'Empirical PART 2'!$S$39:$S$55</c:f>
              <c:numCache>
                <c:formatCode>0.0000</c:formatCode>
                <c:ptCount val="17"/>
                <c:pt idx="0">
                  <c:v>0.746</c:v>
                </c:pt>
                <c:pt idx="1">
                  <c:v>1.1152</c:v>
                </c:pt>
                <c:pt idx="2">
                  <c:v>1.4719</c:v>
                </c:pt>
                <c:pt idx="3">
                  <c:v>1.5235000000000001</c:v>
                </c:pt>
                <c:pt idx="4">
                  <c:v>1.8478000000000001</c:v>
                </c:pt>
                <c:pt idx="5">
                  <c:v>1.9065000000000001</c:v>
                </c:pt>
                <c:pt idx="6">
                  <c:v>2.1280000000000001</c:v>
                </c:pt>
                <c:pt idx="7">
                  <c:v>2.1899000000000002</c:v>
                </c:pt>
                <c:pt idx="8">
                  <c:v>2.2509000000000001</c:v>
                </c:pt>
                <c:pt idx="9">
                  <c:v>2.3111000000000002</c:v>
                </c:pt>
                <c:pt idx="10">
                  <c:v>2.1880000000000002</c:v>
                </c:pt>
                <c:pt idx="11">
                  <c:v>2.2454000000000001</c:v>
                </c:pt>
                <c:pt idx="12">
                  <c:v>1.9545999999999999</c:v>
                </c:pt>
                <c:pt idx="13">
                  <c:v>2.0034000000000001</c:v>
                </c:pt>
                <c:pt idx="14">
                  <c:v>2.0428999999999999</c:v>
                </c:pt>
                <c:pt idx="15">
                  <c:v>1.6428</c:v>
                </c:pt>
                <c:pt idx="16">
                  <c:v>1.6718999999999999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28-5443-9721-ADC4E24C8E9D}"/>
            </c:ext>
          </c:extLst>
        </c:ser>
        <c:ser>
          <c:idx val="2"/>
          <c:order val="2"/>
          <c:spPr>
            <a:solidFill>
              <a:schemeClr val="accent1">
                <a:tint val="65000"/>
              </a:schemeClr>
            </a:solidFill>
            <a:ln/>
            <a:effectLst/>
            <a:sp3d/>
          </c:spPr>
          <c:cat>
            <c:numRef>
              <c:f>'Empirical PART 2'!$A$39:$A$55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'Empirical PART 2'!$T$39:$T$55</c:f>
              <c:numCache>
                <c:formatCode>0.0000</c:formatCode>
                <c:ptCount val="17"/>
                <c:pt idx="0">
                  <c:v>1.2661</c:v>
                </c:pt>
                <c:pt idx="1">
                  <c:v>1.7484999999999999</c:v>
                </c:pt>
                <c:pt idx="2">
                  <c:v>1.8148</c:v>
                </c:pt>
                <c:pt idx="3">
                  <c:v>2.2071999999999998</c:v>
                </c:pt>
                <c:pt idx="4">
                  <c:v>2.2820999999999998</c:v>
                </c:pt>
                <c:pt idx="5">
                  <c:v>2.3611</c:v>
                </c:pt>
                <c:pt idx="6">
                  <c:v>2.6318999999999999</c:v>
                </c:pt>
                <c:pt idx="7">
                  <c:v>2.7101000000000002</c:v>
                </c:pt>
                <c:pt idx="8">
                  <c:v>2.7871999999999999</c:v>
                </c:pt>
                <c:pt idx="9">
                  <c:v>2.8635999999999999</c:v>
                </c:pt>
                <c:pt idx="10">
                  <c:v>2.9384000000000001</c:v>
                </c:pt>
                <c:pt idx="11">
                  <c:v>2.7816999999999998</c:v>
                </c:pt>
                <c:pt idx="12">
                  <c:v>2.8498000000000001</c:v>
                </c:pt>
                <c:pt idx="13">
                  <c:v>2.4839000000000002</c:v>
                </c:pt>
                <c:pt idx="14">
                  <c:v>2.5413999999999999</c:v>
                </c:pt>
                <c:pt idx="15">
                  <c:v>2.6132</c:v>
                </c:pt>
                <c:pt idx="16">
                  <c:v>2.0985999999999998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28-5443-9721-ADC4E24C8E9D}"/>
            </c:ext>
          </c:extLst>
        </c:ser>
        <c:bandFmts>
          <c:bandFmt>
            <c:idx val="0"/>
            <c:spPr>
              <a:solidFill>
                <a:schemeClr val="accent1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"/>
                </a:schemeClr>
              </a:solidFill>
              <a:ln/>
              <a:effectLst/>
              <a:sp3d/>
            </c:spPr>
          </c:bandFmt>
        </c:bandFmts>
        <c:axId val="1960341311"/>
        <c:axId val="1960343103"/>
        <c:axId val="1623354879"/>
      </c:surface3DChart>
      <c:catAx>
        <c:axId val="19603413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343103"/>
        <c:crosses val="autoZero"/>
        <c:auto val="1"/>
        <c:lblAlgn val="ctr"/>
        <c:lblOffset val="100"/>
        <c:noMultiLvlLbl val="0"/>
      </c:catAx>
      <c:valAx>
        <c:axId val="196034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341311"/>
        <c:crosses val="autoZero"/>
        <c:crossBetween val="midCat"/>
      </c:valAx>
      <c:serAx>
        <c:axId val="1623354879"/>
        <c:scaling>
          <c:orientation val="minMax"/>
        </c:scaling>
        <c:delete val="1"/>
        <c:axPos val="b"/>
        <c:majorTickMark val="out"/>
        <c:minorTickMark val="none"/>
        <c:tickLblPos val="nextTo"/>
        <c:crossAx val="1960343103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</a:t>
            </a:r>
            <a:r>
              <a:rPr lang="en-US" baseline="0"/>
              <a:t> - CALL (REFINITIVE)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>
                <a:shade val="65000"/>
              </a:schemeClr>
            </a:solidFill>
            <a:ln/>
            <a:effectLst/>
            <a:sp3d/>
          </c:spPr>
          <c:cat>
            <c:numRef>
              <c:f>'Empirical PART 2'!$A$39:$A$55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'Empirical PART 2'!$W$39:$W$55</c:f>
              <c:numCache>
                <c:formatCode>0.0000</c:formatCode>
                <c:ptCount val="17"/>
                <c:pt idx="0">
                  <c:v>0.91649999999999998</c:v>
                </c:pt>
                <c:pt idx="1">
                  <c:v>0.99719999999999998</c:v>
                </c:pt>
                <c:pt idx="2">
                  <c:v>1.014</c:v>
                </c:pt>
                <c:pt idx="3">
                  <c:v>1.0097</c:v>
                </c:pt>
                <c:pt idx="4">
                  <c:v>0.98660000000000003</c:v>
                </c:pt>
                <c:pt idx="5">
                  <c:v>0.94179999999999997</c:v>
                </c:pt>
                <c:pt idx="6">
                  <c:v>0.87739999999999996</c:v>
                </c:pt>
                <c:pt idx="7">
                  <c:v>0.79649999999999999</c:v>
                </c:pt>
                <c:pt idx="8">
                  <c:v>0.70420000000000005</c:v>
                </c:pt>
                <c:pt idx="9">
                  <c:v>0.60589999999999999</c:v>
                </c:pt>
                <c:pt idx="10">
                  <c:v>0.50839999999999996</c:v>
                </c:pt>
                <c:pt idx="11">
                  <c:v>0.40260000000000001</c:v>
                </c:pt>
                <c:pt idx="12">
                  <c:v>0.33850000000000002</c:v>
                </c:pt>
                <c:pt idx="13">
                  <c:v>0.2707</c:v>
                </c:pt>
                <c:pt idx="14">
                  <c:v>0.21529999999999999</c:v>
                </c:pt>
                <c:pt idx="15">
                  <c:v>0.1709</c:v>
                </c:pt>
                <c:pt idx="16">
                  <c:v>0.13930000000000001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B7-BF4D-A495-CA9CAAFD6F51}"/>
            </c:ext>
          </c:extLst>
        </c:ser>
        <c:ser>
          <c:idx val="1"/>
          <c:order val="1"/>
          <c:spPr>
            <a:solidFill>
              <a:schemeClr val="accent1"/>
            </a:solidFill>
            <a:ln/>
            <a:effectLst/>
            <a:sp3d/>
          </c:spPr>
          <c:cat>
            <c:numRef>
              <c:f>'Empirical PART 2'!$A$39:$A$55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'Empirical PART 2'!$X$39:$X$55</c:f>
              <c:numCache>
                <c:formatCode>0.0000</c:formatCode>
                <c:ptCount val="17"/>
                <c:pt idx="0">
                  <c:v>1.9188000000000001</c:v>
                </c:pt>
                <c:pt idx="1">
                  <c:v>2.0232000000000001</c:v>
                </c:pt>
                <c:pt idx="2">
                  <c:v>2.0327999999999999</c:v>
                </c:pt>
                <c:pt idx="3">
                  <c:v>2.0135999999999998</c:v>
                </c:pt>
                <c:pt idx="4">
                  <c:v>1.9722</c:v>
                </c:pt>
                <c:pt idx="5">
                  <c:v>1.9064000000000001</c:v>
                </c:pt>
                <c:pt idx="6">
                  <c:v>1.8201000000000001</c:v>
                </c:pt>
                <c:pt idx="7">
                  <c:v>1.7138</c:v>
                </c:pt>
                <c:pt idx="8">
                  <c:v>1.5959000000000001</c:v>
                </c:pt>
                <c:pt idx="9">
                  <c:v>1.4666999999999999</c:v>
                </c:pt>
                <c:pt idx="10">
                  <c:v>1.3354999999999999</c:v>
                </c:pt>
                <c:pt idx="11">
                  <c:v>1.1919</c:v>
                </c:pt>
                <c:pt idx="12">
                  <c:v>1.0757000000000001</c:v>
                </c:pt>
                <c:pt idx="13">
                  <c:v>0.93589999999999995</c:v>
                </c:pt>
                <c:pt idx="14">
                  <c:v>0.84250000000000003</c:v>
                </c:pt>
                <c:pt idx="15">
                  <c:v>0.71730000000000005</c:v>
                </c:pt>
                <c:pt idx="16">
                  <c:v>0.65059999999999996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B7-BF4D-A495-CA9CAAFD6F51}"/>
            </c:ext>
          </c:extLst>
        </c:ser>
        <c:ser>
          <c:idx val="2"/>
          <c:order val="2"/>
          <c:spPr>
            <a:solidFill>
              <a:schemeClr val="accent1">
                <a:tint val="65000"/>
              </a:schemeClr>
            </a:solidFill>
            <a:ln/>
            <a:effectLst/>
            <a:sp3d/>
          </c:spPr>
          <c:cat>
            <c:numRef>
              <c:f>'Empirical PART 2'!$A$39:$A$55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'Empirical PART 2'!$Y$39:$Y$55</c:f>
              <c:numCache>
                <c:formatCode>0.0000</c:formatCode>
                <c:ptCount val="17"/>
                <c:pt idx="0">
                  <c:v>2.8144</c:v>
                </c:pt>
                <c:pt idx="1">
                  <c:v>2.9339</c:v>
                </c:pt>
                <c:pt idx="2">
                  <c:v>2.9426000000000001</c:v>
                </c:pt>
                <c:pt idx="3">
                  <c:v>2.9218000000000002</c:v>
                </c:pt>
                <c:pt idx="4">
                  <c:v>2.8704000000000001</c:v>
                </c:pt>
                <c:pt idx="5">
                  <c:v>2.9199000000000002</c:v>
                </c:pt>
                <c:pt idx="6">
                  <c:v>2.6983999999999999</c:v>
                </c:pt>
                <c:pt idx="7">
                  <c:v>2.5802</c:v>
                </c:pt>
                <c:pt idx="8">
                  <c:v>2.4499</c:v>
                </c:pt>
                <c:pt idx="9">
                  <c:v>2.3052999999999999</c:v>
                </c:pt>
                <c:pt idx="10">
                  <c:v>2.1541999999999999</c:v>
                </c:pt>
                <c:pt idx="11">
                  <c:v>2.0001000000000002</c:v>
                </c:pt>
                <c:pt idx="12">
                  <c:v>1.8428</c:v>
                </c:pt>
                <c:pt idx="13">
                  <c:v>1.6903999999999999</c:v>
                </c:pt>
                <c:pt idx="14">
                  <c:v>1.542</c:v>
                </c:pt>
                <c:pt idx="15">
                  <c:v>1.327</c:v>
                </c:pt>
                <c:pt idx="16">
                  <c:v>1.1843999999999999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B7-BF4D-A495-CA9CAAFD6F51}"/>
            </c:ext>
          </c:extLst>
        </c:ser>
        <c:bandFmts>
          <c:bandFmt>
            <c:idx val="0"/>
            <c:spPr>
              <a:solidFill>
                <a:schemeClr val="accent1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"/>
                </a:schemeClr>
              </a:solidFill>
              <a:ln/>
              <a:effectLst/>
              <a:sp3d/>
            </c:spPr>
          </c:bandFmt>
        </c:bandFmts>
        <c:axId val="1966809855"/>
        <c:axId val="1885262655"/>
        <c:axId val="586921983"/>
      </c:surface3DChart>
      <c:catAx>
        <c:axId val="19668098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5262655"/>
        <c:crosses val="autoZero"/>
        <c:auto val="1"/>
        <c:lblAlgn val="ctr"/>
        <c:lblOffset val="100"/>
        <c:noMultiLvlLbl val="0"/>
      </c:catAx>
      <c:valAx>
        <c:axId val="1885262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6809855"/>
        <c:crosses val="autoZero"/>
        <c:crossBetween val="midCat"/>
      </c:valAx>
      <c:serAx>
        <c:axId val="586921983"/>
        <c:scaling>
          <c:orientation val="minMax"/>
        </c:scaling>
        <c:delete val="1"/>
        <c:axPos val="b"/>
        <c:majorTickMark val="out"/>
        <c:minorTickMark val="none"/>
        <c:tickLblPos val="nextTo"/>
        <c:crossAx val="1885262655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5" Type="http://schemas.openxmlformats.org/officeDocument/2006/relationships/chart" Target="../charts/chart42.xml"/><Relationship Id="rId10" Type="http://schemas.openxmlformats.org/officeDocument/2006/relationships/chart" Target="../charts/chart47.xml"/><Relationship Id="rId4" Type="http://schemas.openxmlformats.org/officeDocument/2006/relationships/chart" Target="../charts/chart41.xml"/><Relationship Id="rId9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673100</xdr:colOff>
      <xdr:row>1</xdr:row>
      <xdr:rowOff>25400</xdr:rowOff>
    </xdr:from>
    <xdr:to>
      <xdr:col>16</xdr:col>
      <xdr:colOff>381000</xdr:colOff>
      <xdr:row>76</xdr:row>
      <xdr:rowOff>101600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F6C7FC89-6F96-DA3F-5B69-8D35A8D93AF3}"/>
            </a:ext>
          </a:extLst>
        </xdr:cNvPr>
        <xdr:cNvGrpSpPr/>
      </xdr:nvGrpSpPr>
      <xdr:grpSpPr>
        <a:xfrm>
          <a:off x="673100" y="233218"/>
          <a:ext cx="13008264" cy="15662564"/>
          <a:chOff x="673100" y="228600"/>
          <a:chExt cx="12915900" cy="15316200"/>
        </a:xfrm>
      </xdr:grpSpPr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D0D2B2C3-A7CA-11DD-3DCE-7A0F9399F19F}"/>
              </a:ext>
            </a:extLst>
          </xdr:cNvPr>
          <xdr:cNvGrpSpPr/>
        </xdr:nvGrpSpPr>
        <xdr:grpSpPr>
          <a:xfrm>
            <a:off x="709918" y="639937"/>
            <a:ext cx="12858278" cy="14865433"/>
            <a:chOff x="709918" y="653792"/>
            <a:chExt cx="12950642" cy="15202560"/>
          </a:xfrm>
        </xdr:grpSpPr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2D03DC8C-7BB8-1CC3-4A06-380BF7F169E3}"/>
                </a:ext>
              </a:extLst>
            </xdr:cNvPr>
            <xdr:cNvGraphicFramePr>
              <a:graphicFrameLocks/>
            </xdr:cNvGraphicFramePr>
          </xdr:nvGraphicFramePr>
          <xdr:xfrm>
            <a:off x="5036190" y="653793"/>
            <a:ext cx="4304286" cy="302766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A6A4D69-8DC3-25B0-9378-98940E07BA5F}"/>
                </a:ext>
              </a:extLst>
            </xdr:cNvPr>
            <xdr:cNvGraphicFramePr>
              <a:graphicFrameLocks/>
            </xdr:cNvGraphicFramePr>
          </xdr:nvGraphicFramePr>
          <xdr:xfrm>
            <a:off x="9334957" y="653794"/>
            <a:ext cx="4311391" cy="302766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95B290A1-B842-F813-BB11-AAA2D27B501B}"/>
                </a:ext>
              </a:extLst>
            </xdr:cNvPr>
            <xdr:cNvGraphicFramePr>
              <a:graphicFrameLocks/>
            </xdr:cNvGraphicFramePr>
          </xdr:nvGraphicFramePr>
          <xdr:xfrm>
            <a:off x="709919" y="653792"/>
            <a:ext cx="4311391" cy="302766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25FEB0A4-EF5E-7A4E-B98F-326257306784}"/>
                </a:ext>
              </a:extLst>
            </xdr:cNvPr>
            <xdr:cNvGraphicFramePr>
              <a:graphicFrameLocks/>
            </xdr:cNvGraphicFramePr>
          </xdr:nvGraphicFramePr>
          <xdr:xfrm>
            <a:off x="5041875" y="3699184"/>
            <a:ext cx="4304286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441B22F4-27C8-C741-9B9A-3637F817FDE7}"/>
                </a:ext>
              </a:extLst>
            </xdr:cNvPr>
            <xdr:cNvGraphicFramePr>
              <a:graphicFrameLocks/>
            </xdr:cNvGraphicFramePr>
          </xdr:nvGraphicFramePr>
          <xdr:xfrm>
            <a:off x="9342062" y="3699185"/>
            <a:ext cx="4311391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680B10C2-31E7-DA4B-8BAE-4B5BED8F4449}"/>
                </a:ext>
              </a:extLst>
            </xdr:cNvPr>
            <xdr:cNvGraphicFramePr>
              <a:graphicFrameLocks/>
            </xdr:cNvGraphicFramePr>
          </xdr:nvGraphicFramePr>
          <xdr:xfrm>
            <a:off x="709918" y="3699183"/>
            <a:ext cx="4311391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53176D49-17BE-A34E-AA4B-C7A145529E3C}"/>
                </a:ext>
              </a:extLst>
            </xdr:cNvPr>
            <xdr:cNvGraphicFramePr>
              <a:graphicFrameLocks/>
            </xdr:cNvGraphicFramePr>
          </xdr:nvGraphicFramePr>
          <xdr:xfrm>
            <a:off x="5041875" y="6741867"/>
            <a:ext cx="4304286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4C41A5AC-F407-104F-AEDD-1718912C1FC1}"/>
                </a:ext>
              </a:extLst>
            </xdr:cNvPr>
            <xdr:cNvGraphicFramePr>
              <a:graphicFrameLocks/>
            </xdr:cNvGraphicFramePr>
          </xdr:nvGraphicFramePr>
          <xdr:xfrm>
            <a:off x="9342062" y="6741868"/>
            <a:ext cx="4311391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8"/>
            </a:graphicData>
          </a:graphic>
        </xdr:graphicFrame>
        <xdr:graphicFrame macro="">
          <xdr:nvGraphicFramePr>
            <xdr:cNvPr id="10" name="Chart 9">
              <a:extLst>
                <a:ext uri="{FF2B5EF4-FFF2-40B4-BE49-F238E27FC236}">
                  <a16:creationId xmlns:a16="http://schemas.microsoft.com/office/drawing/2014/main" id="{8DBE1145-5395-8943-BD28-FC8101DD37A9}"/>
                </a:ext>
              </a:extLst>
            </xdr:cNvPr>
            <xdr:cNvGraphicFramePr>
              <a:graphicFrameLocks/>
            </xdr:cNvGraphicFramePr>
          </xdr:nvGraphicFramePr>
          <xdr:xfrm>
            <a:off x="718446" y="6741866"/>
            <a:ext cx="4311391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15B9BF93-5CED-8B4B-A89D-1750DF2B630B}"/>
                </a:ext>
              </a:extLst>
            </xdr:cNvPr>
            <xdr:cNvGraphicFramePr>
              <a:graphicFrameLocks/>
            </xdr:cNvGraphicFramePr>
          </xdr:nvGraphicFramePr>
          <xdr:xfrm>
            <a:off x="5044716" y="9788924"/>
            <a:ext cx="4304286" cy="302766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graphicFrame macro="">
          <xdr:nvGraphicFramePr>
            <xdr:cNvPr id="12" name="Chart 11">
              <a:extLst>
                <a:ext uri="{FF2B5EF4-FFF2-40B4-BE49-F238E27FC236}">
                  <a16:creationId xmlns:a16="http://schemas.microsoft.com/office/drawing/2014/main" id="{A97F3FC2-ADDA-AE46-B8F1-0F0EDD23871A}"/>
                </a:ext>
              </a:extLst>
            </xdr:cNvPr>
            <xdr:cNvGraphicFramePr>
              <a:graphicFrameLocks/>
            </xdr:cNvGraphicFramePr>
          </xdr:nvGraphicFramePr>
          <xdr:xfrm>
            <a:off x="5047560" y="12830876"/>
            <a:ext cx="4304286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graphicFrame macro="">
          <xdr:nvGraphicFramePr>
            <xdr:cNvPr id="13" name="Chart 12">
              <a:extLst>
                <a:ext uri="{FF2B5EF4-FFF2-40B4-BE49-F238E27FC236}">
                  <a16:creationId xmlns:a16="http://schemas.microsoft.com/office/drawing/2014/main" id="{A56CFD6A-CB19-2A40-9D74-97C72FD1BADF}"/>
                </a:ext>
              </a:extLst>
            </xdr:cNvPr>
            <xdr:cNvGraphicFramePr>
              <a:graphicFrameLocks/>
            </xdr:cNvGraphicFramePr>
          </xdr:nvGraphicFramePr>
          <xdr:xfrm>
            <a:off x="9342170" y="9788925"/>
            <a:ext cx="4311391" cy="302766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graphicFrame macro="">
          <xdr:nvGraphicFramePr>
            <xdr:cNvPr id="14" name="Chart 13">
              <a:extLst>
                <a:ext uri="{FF2B5EF4-FFF2-40B4-BE49-F238E27FC236}">
                  <a16:creationId xmlns:a16="http://schemas.microsoft.com/office/drawing/2014/main" id="{CB832EA6-7E02-714D-A559-2C53AA74851E}"/>
                </a:ext>
              </a:extLst>
            </xdr:cNvPr>
            <xdr:cNvGraphicFramePr>
              <a:graphicFrameLocks/>
            </xdr:cNvGraphicFramePr>
          </xdr:nvGraphicFramePr>
          <xdr:xfrm>
            <a:off x="9349169" y="12830877"/>
            <a:ext cx="4311391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3"/>
            </a:graphicData>
          </a:graphic>
        </xdr:graphicFrame>
        <xdr:graphicFrame macro="">
          <xdr:nvGraphicFramePr>
            <xdr:cNvPr id="15" name="Chart 14">
              <a:extLst>
                <a:ext uri="{FF2B5EF4-FFF2-40B4-BE49-F238E27FC236}">
                  <a16:creationId xmlns:a16="http://schemas.microsoft.com/office/drawing/2014/main" id="{519BF0D7-C956-D948-924B-A4ACC5EDB642}"/>
                </a:ext>
              </a:extLst>
            </xdr:cNvPr>
            <xdr:cNvGraphicFramePr>
              <a:graphicFrameLocks/>
            </xdr:cNvGraphicFramePr>
          </xdr:nvGraphicFramePr>
          <xdr:xfrm>
            <a:off x="715821" y="9788923"/>
            <a:ext cx="4311391" cy="302766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4"/>
            </a:graphicData>
          </a:graphic>
        </xdr:graphicFrame>
        <xdr:graphicFrame macro="">
          <xdr:nvGraphicFramePr>
            <xdr:cNvPr id="16" name="Chart 15">
              <a:extLst>
                <a:ext uri="{FF2B5EF4-FFF2-40B4-BE49-F238E27FC236}">
                  <a16:creationId xmlns:a16="http://schemas.microsoft.com/office/drawing/2014/main" id="{AB133760-B522-0A4B-AC72-1AA22C718124}"/>
                </a:ext>
              </a:extLst>
            </xdr:cNvPr>
            <xdr:cNvGraphicFramePr>
              <a:graphicFrameLocks/>
            </xdr:cNvGraphicFramePr>
          </xdr:nvGraphicFramePr>
          <xdr:xfrm>
            <a:off x="709918" y="12830875"/>
            <a:ext cx="4311391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</xdr:grp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771D6455-6CAE-184E-4881-FDFFD2EE5DC9}"/>
              </a:ext>
            </a:extLst>
          </xdr:cNvPr>
          <xdr:cNvSpPr txBox="1"/>
        </xdr:nvSpPr>
        <xdr:spPr>
          <a:xfrm>
            <a:off x="6146870" y="257176"/>
            <a:ext cx="1984375" cy="374077"/>
          </a:xfrm>
          <a:prstGeom prst="rect">
            <a:avLst/>
          </a:prstGeom>
          <a:solidFill>
            <a:schemeClr val="bg2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r>
              <a:rPr lang="en-US" sz="1800"/>
              <a:t>CALL GREEKS</a:t>
            </a:r>
          </a:p>
        </xdr:txBody>
      </xdr:sp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E7B0D551-FF0B-0E72-F96F-B402D87A5B2D}"/>
              </a:ext>
            </a:extLst>
          </xdr:cNvPr>
          <xdr:cNvSpPr>
            <a:spLocks/>
          </xdr:cNvSpPr>
        </xdr:nvSpPr>
        <xdr:spPr>
          <a:xfrm>
            <a:off x="673100" y="228600"/>
            <a:ext cx="12915900" cy="15316200"/>
          </a:xfrm>
          <a:prstGeom prst="rect">
            <a:avLst/>
          </a:prstGeom>
          <a:noFill/>
          <a:ln w="25400">
            <a:solidFill>
              <a:schemeClr val="bg2">
                <a:lumMod val="50000"/>
              </a:schemeClr>
            </a:solidFill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16</xdr:col>
      <xdr:colOff>647700</xdr:colOff>
      <xdr:row>1</xdr:row>
      <xdr:rowOff>25400</xdr:rowOff>
    </xdr:from>
    <xdr:to>
      <xdr:col>32</xdr:col>
      <xdr:colOff>355600</xdr:colOff>
      <xdr:row>76</xdr:row>
      <xdr:rowOff>101600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4C658410-E9BC-7E85-72CC-2BE5F0331D4D}"/>
            </a:ext>
          </a:extLst>
        </xdr:cNvPr>
        <xdr:cNvGrpSpPr/>
      </xdr:nvGrpSpPr>
      <xdr:grpSpPr>
        <a:xfrm>
          <a:off x="13948064" y="233218"/>
          <a:ext cx="13008263" cy="15662564"/>
          <a:chOff x="13855700" y="228600"/>
          <a:chExt cx="12915900" cy="15316200"/>
        </a:xfrm>
      </xdr:grpSpPr>
      <xdr:grpSp>
        <xdr:nvGrpSpPr>
          <xdr:cNvPr id="35" name="Group 34">
            <a:extLst>
              <a:ext uri="{FF2B5EF4-FFF2-40B4-BE49-F238E27FC236}">
                <a16:creationId xmlns:a16="http://schemas.microsoft.com/office/drawing/2014/main" id="{D48061A7-55D6-F902-7DED-61BFBD40765B}"/>
              </a:ext>
            </a:extLst>
          </xdr:cNvPr>
          <xdr:cNvGrpSpPr/>
        </xdr:nvGrpSpPr>
        <xdr:grpSpPr>
          <a:xfrm>
            <a:off x="13888605" y="655781"/>
            <a:ext cx="12858280" cy="14865432"/>
            <a:chOff x="23609878" y="623455"/>
            <a:chExt cx="12950643" cy="15202559"/>
          </a:xfrm>
        </xdr:grpSpPr>
        <xdr:graphicFrame macro="">
          <xdr:nvGraphicFramePr>
            <xdr:cNvPr id="19" name="Chart 18">
              <a:extLst>
                <a:ext uri="{FF2B5EF4-FFF2-40B4-BE49-F238E27FC236}">
                  <a16:creationId xmlns:a16="http://schemas.microsoft.com/office/drawing/2014/main" id="{B202FD61-5D6D-89F2-7AE9-F824B1E698DD}"/>
                </a:ext>
              </a:extLst>
            </xdr:cNvPr>
            <xdr:cNvGraphicFramePr>
              <a:graphicFrameLocks/>
            </xdr:cNvGraphicFramePr>
          </xdr:nvGraphicFramePr>
          <xdr:xfrm>
            <a:off x="27916909" y="623455"/>
            <a:ext cx="4302370" cy="302766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6"/>
            </a:graphicData>
          </a:graphic>
        </xdr:graphicFrame>
        <xdr:graphicFrame macro="">
          <xdr:nvGraphicFramePr>
            <xdr:cNvPr id="20" name="Chart 19">
              <a:extLst>
                <a:ext uri="{FF2B5EF4-FFF2-40B4-BE49-F238E27FC236}">
                  <a16:creationId xmlns:a16="http://schemas.microsoft.com/office/drawing/2014/main" id="{5CBE693B-6C88-986C-A111-CC2C38AF3E5B}"/>
                </a:ext>
              </a:extLst>
            </xdr:cNvPr>
            <xdr:cNvGraphicFramePr>
              <a:graphicFrameLocks/>
            </xdr:cNvGraphicFramePr>
          </xdr:nvGraphicFramePr>
          <xdr:xfrm>
            <a:off x="32236843" y="623456"/>
            <a:ext cx="4309472" cy="302766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7"/>
            </a:graphicData>
          </a:graphic>
        </xdr:graphicFrame>
        <xdr:graphicFrame macro="">
          <xdr:nvGraphicFramePr>
            <xdr:cNvPr id="21" name="Chart 20">
              <a:extLst>
                <a:ext uri="{FF2B5EF4-FFF2-40B4-BE49-F238E27FC236}">
                  <a16:creationId xmlns:a16="http://schemas.microsoft.com/office/drawing/2014/main" id="{505414E2-27C5-EA06-22B5-44210D6A51BB}"/>
                </a:ext>
              </a:extLst>
            </xdr:cNvPr>
            <xdr:cNvGraphicFramePr>
              <a:graphicFrameLocks/>
            </xdr:cNvGraphicFramePr>
          </xdr:nvGraphicFramePr>
          <xdr:xfrm>
            <a:off x="23609879" y="623455"/>
            <a:ext cx="4309472" cy="302766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8"/>
            </a:graphicData>
          </a:graphic>
        </xdr:graphicFrame>
        <xdr:graphicFrame macro="">
          <xdr:nvGraphicFramePr>
            <xdr:cNvPr id="22" name="Chart 21">
              <a:extLst>
                <a:ext uri="{FF2B5EF4-FFF2-40B4-BE49-F238E27FC236}">
                  <a16:creationId xmlns:a16="http://schemas.microsoft.com/office/drawing/2014/main" id="{713C32AD-6BD5-B378-9673-1FA01BDBAA63}"/>
                </a:ext>
              </a:extLst>
            </xdr:cNvPr>
            <xdr:cNvGraphicFramePr>
              <a:graphicFrameLocks/>
            </xdr:cNvGraphicFramePr>
          </xdr:nvGraphicFramePr>
          <xdr:xfrm>
            <a:off x="27922592" y="3668846"/>
            <a:ext cx="4302370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23" name="Chart 22">
              <a:extLst>
                <a:ext uri="{FF2B5EF4-FFF2-40B4-BE49-F238E27FC236}">
                  <a16:creationId xmlns:a16="http://schemas.microsoft.com/office/drawing/2014/main" id="{0D69E32F-882B-41B8-810F-7D8A7CA8E0E1}"/>
                </a:ext>
              </a:extLst>
            </xdr:cNvPr>
            <xdr:cNvGraphicFramePr>
              <a:graphicFrameLocks/>
            </xdr:cNvGraphicFramePr>
          </xdr:nvGraphicFramePr>
          <xdr:xfrm>
            <a:off x="32243946" y="3668847"/>
            <a:ext cx="4309472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24" name="Chart 23">
              <a:extLst>
                <a:ext uri="{FF2B5EF4-FFF2-40B4-BE49-F238E27FC236}">
                  <a16:creationId xmlns:a16="http://schemas.microsoft.com/office/drawing/2014/main" id="{8639A0D7-5BB8-49CB-9C46-57B6C548ECA4}"/>
                </a:ext>
              </a:extLst>
            </xdr:cNvPr>
            <xdr:cNvGraphicFramePr>
              <a:graphicFrameLocks/>
            </xdr:cNvGraphicFramePr>
          </xdr:nvGraphicFramePr>
          <xdr:xfrm>
            <a:off x="23609878" y="3668846"/>
            <a:ext cx="4309472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25" name="Chart 24">
              <a:extLst>
                <a:ext uri="{FF2B5EF4-FFF2-40B4-BE49-F238E27FC236}">
                  <a16:creationId xmlns:a16="http://schemas.microsoft.com/office/drawing/2014/main" id="{D8CAE9D0-B6B0-933D-79D9-59EB832CE008}"/>
                </a:ext>
              </a:extLst>
            </xdr:cNvPr>
            <xdr:cNvGraphicFramePr>
              <a:graphicFrameLocks/>
            </xdr:cNvGraphicFramePr>
          </xdr:nvGraphicFramePr>
          <xdr:xfrm>
            <a:off x="27922592" y="6711529"/>
            <a:ext cx="4302370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graphicFrame macro="">
          <xdr:nvGraphicFramePr>
            <xdr:cNvPr id="26" name="Chart 25">
              <a:extLst>
                <a:ext uri="{FF2B5EF4-FFF2-40B4-BE49-F238E27FC236}">
                  <a16:creationId xmlns:a16="http://schemas.microsoft.com/office/drawing/2014/main" id="{E80531EA-7E18-D406-7FB5-0CB296FCCD2B}"/>
                </a:ext>
              </a:extLst>
            </xdr:cNvPr>
            <xdr:cNvGraphicFramePr>
              <a:graphicFrameLocks/>
            </xdr:cNvGraphicFramePr>
          </xdr:nvGraphicFramePr>
          <xdr:xfrm>
            <a:off x="32243946" y="6711530"/>
            <a:ext cx="4309472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27" name="Chart 26">
              <a:extLst>
                <a:ext uri="{FF2B5EF4-FFF2-40B4-BE49-F238E27FC236}">
                  <a16:creationId xmlns:a16="http://schemas.microsoft.com/office/drawing/2014/main" id="{825F8100-87FB-35BC-144A-71D61C76957D}"/>
                </a:ext>
              </a:extLst>
            </xdr:cNvPr>
            <xdr:cNvGraphicFramePr>
              <a:graphicFrameLocks/>
            </xdr:cNvGraphicFramePr>
          </xdr:nvGraphicFramePr>
          <xdr:xfrm>
            <a:off x="23618402" y="6711529"/>
            <a:ext cx="4309472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28" name="Chart 27">
              <a:extLst>
                <a:ext uri="{FF2B5EF4-FFF2-40B4-BE49-F238E27FC236}">
                  <a16:creationId xmlns:a16="http://schemas.microsoft.com/office/drawing/2014/main" id="{2E1051D0-0931-F054-3A50-B5B55EEA0254}"/>
                </a:ext>
              </a:extLst>
            </xdr:cNvPr>
            <xdr:cNvGraphicFramePr>
              <a:graphicFrameLocks/>
            </xdr:cNvGraphicFramePr>
          </xdr:nvGraphicFramePr>
          <xdr:xfrm>
            <a:off x="27925431" y="9758586"/>
            <a:ext cx="4302370" cy="302766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graphicFrame macro="">
          <xdr:nvGraphicFramePr>
            <xdr:cNvPr id="29" name="Chart 28">
              <a:extLst>
                <a:ext uri="{FF2B5EF4-FFF2-40B4-BE49-F238E27FC236}">
                  <a16:creationId xmlns:a16="http://schemas.microsoft.com/office/drawing/2014/main" id="{A587AB25-DBF3-D336-92EA-98C731F738D3}"/>
                </a:ext>
              </a:extLst>
            </xdr:cNvPr>
            <xdr:cNvGraphicFramePr>
              <a:graphicFrameLocks/>
            </xdr:cNvGraphicFramePr>
          </xdr:nvGraphicFramePr>
          <xdr:xfrm>
            <a:off x="27928274" y="12800538"/>
            <a:ext cx="4302370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6"/>
            </a:graphicData>
          </a:graphic>
        </xdr:graphicFrame>
        <xdr:graphicFrame macro="">
          <xdr:nvGraphicFramePr>
            <xdr:cNvPr id="30" name="Chart 29">
              <a:extLst>
                <a:ext uri="{FF2B5EF4-FFF2-40B4-BE49-F238E27FC236}">
                  <a16:creationId xmlns:a16="http://schemas.microsoft.com/office/drawing/2014/main" id="{345875D6-72E0-4772-A90A-52F91E8AA7B4}"/>
                </a:ext>
              </a:extLst>
            </xdr:cNvPr>
            <xdr:cNvGraphicFramePr>
              <a:graphicFrameLocks/>
            </xdr:cNvGraphicFramePr>
          </xdr:nvGraphicFramePr>
          <xdr:xfrm>
            <a:off x="32244053" y="9758587"/>
            <a:ext cx="4309472" cy="302766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7"/>
            </a:graphicData>
          </a:graphic>
        </xdr:graphicFrame>
        <xdr:graphicFrame macro="">
          <xdr:nvGraphicFramePr>
            <xdr:cNvPr id="31" name="Chart 30">
              <a:extLst>
                <a:ext uri="{FF2B5EF4-FFF2-40B4-BE49-F238E27FC236}">
                  <a16:creationId xmlns:a16="http://schemas.microsoft.com/office/drawing/2014/main" id="{68AFC2A8-5847-FE64-C050-AA6D14A92778}"/>
                </a:ext>
              </a:extLst>
            </xdr:cNvPr>
            <xdr:cNvGraphicFramePr>
              <a:graphicFrameLocks/>
            </xdr:cNvGraphicFramePr>
          </xdr:nvGraphicFramePr>
          <xdr:xfrm>
            <a:off x="32251049" y="12800539"/>
            <a:ext cx="4309472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8"/>
            </a:graphicData>
          </a:graphic>
        </xdr:graphicFrame>
        <xdr:graphicFrame macro="">
          <xdr:nvGraphicFramePr>
            <xdr:cNvPr id="32" name="Chart 31">
              <a:extLst>
                <a:ext uri="{FF2B5EF4-FFF2-40B4-BE49-F238E27FC236}">
                  <a16:creationId xmlns:a16="http://schemas.microsoft.com/office/drawing/2014/main" id="{E5C4FB60-8EFA-0E49-DE51-8FCD2606DFA2}"/>
                </a:ext>
              </a:extLst>
            </xdr:cNvPr>
            <xdr:cNvGraphicFramePr>
              <a:graphicFrameLocks/>
            </xdr:cNvGraphicFramePr>
          </xdr:nvGraphicFramePr>
          <xdr:xfrm>
            <a:off x="23615778" y="9758586"/>
            <a:ext cx="4309472" cy="302766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9"/>
            </a:graphicData>
          </a:graphic>
        </xdr:graphicFrame>
        <xdr:graphicFrame macro="">
          <xdr:nvGraphicFramePr>
            <xdr:cNvPr id="33" name="Chart 32">
              <a:extLst>
                <a:ext uri="{FF2B5EF4-FFF2-40B4-BE49-F238E27FC236}">
                  <a16:creationId xmlns:a16="http://schemas.microsoft.com/office/drawing/2014/main" id="{294AA585-C11E-17D2-0D6C-D73FB1B644CF}"/>
                </a:ext>
              </a:extLst>
            </xdr:cNvPr>
            <xdr:cNvGraphicFramePr>
              <a:graphicFrameLocks/>
            </xdr:cNvGraphicFramePr>
          </xdr:nvGraphicFramePr>
          <xdr:xfrm>
            <a:off x="23609878" y="12800538"/>
            <a:ext cx="4309472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0"/>
            </a:graphicData>
          </a:graphic>
        </xdr:graphicFrame>
      </xdr:grpSp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38125C18-FA16-FB40-BFAA-B0D55F7AB6BC}"/>
              </a:ext>
            </a:extLst>
          </xdr:cNvPr>
          <xdr:cNvSpPr txBox="1"/>
        </xdr:nvSpPr>
        <xdr:spPr>
          <a:xfrm>
            <a:off x="19325558" y="266700"/>
            <a:ext cx="1984375" cy="374077"/>
          </a:xfrm>
          <a:prstGeom prst="rect">
            <a:avLst/>
          </a:prstGeom>
          <a:solidFill>
            <a:schemeClr val="bg2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r>
              <a:rPr lang="en-US" sz="1800"/>
              <a:t>PUT GREEKS</a:t>
            </a:r>
          </a:p>
        </xdr:txBody>
      </xdr:sp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4EE34514-8282-C74F-914A-E749B1903051}"/>
              </a:ext>
            </a:extLst>
          </xdr:cNvPr>
          <xdr:cNvSpPr>
            <a:spLocks/>
          </xdr:cNvSpPr>
        </xdr:nvSpPr>
        <xdr:spPr>
          <a:xfrm>
            <a:off x="13855700" y="228600"/>
            <a:ext cx="12915900" cy="15316200"/>
          </a:xfrm>
          <a:prstGeom prst="rect">
            <a:avLst/>
          </a:prstGeom>
          <a:noFill/>
          <a:ln w="25400">
            <a:solidFill>
              <a:schemeClr val="bg2">
                <a:lumMod val="50000"/>
              </a:schemeClr>
            </a:solidFill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56444</xdr:colOff>
      <xdr:row>3</xdr:row>
      <xdr:rowOff>39077</xdr:rowOff>
    </xdr:from>
    <xdr:to>
      <xdr:col>13</xdr:col>
      <xdr:colOff>809625</xdr:colOff>
      <xdr:row>21</xdr:row>
      <xdr:rowOff>222250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89AC28-961A-5F58-85F9-75A61AA17D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23</xdr:row>
      <xdr:rowOff>7711</xdr:rowOff>
    </xdr:from>
    <xdr:to>
      <xdr:col>27</xdr:col>
      <xdr:colOff>15875</xdr:colOff>
      <xdr:row>36</xdr:row>
      <xdr:rowOff>8091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9DBF8955-0E80-48A2-46E0-175CDAE2524E}"/>
            </a:ext>
          </a:extLst>
        </xdr:cNvPr>
        <xdr:cNvGrpSpPr/>
      </xdr:nvGrpSpPr>
      <xdr:grpSpPr>
        <a:xfrm>
          <a:off x="0" y="5436961"/>
          <a:ext cx="22304375" cy="2937255"/>
          <a:chOff x="826508" y="5331127"/>
          <a:chExt cx="21538808" cy="2953131"/>
        </a:xfrm>
      </xdr:grpSpPr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D76A43CD-F9AA-FC59-4304-7C440A6FE7ED}"/>
              </a:ext>
            </a:extLst>
          </xdr:cNvPr>
          <xdr:cNvGraphicFramePr/>
        </xdr:nvGraphicFramePr>
        <xdr:xfrm>
          <a:off x="826508" y="5331127"/>
          <a:ext cx="4306824" cy="295313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193C07F0-9794-7B94-372F-4279FED190B3}"/>
              </a:ext>
            </a:extLst>
          </xdr:cNvPr>
          <xdr:cNvGraphicFramePr/>
        </xdr:nvGraphicFramePr>
        <xdr:xfrm>
          <a:off x="5134504" y="5331127"/>
          <a:ext cx="4306824" cy="295313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3" name="Chart 12">
            <a:extLst>
              <a:ext uri="{FF2B5EF4-FFF2-40B4-BE49-F238E27FC236}">
                <a16:creationId xmlns:a16="http://schemas.microsoft.com/office/drawing/2014/main" id="{B6214449-3436-4C35-E4C7-FB4F02A6F09C}"/>
              </a:ext>
            </a:extLst>
          </xdr:cNvPr>
          <xdr:cNvGraphicFramePr/>
        </xdr:nvGraphicFramePr>
        <xdr:xfrm>
          <a:off x="9442500" y="5331127"/>
          <a:ext cx="4306824" cy="295313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FAA716E5-11D6-FA79-9F40-98C62DD5BEE3}"/>
              </a:ext>
            </a:extLst>
          </xdr:cNvPr>
          <xdr:cNvGraphicFramePr/>
        </xdr:nvGraphicFramePr>
        <xdr:xfrm>
          <a:off x="13750496" y="5331127"/>
          <a:ext cx="4306824" cy="295313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5" name="Chart 14">
            <a:extLst>
              <a:ext uri="{FF2B5EF4-FFF2-40B4-BE49-F238E27FC236}">
                <a16:creationId xmlns:a16="http://schemas.microsoft.com/office/drawing/2014/main" id="{7802F243-607F-54C3-A7CE-7D6771129E86}"/>
              </a:ext>
            </a:extLst>
          </xdr:cNvPr>
          <xdr:cNvGraphicFramePr/>
        </xdr:nvGraphicFramePr>
        <xdr:xfrm>
          <a:off x="18058492" y="5331127"/>
          <a:ext cx="4306824" cy="295313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17</xdr:col>
      <xdr:colOff>23813</xdr:colOff>
      <xdr:row>3</xdr:row>
      <xdr:rowOff>53602</xdr:rowOff>
    </xdr:from>
    <xdr:to>
      <xdr:col>26</xdr:col>
      <xdr:colOff>776994</xdr:colOff>
      <xdr:row>21</xdr:row>
      <xdr:rowOff>222249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D1EFA8CE-0D4B-DD0C-A795-1C481CC47B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14112</xdr:colOff>
      <xdr:row>7</xdr:row>
      <xdr:rowOff>25002</xdr:rowOff>
    </xdr:from>
    <xdr:to>
      <xdr:col>27</xdr:col>
      <xdr:colOff>212598</xdr:colOff>
      <xdr:row>35</xdr:row>
      <xdr:rowOff>67141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1BB7828-DD95-4E22-4973-2384D2140812}"/>
            </a:ext>
          </a:extLst>
        </xdr:cNvPr>
        <xdr:cNvGrpSpPr/>
      </xdr:nvGrpSpPr>
      <xdr:grpSpPr>
        <a:xfrm>
          <a:off x="14112" y="1533127"/>
          <a:ext cx="22772736" cy="5820639"/>
          <a:chOff x="61737" y="1469627"/>
          <a:chExt cx="22486986" cy="5820639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CD30576C-9C25-CD01-E49D-E9BE816A2203}"/>
              </a:ext>
            </a:extLst>
          </xdr:cNvPr>
          <xdr:cNvGraphicFramePr/>
        </xdr:nvGraphicFramePr>
        <xdr:xfrm>
          <a:off x="61737" y="1469627"/>
          <a:ext cx="4498848" cy="29352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76879DAC-06DA-6BFF-B7ED-9CB55379ABCB}"/>
              </a:ext>
            </a:extLst>
          </xdr:cNvPr>
          <xdr:cNvGraphicFramePr/>
        </xdr:nvGraphicFramePr>
        <xdr:xfrm>
          <a:off x="4570678" y="1469627"/>
          <a:ext cx="4498848" cy="29352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3A7A4B80-796C-F4DF-351E-9D8E870C462B}"/>
              </a:ext>
            </a:extLst>
          </xdr:cNvPr>
          <xdr:cNvGraphicFramePr/>
        </xdr:nvGraphicFramePr>
        <xdr:xfrm>
          <a:off x="13556810" y="1469627"/>
          <a:ext cx="4498848" cy="29352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26DA1BF0-24BC-EE2C-E17C-5E720B0806B1}"/>
              </a:ext>
            </a:extLst>
          </xdr:cNvPr>
          <xdr:cNvGraphicFramePr/>
        </xdr:nvGraphicFramePr>
        <xdr:xfrm>
          <a:off x="9079619" y="1469627"/>
          <a:ext cx="4498848" cy="29352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1927B619-160A-676E-07FD-8BF581F569D0}"/>
              </a:ext>
            </a:extLst>
          </xdr:cNvPr>
          <xdr:cNvGraphicFramePr/>
        </xdr:nvGraphicFramePr>
        <xdr:xfrm>
          <a:off x="18049875" y="1469627"/>
          <a:ext cx="4498848" cy="29352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9" name="Chart 8">
            <a:extLst>
              <a:ext uri="{FF2B5EF4-FFF2-40B4-BE49-F238E27FC236}">
                <a16:creationId xmlns:a16="http://schemas.microsoft.com/office/drawing/2014/main" id="{1E1FFAD0-9AEC-4B4B-BA45-40FFB225826D}"/>
              </a:ext>
            </a:extLst>
          </xdr:cNvPr>
          <xdr:cNvGraphicFramePr>
            <a:graphicFrameLocks/>
          </xdr:cNvGraphicFramePr>
        </xdr:nvGraphicFramePr>
        <xdr:xfrm>
          <a:off x="68792" y="4355042"/>
          <a:ext cx="4498848" cy="29352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5DFECAFD-D066-C84F-B1CE-E6B8573003FE}"/>
              </a:ext>
            </a:extLst>
          </xdr:cNvPr>
          <xdr:cNvGraphicFramePr>
            <a:graphicFrameLocks/>
          </xdr:cNvGraphicFramePr>
        </xdr:nvGraphicFramePr>
        <xdr:xfrm>
          <a:off x="4564063" y="4355042"/>
          <a:ext cx="4498848" cy="29352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55485D7B-7D85-8144-B6A1-ABE47858E36B}"/>
              </a:ext>
            </a:extLst>
          </xdr:cNvPr>
          <xdr:cNvGraphicFramePr>
            <a:graphicFrameLocks/>
          </xdr:cNvGraphicFramePr>
        </xdr:nvGraphicFramePr>
        <xdr:xfrm>
          <a:off x="9059334" y="4355042"/>
          <a:ext cx="4498848" cy="29352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2" name="Chart 11">
            <a:extLst>
              <a:ext uri="{FF2B5EF4-FFF2-40B4-BE49-F238E27FC236}">
                <a16:creationId xmlns:a16="http://schemas.microsoft.com/office/drawing/2014/main" id="{7B085810-1545-3143-B8A9-40E0699B4E17}"/>
              </a:ext>
            </a:extLst>
          </xdr:cNvPr>
          <xdr:cNvGraphicFramePr>
            <a:graphicFrameLocks/>
          </xdr:cNvGraphicFramePr>
        </xdr:nvGraphicFramePr>
        <xdr:xfrm>
          <a:off x="13554605" y="4355042"/>
          <a:ext cx="4498848" cy="29352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Chart 12">
            <a:extLst>
              <a:ext uri="{FF2B5EF4-FFF2-40B4-BE49-F238E27FC236}">
                <a16:creationId xmlns:a16="http://schemas.microsoft.com/office/drawing/2014/main" id="{A67E4414-AA74-DD4E-859C-31F5AC0F96E4}"/>
              </a:ext>
            </a:extLst>
          </xdr:cNvPr>
          <xdr:cNvGraphicFramePr>
            <a:graphicFrameLocks/>
          </xdr:cNvGraphicFramePr>
        </xdr:nvGraphicFramePr>
        <xdr:xfrm>
          <a:off x="18049875" y="4355042"/>
          <a:ext cx="4498848" cy="29352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1CE34-6AE7-8449-9BD9-300362D3F2D5}">
  <sheetPr codeName="Sheet1"/>
  <dimension ref="A1:BB103"/>
  <sheetViews>
    <sheetView zoomScaleNormal="100" workbookViewId="0">
      <selection activeCell="B7" sqref="B7"/>
    </sheetView>
  </sheetViews>
  <sheetFormatPr baseColWidth="10" defaultRowHeight="16" x14ac:dyDescent="0.2"/>
  <cols>
    <col min="1" max="1" width="5.83203125" customWidth="1"/>
    <col min="2" max="15" width="8.83203125" customWidth="1"/>
    <col min="16" max="17" width="5.83203125" customWidth="1"/>
    <col min="18" max="31" width="9.83203125" customWidth="1"/>
    <col min="32" max="33" width="5.83203125" customWidth="1"/>
    <col min="34" max="47" width="9.83203125" customWidth="1"/>
  </cols>
  <sheetData>
    <row r="1" spans="1:47" x14ac:dyDescent="0.2">
      <c r="A1" s="60" t="s">
        <v>0</v>
      </c>
      <c r="B1" s="1">
        <v>100</v>
      </c>
    </row>
    <row r="2" spans="1:47" x14ac:dyDescent="0.2">
      <c r="A2" s="60" t="s">
        <v>1</v>
      </c>
      <c r="B2" s="2">
        <v>0.01</v>
      </c>
    </row>
    <row r="3" spans="1:47" x14ac:dyDescent="0.2">
      <c r="A3" s="60" t="s">
        <v>2</v>
      </c>
      <c r="B3" s="35">
        <v>0.2</v>
      </c>
      <c r="Q3" s="60" t="s">
        <v>3</v>
      </c>
      <c r="R3" s="35">
        <v>0.3</v>
      </c>
      <c r="AG3" s="60" t="s">
        <v>16</v>
      </c>
      <c r="AH3" s="35">
        <v>0.1</v>
      </c>
    </row>
    <row r="4" spans="1:47" x14ac:dyDescent="0.2">
      <c r="B4" s="3"/>
      <c r="R4" s="4"/>
      <c r="AH4" s="4"/>
    </row>
    <row r="5" spans="1:47" x14ac:dyDescent="0.2">
      <c r="A5" s="107" t="s">
        <v>4</v>
      </c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Q5" s="107" t="s">
        <v>5</v>
      </c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G5" s="107" t="s">
        <v>14</v>
      </c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</row>
    <row r="6" spans="1:47" s="5" customFormat="1" x14ac:dyDescent="0.2">
      <c r="A6" s="8"/>
      <c r="B6" s="17">
        <v>0.1</v>
      </c>
      <c r="C6" s="17">
        <v>0.2</v>
      </c>
      <c r="D6" s="17">
        <v>0.3</v>
      </c>
      <c r="E6" s="17">
        <v>0.4</v>
      </c>
      <c r="F6" s="17">
        <v>0.5</v>
      </c>
      <c r="G6" s="17">
        <v>0.6</v>
      </c>
      <c r="H6" s="17">
        <v>0.7</v>
      </c>
      <c r="I6" s="17">
        <v>0.8</v>
      </c>
      <c r="J6" s="17">
        <v>0.9</v>
      </c>
      <c r="K6" s="17">
        <v>1</v>
      </c>
      <c r="L6" s="17">
        <v>2</v>
      </c>
      <c r="M6" s="17">
        <v>3</v>
      </c>
      <c r="N6" s="17">
        <v>4</v>
      </c>
      <c r="O6" s="17">
        <v>5</v>
      </c>
      <c r="P6" s="11"/>
      <c r="Q6" s="8"/>
      <c r="R6" s="17">
        <v>0.1</v>
      </c>
      <c r="S6" s="17">
        <v>0.2</v>
      </c>
      <c r="T6" s="17">
        <v>0.3</v>
      </c>
      <c r="U6" s="17">
        <v>0.4</v>
      </c>
      <c r="V6" s="17">
        <v>0.5</v>
      </c>
      <c r="W6" s="17">
        <v>0.6</v>
      </c>
      <c r="X6" s="17">
        <v>0.7</v>
      </c>
      <c r="Y6" s="17">
        <v>0.8</v>
      </c>
      <c r="Z6" s="17">
        <v>0.9</v>
      </c>
      <c r="AA6" s="17">
        <v>1</v>
      </c>
      <c r="AB6" s="17">
        <v>2</v>
      </c>
      <c r="AC6" s="17">
        <v>3</v>
      </c>
      <c r="AD6" s="17">
        <v>4</v>
      </c>
      <c r="AE6" s="17">
        <v>5</v>
      </c>
      <c r="AF6" s="11"/>
      <c r="AG6" s="8"/>
      <c r="AH6" s="17">
        <v>0.1</v>
      </c>
      <c r="AI6" s="17">
        <v>0.2</v>
      </c>
      <c r="AJ6" s="17">
        <v>0.3</v>
      </c>
      <c r="AK6" s="17">
        <v>0.4</v>
      </c>
      <c r="AL6" s="17">
        <v>0.5</v>
      </c>
      <c r="AM6" s="17">
        <v>0.6</v>
      </c>
      <c r="AN6" s="17">
        <v>0.7</v>
      </c>
      <c r="AO6" s="17">
        <v>0.8</v>
      </c>
      <c r="AP6" s="17">
        <v>0.9</v>
      </c>
      <c r="AQ6" s="17">
        <v>1</v>
      </c>
      <c r="AR6" s="17">
        <v>2</v>
      </c>
      <c r="AS6" s="17">
        <v>3</v>
      </c>
      <c r="AT6" s="17">
        <v>4</v>
      </c>
      <c r="AU6" s="17">
        <v>5</v>
      </c>
    </row>
    <row r="7" spans="1:47" x14ac:dyDescent="0.2">
      <c r="A7" s="12">
        <v>60</v>
      </c>
      <c r="B7" s="19" cm="1">
        <f t="array" ref="B7">BS_Greek("CALL","DELTA",$A7,$B$1,$B$2,$B$3,B$6)</f>
        <v>4.8964030371399111E-16</v>
      </c>
      <c r="C7" s="20" cm="1">
        <f t="array" ref="C7">BS_Greek("CALL","DELTA",$A7,$B$1,$B$2,$B$3,C$6)</f>
        <v>8.3013130785334355E-9</v>
      </c>
      <c r="D7" s="20" cm="1">
        <f t="array" ref="D7">BS_Greek("CALL","DELTA",$A7,$B$1,$B$2,$B$3,D$6)</f>
        <v>2.3135653326617214E-6</v>
      </c>
      <c r="E7" s="20" cm="1">
        <f t="array" ref="E7">BS_Greek("CALL","DELTA",$A7,$B$1,$B$2,$B$3,E$6)</f>
        <v>4.0139975424484934E-5</v>
      </c>
      <c r="F7" s="20" cm="1">
        <f t="array" ref="F7">BS_Greek("CALL","DELTA",$A7,$B$1,$B$2,$B$3,F$6)</f>
        <v>2.2743341786876357E-4</v>
      </c>
      <c r="G7" s="20" cm="1">
        <f t="array" ref="G7">BS_Greek("CALL","DELTA",$A7,$B$1,$B$2,$B$3,G$6)</f>
        <v>7.3339315349598864E-4</v>
      </c>
      <c r="H7" s="20" cm="1">
        <f t="array" ref="H7">BS_Greek("CALL","DELTA",$A7,$B$1,$B$2,$B$3,H$6)</f>
        <v>1.7097704105366416E-3</v>
      </c>
      <c r="I7" s="20" cm="1">
        <f t="array" ref="I7">BS_Greek("CALL","DELTA",$A7,$B$1,$B$2,$B$3,I$6)</f>
        <v>3.2499291224938613E-3</v>
      </c>
      <c r="J7" s="20" cm="1">
        <f t="array" ref="J7">BS_Greek("CALL","DELTA",$A7,$B$1,$B$2,$B$3,J$6)</f>
        <v>5.3863786913071277E-3</v>
      </c>
      <c r="K7" s="20" cm="1">
        <f t="array" ref="K7">BS_Greek("CALL","DELTA",$A7,$B$1,$B$2,$B$3,K$6)</f>
        <v>8.1055453543928818E-3</v>
      </c>
      <c r="L7" s="20" cm="1">
        <f t="array" ref="L7">BS_Greek("CALL","DELTA",$A7,$B$1,$B$2,$B$3,L$6)</f>
        <v>5.5478177979400571E-2</v>
      </c>
      <c r="M7" s="20" cm="1">
        <f t="array" ref="M7">BS_Greek("CALL","DELTA",$A7,$B$1,$B$2,$B$3,M$6)</f>
        <v>0.11221757852337162</v>
      </c>
      <c r="N7" s="20" cm="1">
        <f t="array" ref="N7">BS_Greek("CALL","DELTA",$A7,$B$1,$B$2,$B$3,N$6)</f>
        <v>0.16426871972840887</v>
      </c>
      <c r="O7" s="21" cm="1">
        <f t="array" ref="O7">BS_Greek("CALL","DELTA",$A7,$B$1,$B$2,$B$3,O$6)</f>
        <v>0.20988203686100165</v>
      </c>
      <c r="P7" s="5"/>
      <c r="Q7" s="12">
        <v>60</v>
      </c>
      <c r="R7" s="19" cm="1">
        <f t="array" ref="R7">BS_Greek("CALL","DELTA",$Q7,$B$1,$B$2,$R$3,R$6)</f>
        <v>5.0034162369055407E-8</v>
      </c>
      <c r="S7" s="20" cm="1">
        <f t="array" ref="S7">BS_Greek("CALL","DELTA",$Q7,$B$1,$B$2,$R$3,S$6)</f>
        <v>9.7471862538906133E-5</v>
      </c>
      <c r="T7" s="20" cm="1">
        <f t="array" ref="T7">BS_Greek("CALL","DELTA",$Q7,$B$1,$B$2,$R$3,T$6)</f>
        <v>1.3132659794663289E-3</v>
      </c>
      <c r="U7" s="20" cm="1">
        <f t="array" ref="U7">BS_Greek("CALL","DELTA",$Q7,$B$1,$B$2,$R$3,U$6)</f>
        <v>4.992660033900336E-3</v>
      </c>
      <c r="V7" s="20" cm="1">
        <f t="array" ref="V7">BS_Greek("CALL","DELTA",$Q7,$B$1,$B$2,$R$3,V$6)</f>
        <v>1.1350817464731676E-2</v>
      </c>
      <c r="W7" s="20" cm="1">
        <f t="array" ref="W7">BS_Greek("CALL","DELTA",$Q7,$B$1,$B$2,$R$3,W$6)</f>
        <v>1.9879978802043376E-2</v>
      </c>
      <c r="X7" s="20" cm="1">
        <f t="array" ref="X7">BS_Greek("CALL","DELTA",$Q7,$B$1,$B$2,$R$3,X$6)</f>
        <v>2.9932244764737284E-2</v>
      </c>
      <c r="Y7" s="20" cm="1">
        <f t="array" ref="Y7">BS_Greek("CALL","DELTA",$Q7,$B$1,$B$2,$R$3,Y$6)</f>
        <v>4.0950902335764483E-2</v>
      </c>
      <c r="Z7" s="20" cm="1">
        <f t="array" ref="Z7">BS_Greek("CALL","DELTA",$Q7,$B$1,$B$2,$R$3,Z$6)</f>
        <v>5.2516002614189643E-2</v>
      </c>
      <c r="AA7" s="20" cm="1">
        <f t="array" ref="AA7">BS_Greek("CALL","DELTA",$Q7,$B$1,$B$2,$R$3,AA$6)</f>
        <v>6.4328563178375001E-2</v>
      </c>
      <c r="AB7" s="20" cm="1">
        <f t="array" ref="AB7">BS_Greek("CALL","DELTA",$Q7,$B$1,$B$2,$R$3,AB$6)</f>
        <v>0.17239197114368851</v>
      </c>
      <c r="AC7" s="20" cm="1">
        <f t="array" ref="AC7">BS_Greek("CALL","DELTA",$Q7,$B$1,$B$2,$R$3,AC$6)</f>
        <v>0.25285203319023192</v>
      </c>
      <c r="AD7" s="20" cm="1">
        <f t="array" ref="AD7">BS_Greek("CALL","DELTA",$Q7,$B$1,$B$2,$R$3,AD$6)</f>
        <v>0.31394125841594145</v>
      </c>
      <c r="AE7" s="21" cm="1">
        <f t="array" ref="AE7">BS_Greek("CALL","DELTA",$Q7,$B$1,$B$2,$R$3,AE$6)</f>
        <v>0.3625886029317465</v>
      </c>
      <c r="AF7" s="5"/>
      <c r="AG7" s="12">
        <v>60</v>
      </c>
      <c r="AH7" s="19" cm="1">
        <f t="array" ref="AH7">BS_Greek("CALL","DELTA",$AG7,$B$1,$B$2,$AH$3,AH$6)</f>
        <v>1.152199866581175E-58</v>
      </c>
      <c r="AI7" s="20" cm="1">
        <f t="array" ref="AI7">BS_Greek("CALL","DELTA",$AG7,$B$1,$B$2,$AH$3,AI$6)</f>
        <v>3.4889502026674058E-30</v>
      </c>
      <c r="AJ7" s="20" cm="1">
        <f t="array" ref="AJ7">BS_Greek("CALL","DELTA",$AG7,$B$1,$B$2,$AH$3,AJ$6)</f>
        <v>1.1850476086013734E-20</v>
      </c>
      <c r="AK7" s="20" cm="1">
        <f t="array" ref="AK7">BS_Greek("CALL","DELTA",$AG7,$B$1,$B$2,$AH$3,AK$6)</f>
        <v>7.1994037560856956E-16</v>
      </c>
      <c r="AL7" s="20" cm="1">
        <f t="array" ref="AL7">BS_Greek("CALL","DELTA",$AG7,$B$1,$B$2,$AH$3,AL$6)</f>
        <v>5.4712789718468615E-13</v>
      </c>
      <c r="AM7" s="20" cm="1">
        <f t="array" ref="AM7">BS_Greek("CALL","DELTA",$AG7,$B$1,$B$2,$AH$3,AM$6)</f>
        <v>4.6306900470662182E-11</v>
      </c>
      <c r="AN7" s="20" cm="1">
        <f t="array" ref="AN7">BS_Greek("CALL","DELTA",$AG7,$B$1,$B$2,$AH$3,AN$6)</f>
        <v>1.1154484392717851E-9</v>
      </c>
      <c r="AO7" s="20" cm="1">
        <f t="array" ref="AO7">BS_Greek("CALL","DELTA",$AG7,$B$1,$B$2,$AH$3,AO$6)</f>
        <v>1.2232280237899387E-8</v>
      </c>
      <c r="AP7" s="20" cm="1">
        <f t="array" ref="AP7">BS_Greek("CALL","DELTA",$AG7,$B$1,$B$2,$AH$3,AP$6)</f>
        <v>7.9305503738124766E-8</v>
      </c>
      <c r="AQ7" s="20" cm="1">
        <f t="array" ref="AQ7">BS_Greek("CALL","DELTA",$AG7,$B$1,$B$2,$AH$3,AQ$6)</f>
        <v>3.5564355541459722E-7</v>
      </c>
      <c r="AR7" s="20" cm="1">
        <f t="array" ref="AR7">BS_Greek("CALL","DELTA",$AG7,$B$1,$B$2,$AH$3,AR$6)</f>
        <v>3.3699015309893697E-4</v>
      </c>
      <c r="AS7" s="20" cm="1">
        <f t="array" ref="AS7">BS_Greek("CALL","DELTA",$AG7,$B$1,$B$2,$AH$3,AS$6)</f>
        <v>3.5785417129918693E-3</v>
      </c>
      <c r="AT7" s="20" cm="1">
        <f t="array" ref="AT7">BS_Greek("CALL","DELTA",$AG7,$B$1,$B$2,$AH$3,AT$6)</f>
        <v>1.2094054588474413E-2</v>
      </c>
      <c r="AU7" s="21" cm="1">
        <f t="array" ref="AU7">BS_Greek("CALL","DELTA",$AG7,$B$1,$B$2,$AH$3,AU$6)</f>
        <v>2.564344677496205E-2</v>
      </c>
    </row>
    <row r="8" spans="1:47" x14ac:dyDescent="0.2">
      <c r="A8" s="12">
        <v>65</v>
      </c>
      <c r="B8" s="22" cm="1">
        <f t="array" ref="B8">BS_Greek("CALL","DELTA",$A8,$B$1,$B$2,$B$3,B$6)</f>
        <v>6.7189909908190016E-12</v>
      </c>
      <c r="C8" s="14" cm="1">
        <f t="array" ref="C8">BS_Greek("CALL","DELTA",$A8,$B$1,$B$2,$B$3,C$6)</f>
        <v>1.0210267589266487E-6</v>
      </c>
      <c r="D8" s="14" cm="1">
        <f t="array" ref="D8">BS_Greek("CALL","DELTA",$A8,$B$1,$B$2,$B$3,D$6)</f>
        <v>5.8978518150786922E-5</v>
      </c>
      <c r="E8" s="14" cm="1">
        <f t="array" ref="E8">BS_Greek("CALL","DELTA",$A8,$B$1,$B$2,$B$3,E$6)</f>
        <v>4.6519881412379274E-4</v>
      </c>
      <c r="F8" s="14" cm="1">
        <f t="array" ref="F8">BS_Greek("CALL","DELTA",$A8,$B$1,$B$2,$B$3,F$6)</f>
        <v>1.6409066155964737E-3</v>
      </c>
      <c r="G8" s="14" cm="1">
        <f t="array" ref="G8">BS_Greek("CALL","DELTA",$A8,$B$1,$B$2,$B$3,G$6)</f>
        <v>3.8551173459696964E-3</v>
      </c>
      <c r="H8" s="14" cm="1">
        <f t="array" ref="H8">BS_Greek("CALL","DELTA",$A8,$B$1,$B$2,$B$3,H$6)</f>
        <v>7.1642370961297339E-3</v>
      </c>
      <c r="I8" s="14" cm="1">
        <f t="array" ref="I8">BS_Greek("CALL","DELTA",$A8,$B$1,$B$2,$B$3,I$6)</f>
        <v>1.1483425231958777E-2</v>
      </c>
      <c r="J8" s="14" cm="1">
        <f t="array" ref="J8">BS_Greek("CALL","DELTA",$A8,$B$1,$B$2,$B$3,J$6)</f>
        <v>1.6663450654240821E-2</v>
      </c>
      <c r="K8" s="14" cm="1">
        <f t="array" ref="K8">BS_Greek("CALL","DELTA",$A8,$B$1,$B$2,$B$3,K$6)</f>
        <v>2.2539605701555526E-2</v>
      </c>
      <c r="L8" s="14" cm="1">
        <f t="array" ref="L8">BS_Greek("CALL","DELTA",$A8,$B$1,$B$2,$B$3,L$6)</f>
        <v>9.4943144684704661E-2</v>
      </c>
      <c r="M8" s="14" cm="1">
        <f t="array" ref="M8">BS_Greek("CALL","DELTA",$A8,$B$1,$B$2,$B$3,M$6)</f>
        <v>0.16261786177644788</v>
      </c>
      <c r="N8" s="14" cm="1">
        <f t="array" ref="N8">BS_Greek("CALL","DELTA",$A8,$B$1,$B$2,$B$3,N$6)</f>
        <v>0.21859198446496683</v>
      </c>
      <c r="O8" s="23" cm="1">
        <f t="array" ref="O8">BS_Greek("CALL","DELTA",$A8,$B$1,$B$2,$B$3,O$6)</f>
        <v>0.26505120645503799</v>
      </c>
      <c r="P8" s="5"/>
      <c r="Q8" s="12">
        <v>65</v>
      </c>
      <c r="R8" s="22" cm="1">
        <f t="array" ref="R8">BS_Greek("CALL","DELTA",$Q8,$B$1,$B$2,$R$3,R$6)</f>
        <v>3.6821940892309305E-6</v>
      </c>
      <c r="S8" s="14" cm="1">
        <f t="array" ref="S8">BS_Greek("CALL","DELTA",$Q8,$B$1,$B$2,$R$3,S$6)</f>
        <v>8.7737836912211542E-4</v>
      </c>
      <c r="T8" s="14" cm="1">
        <f t="array" ref="T8">BS_Greek("CALL","DELTA",$Q8,$B$1,$B$2,$R$3,T$6)</f>
        <v>5.847011044032159E-3</v>
      </c>
      <c r="U8" s="14" cm="1">
        <f t="array" ref="U8">BS_Greek("CALL","DELTA",$Q8,$B$1,$B$2,$R$3,U$6)</f>
        <v>1.5601464786896047E-2</v>
      </c>
      <c r="V8" s="14" cm="1">
        <f t="array" ref="V8">BS_Greek("CALL","DELTA",$Q8,$B$1,$B$2,$R$3,V$6)</f>
        <v>2.8644857358513225E-2</v>
      </c>
      <c r="W8" s="14" cm="1">
        <f t="array" ref="W8">BS_Greek("CALL","DELTA",$Q8,$B$1,$B$2,$R$3,W$6)</f>
        <v>4.3468137473605249E-2</v>
      </c>
      <c r="X8" s="14" cm="1">
        <f t="array" ref="X8">BS_Greek("CALL","DELTA",$Q8,$B$1,$B$2,$R$3,X$6)</f>
        <v>5.9038935425869576E-2</v>
      </c>
      <c r="Y8" s="14" cm="1">
        <f t="array" ref="Y8">BS_Greek("CALL","DELTA",$Q8,$B$1,$B$2,$R$3,Y$6)</f>
        <v>7.4728116021825122E-2</v>
      </c>
      <c r="Z8" s="14" cm="1">
        <f t="array" ref="Z8">BS_Greek("CALL","DELTA",$Q8,$B$1,$B$2,$R$3,Z$6)</f>
        <v>9.0172813400075422E-2</v>
      </c>
      <c r="AA8" s="14" cm="1">
        <f t="array" ref="AA8">BS_Greek("CALL","DELTA",$Q8,$B$1,$B$2,$R$3,AA$6)</f>
        <v>0.10517388780770238</v>
      </c>
      <c r="AB8" s="14" cm="1">
        <f t="array" ref="AB8">BS_Greek("CALL","DELTA",$Q8,$B$1,$B$2,$R$3,AB$6)</f>
        <v>0.22479684393807561</v>
      </c>
      <c r="AC8" s="14" cm="1">
        <f t="array" ref="AC8">BS_Greek("CALL","DELTA",$Q8,$B$1,$B$2,$R$3,AC$6)</f>
        <v>0.3045006830407393</v>
      </c>
      <c r="AD8" s="14" cm="1">
        <f t="array" ref="AD8">BS_Greek("CALL","DELTA",$Q8,$B$1,$B$2,$R$3,AD$6)</f>
        <v>0.36267982457804149</v>
      </c>
      <c r="AE8" s="23" cm="1">
        <f t="array" ref="AE8">BS_Greek("CALL","DELTA",$Q8,$B$1,$B$2,$R$3,AE$6)</f>
        <v>0.4081806753100849</v>
      </c>
      <c r="AF8" s="5"/>
      <c r="AG8" s="12">
        <v>65</v>
      </c>
      <c r="AH8" s="22" cm="1">
        <f t="array" ref="AH8">BS_Greek("CALL","DELTA",$AG8,$B$1,$B$2,$AH$3,AH$6)</f>
        <v>2.8126612880569749E-42</v>
      </c>
      <c r="AI8" s="14" cm="1">
        <f t="array" ref="AI8">BS_Greek("CALL","DELTA",$AG8,$B$1,$B$2,$AH$3,AI$6)</f>
        <v>5.5821144851585946E-22</v>
      </c>
      <c r="AJ8" s="14" cm="1">
        <f t="array" ref="AJ8">BS_Greek("CALL","DELTA",$AG8,$B$1,$B$2,$AH$3,AJ$6)</f>
        <v>3.5461176703588084E-15</v>
      </c>
      <c r="AK8" s="14" cm="1">
        <f t="array" ref="AK8">BS_Greek("CALL","DELTA",$AG8,$B$1,$B$2,$AH$3,AK$6)</f>
        <v>9.3129642843240566E-12</v>
      </c>
      <c r="AL8" s="14" cm="1">
        <f t="array" ref="AL8">BS_Greek("CALL","DELTA",$AG8,$B$1,$B$2,$AH$3,AL$6)</f>
        <v>1.0745001039870842E-9</v>
      </c>
      <c r="AM8" s="14" cm="1">
        <f t="array" ref="AM8">BS_Greek("CALL","DELTA",$AG8,$B$1,$B$2,$AH$3,AM$6)</f>
        <v>2.5874472084445203E-8</v>
      </c>
      <c r="AN8" s="14" cm="1">
        <f t="array" ref="AN8">BS_Greek("CALL","DELTA",$AG8,$B$1,$B$2,$AH$3,AN$6)</f>
        <v>2.5390046836316603E-7</v>
      </c>
      <c r="AO8" s="14" cm="1">
        <f t="array" ref="AO8">BS_Greek("CALL","DELTA",$AG8,$B$1,$B$2,$AH$3,AO$6)</f>
        <v>1.4195096494921114E-6</v>
      </c>
      <c r="AP8" s="14" cm="1">
        <f t="array" ref="AP8">BS_Greek("CALL","DELTA",$AG8,$B$1,$B$2,$AH$3,AP$6)</f>
        <v>5.4488726576165721E-6</v>
      </c>
      <c r="AQ8" s="14" cm="1">
        <f t="array" ref="AQ8">BS_Greek("CALL","DELTA",$AG8,$B$1,$B$2,$AH$3,AQ$6)</f>
        <v>1.6064307266339651E-5</v>
      </c>
      <c r="AR8" s="14" cm="1">
        <f t="array" ref="AR8">BS_Greek("CALL","DELTA",$AG8,$B$1,$B$2,$AH$3,AR$6)</f>
        <v>2.2987314592982327E-3</v>
      </c>
      <c r="AS8" s="14" cm="1">
        <f t="array" ref="AS8">BS_Greek("CALL","DELTA",$AG8,$B$1,$B$2,$AH$3,AS$6)</f>
        <v>1.2962990657514536E-2</v>
      </c>
      <c r="AT8" s="14" cm="1">
        <f t="array" ref="AT8">BS_Greek("CALL","DELTA",$AG8,$B$1,$B$2,$AH$3,AT$6)</f>
        <v>3.1875690795675732E-2</v>
      </c>
      <c r="AU8" s="23" cm="1">
        <f t="array" ref="AU8">BS_Greek("CALL","DELTA",$AG8,$B$1,$B$2,$AH$3,AU$6)</f>
        <v>5.5792459445646918E-2</v>
      </c>
    </row>
    <row r="9" spans="1:47" x14ac:dyDescent="0.2">
      <c r="A9" s="12">
        <v>70</v>
      </c>
      <c r="B9" s="22" cm="1">
        <f t="array" ref="B9">BS_Greek("CALL","DELTA",$A9,$B$1,$B$2,$B$3,B$6)</f>
        <v>1.1217502453550677E-8</v>
      </c>
      <c r="C9" s="14" cm="1">
        <f t="array" ref="C9">BS_Greek("CALL","DELTA",$A9,$B$1,$B$2,$B$3,C$6)</f>
        <v>4.4152463014191854E-5</v>
      </c>
      <c r="D9" s="14" cm="1">
        <f t="array" ref="D9">BS_Greek("CALL","DELTA",$A9,$B$1,$B$2,$B$3,D$6)</f>
        <v>7.522257491842688E-4</v>
      </c>
      <c r="E9" s="14" cm="1">
        <f t="array" ref="E9">BS_Greek("CALL","DELTA",$A9,$B$1,$B$2,$B$3,E$6)</f>
        <v>3.2160999955850558E-3</v>
      </c>
      <c r="F9" s="14" cm="1">
        <f t="array" ref="F9">BS_Greek("CALL","DELTA",$A9,$B$1,$B$2,$B$3,F$6)</f>
        <v>7.8458863408448522E-3</v>
      </c>
      <c r="G9" s="14" cm="1">
        <f t="array" ref="G9">BS_Greek("CALL","DELTA",$A9,$B$1,$B$2,$B$3,G$6)</f>
        <v>1.4402778602930108E-2</v>
      </c>
      <c r="H9" s="14" cm="1">
        <f t="array" ref="H9">BS_Greek("CALL","DELTA",$A9,$B$1,$B$2,$B$3,H$6)</f>
        <v>2.242591118396205E-2</v>
      </c>
      <c r="I9" s="14" cm="1">
        <f t="array" ref="I9">BS_Greek("CALL","DELTA",$A9,$B$1,$B$2,$B$3,I$6)</f>
        <v>3.1463320553836806E-2</v>
      </c>
      <c r="J9" s="14" cm="1">
        <f t="array" ref="J9">BS_Greek("CALL","DELTA",$A9,$B$1,$B$2,$B$3,J$6)</f>
        <v>4.1145992558525323E-2</v>
      </c>
      <c r="K9" s="14" cm="1">
        <f t="array" ref="K9">BS_Greek("CALL","DELTA",$A9,$B$1,$B$2,$B$3,K$6)</f>
        <v>5.1195105289887979E-2</v>
      </c>
      <c r="L9" s="14" cm="1">
        <f t="array" ref="L9">BS_Greek("CALL","DELTA",$A9,$B$1,$B$2,$B$3,L$6)</f>
        <v>0.14711107776501314</v>
      </c>
      <c r="M9" s="14" cm="1">
        <f t="array" ref="M9">BS_Greek("CALL","DELTA",$A9,$B$1,$B$2,$B$3,M$6)</f>
        <v>0.22070207540533249</v>
      </c>
      <c r="N9" s="14" cm="1">
        <f t="array" ref="N9">BS_Greek("CALL","DELTA",$A9,$B$1,$B$2,$B$3,N$6)</f>
        <v>0.27702998118727484</v>
      </c>
      <c r="O9" s="23" cm="1">
        <f t="array" ref="O9">BS_Greek("CALL","DELTA",$A9,$B$1,$B$2,$B$3,O$6)</f>
        <v>0.32199074177395015</v>
      </c>
      <c r="P9" s="5"/>
      <c r="Q9" s="12">
        <v>70</v>
      </c>
      <c r="R9" s="22" cm="1">
        <f t="array" ref="R9">BS_Greek("CALL","DELTA",$Q9,$B$1,$B$2,$R$3,R$6)</f>
        <v>1.0707610281507444E-4</v>
      </c>
      <c r="S9" s="14" cm="1">
        <f t="array" ref="S9">BS_Greek("CALL","DELTA",$Q9,$B$1,$B$2,$R$3,S$6)</f>
        <v>4.9901816736536639E-3</v>
      </c>
      <c r="T9" s="14" cm="1">
        <f t="array" ref="T9">BS_Greek("CALL","DELTA",$Q9,$B$1,$B$2,$R$3,T$6)</f>
        <v>1.9214994632873059E-2</v>
      </c>
      <c r="U9" s="14" cm="1">
        <f t="array" ref="U9">BS_Greek("CALL","DELTA",$Q9,$B$1,$B$2,$R$3,U$6)</f>
        <v>3.8875096230606622E-2</v>
      </c>
      <c r="V9" s="14" cm="1">
        <f t="array" ref="V9">BS_Greek("CALL","DELTA",$Q9,$B$1,$B$2,$R$3,V$6)</f>
        <v>6.0361557489523619E-2</v>
      </c>
      <c r="W9" s="14" cm="1">
        <f t="array" ref="W9">BS_Greek("CALL","DELTA",$Q9,$B$1,$B$2,$R$3,W$6)</f>
        <v>8.1828768636166921E-2</v>
      </c>
      <c r="X9" s="14" cm="1">
        <f t="array" ref="X9">BS_Greek("CALL","DELTA",$Q9,$B$1,$B$2,$R$3,X$6)</f>
        <v>0.10246339188434647</v>
      </c>
      <c r="Y9" s="14" cm="1">
        <f t="array" ref="Y9">BS_Greek("CALL","DELTA",$Q9,$B$1,$B$2,$R$3,Y$6)</f>
        <v>0.12195471445596062</v>
      </c>
      <c r="Z9" s="14" cm="1">
        <f t="array" ref="Z9">BS_Greek("CALL","DELTA",$Q9,$B$1,$B$2,$R$3,Z$6)</f>
        <v>0.1402263966706617</v>
      </c>
      <c r="AA9" s="14" cm="1">
        <f t="array" ref="AA9">BS_Greek("CALL","DELTA",$Q9,$B$1,$B$2,$R$3,AA$6)</f>
        <v>0.15730806721544691</v>
      </c>
      <c r="AB9" s="14" cm="1">
        <f t="array" ref="AB9">BS_Greek("CALL","DELTA",$Q9,$B$1,$B$2,$R$3,AB$6)</f>
        <v>0.28047924339879649</v>
      </c>
      <c r="AC9" s="14" cm="1">
        <f t="array" ref="AC9">BS_Greek("CALL","DELTA",$Q9,$B$1,$B$2,$R$3,AC$6)</f>
        <v>0.35610910688425379</v>
      </c>
      <c r="AD9" s="14" cm="1">
        <f t="array" ref="AD9">BS_Greek("CALL","DELTA",$Q9,$B$1,$B$2,$R$3,AD$6)</f>
        <v>0.40990413904026235</v>
      </c>
      <c r="AE9" s="23" cm="1">
        <f t="array" ref="AE9">BS_Greek("CALL","DELTA",$Q9,$B$1,$B$2,$R$3,AE$6)</f>
        <v>0.45154699490085998</v>
      </c>
      <c r="AF9" s="5"/>
      <c r="AG9" s="12">
        <v>70</v>
      </c>
      <c r="AH9" s="22" cm="1">
        <f t="array" ref="AH9">BS_Greek("CALL","DELTA",$AG9,$B$1,$B$2,$AH$3,AH$6)</f>
        <v>1.4260381787834196E-29</v>
      </c>
      <c r="AI9" s="14" cm="1">
        <f t="array" ref="AI9">BS_Greek("CALL","DELTA",$AG9,$B$1,$B$2,$AH$3,AI$6)</f>
        <v>1.3034623767509508E-15</v>
      </c>
      <c r="AJ9" s="14" cm="1">
        <f t="array" ref="AJ9">BS_Greek("CALL","DELTA",$AG9,$B$1,$B$2,$AH$3,AJ$6)</f>
        <v>6.3883719199083708E-11</v>
      </c>
      <c r="AK9" s="14" cm="1">
        <f t="array" ref="AK9">BS_Greek("CALL","DELTA",$AG9,$B$1,$B$2,$AH$3,AK$6)</f>
        <v>1.4726488482514407E-8</v>
      </c>
      <c r="AL9" s="14" cm="1">
        <f t="array" ref="AL9">BS_Greek("CALL","DELTA",$AG9,$B$1,$B$2,$AH$3,AL$6)</f>
        <v>3.9447858056893467E-7</v>
      </c>
      <c r="AM9" s="14" cm="1">
        <f t="array" ref="AM9">BS_Greek("CALL","DELTA",$AG9,$B$1,$B$2,$AH$3,AM$6)</f>
        <v>3.5869233961988741E-6</v>
      </c>
      <c r="AN9" s="14" cm="1">
        <f t="array" ref="AN9">BS_Greek("CALL","DELTA",$AG9,$B$1,$B$2,$AH$3,AN$6)</f>
        <v>1.7549254029347776E-5</v>
      </c>
      <c r="AO9" s="14" cm="1">
        <f t="array" ref="AO9">BS_Greek("CALL","DELTA",$AG9,$B$1,$B$2,$AH$3,AO$6)</f>
        <v>5.820088365787128E-5</v>
      </c>
      <c r="AP9" s="14" cm="1">
        <f t="array" ref="AP9">BS_Greek("CALL","DELTA",$AG9,$B$1,$B$2,$AH$3,AP$6)</f>
        <v>1.4879923588186921E-4</v>
      </c>
      <c r="AQ9" s="14" cm="1">
        <f t="array" ref="AQ9">BS_Greek("CALL","DELTA",$AG9,$B$1,$B$2,$AH$3,AQ$6)</f>
        <v>3.1686788675612499E-4</v>
      </c>
      <c r="AR9" s="14" cm="1">
        <f t="array" ref="AR9">BS_Greek("CALL","DELTA",$AG9,$B$1,$B$2,$AH$3,AR$6)</f>
        <v>1.0445719216560184E-2</v>
      </c>
      <c r="AS9" s="14" cm="1">
        <f t="array" ref="AS9">BS_Greek("CALL","DELTA",$AG9,$B$1,$B$2,$AH$3,AS$6)</f>
        <v>3.5973278929724156E-2</v>
      </c>
      <c r="AT9" s="14" cm="1">
        <f t="array" ref="AT9">BS_Greek("CALL","DELTA",$AG9,$B$1,$B$2,$AH$3,AT$6)</f>
        <v>6.8987440114615495E-2</v>
      </c>
      <c r="AU9" s="23" cm="1">
        <f t="array" ref="AU9">BS_Greek("CALL","DELTA",$AG9,$B$1,$B$2,$AH$3,AU$6)</f>
        <v>0.10389085170754279</v>
      </c>
    </row>
    <row r="10" spans="1:47" x14ac:dyDescent="0.2">
      <c r="A10" s="12">
        <v>75</v>
      </c>
      <c r="B10" s="22" cm="1">
        <f t="array" ref="B10">BS_Greek("CALL","DELTA",$A10,$B$1,$B$2,$B$3,B$6)</f>
        <v>3.3782456328086734E-6</v>
      </c>
      <c r="C10" s="14" cm="1">
        <f t="array" ref="C10">BS_Greek("CALL","DELTA",$A10,$B$1,$B$2,$B$3,C$6)</f>
        <v>8.1830678243053191E-4</v>
      </c>
      <c r="D10" s="14" cm="1">
        <f t="array" ref="D10">BS_Greek("CALL","DELTA",$A10,$B$1,$B$2,$B$3,D$6)</f>
        <v>5.4794346275411467E-3</v>
      </c>
      <c r="E10" s="14" cm="1">
        <f t="array" ref="E10">BS_Greek("CALL","DELTA",$A10,$B$1,$B$2,$B$3,E$6)</f>
        <v>1.4648825269289092E-2</v>
      </c>
      <c r="F10" s="14" cm="1">
        <f t="array" ref="F10">BS_Greek("CALL","DELTA",$A10,$B$1,$B$2,$B$3,F$6)</f>
        <v>2.6918022682862655E-2</v>
      </c>
      <c r="G10" s="14" cm="1">
        <f t="array" ref="G10">BS_Greek("CALL","DELTA",$A10,$B$1,$B$2,$B$3,G$6)</f>
        <v>4.0860172111759581E-2</v>
      </c>
      <c r="H10" s="14" cm="1">
        <f t="array" ref="H10">BS_Greek("CALL","DELTA",$A10,$B$1,$B$2,$B$3,H$6)</f>
        <v>5.5498237073536447E-2</v>
      </c>
      <c r="I10" s="14" cm="1">
        <f t="array" ref="I10">BS_Greek("CALL","DELTA",$A10,$B$1,$B$2,$B$3,I$6)</f>
        <v>7.0237080583764377E-2</v>
      </c>
      <c r="J10" s="14" cm="1">
        <f t="array" ref="J10">BS_Greek("CALL","DELTA",$A10,$B$1,$B$2,$B$3,J$6)</f>
        <v>8.4734011793984806E-2</v>
      </c>
      <c r="K10" s="14" cm="1">
        <f t="array" ref="K10">BS_Greek("CALL","DELTA",$A10,$B$1,$B$2,$B$3,K$6)</f>
        <v>9.88015767617475E-2</v>
      </c>
      <c r="L10" s="14" cm="1">
        <f t="array" ref="L10">BS_Greek("CALL","DELTA",$A10,$B$1,$B$2,$B$3,L$6)</f>
        <v>0.21041627797587964</v>
      </c>
      <c r="M10" s="14" cm="1">
        <f t="array" ref="M10">BS_Greek("CALL","DELTA",$A10,$B$1,$B$2,$B$3,M$6)</f>
        <v>0.2841154119321706</v>
      </c>
      <c r="N10" s="14" cm="1">
        <f t="array" ref="N10">BS_Greek("CALL","DELTA",$A10,$B$1,$B$2,$B$3,N$6)</f>
        <v>0.33753309294546507</v>
      </c>
      <c r="O10" s="23" cm="1">
        <f t="array" ref="O10">BS_Greek("CALL","DELTA",$A10,$B$1,$B$2,$B$3,O$6)</f>
        <v>0.37909196897565967</v>
      </c>
      <c r="P10" s="5"/>
      <c r="Q10" s="12">
        <v>75</v>
      </c>
      <c r="R10" s="22" cm="1">
        <f t="array" ref="R10">BS_Greek("CALL","DELTA",$Q10,$B$1,$B$2,$R$3,R$6)</f>
        <v>1.4675225785184831E-3</v>
      </c>
      <c r="S10" s="14" cm="1">
        <f t="array" ref="S10">BS_Greek("CALL","DELTA",$Q10,$B$1,$B$2,$R$3,S$6)</f>
        <v>1.9591189701574866E-2</v>
      </c>
      <c r="T10" s="14" cm="1">
        <f t="array" ref="T10">BS_Greek("CALL","DELTA",$Q10,$B$1,$B$2,$R$3,T$6)</f>
        <v>4.9434506570869327E-2</v>
      </c>
      <c r="U10" s="14" cm="1">
        <f t="array" ref="U10">BS_Greek("CALL","DELTA",$Q10,$B$1,$B$2,$R$3,U$6)</f>
        <v>8.0716619021007047E-2</v>
      </c>
      <c r="V10" s="14" cm="1">
        <f t="array" ref="V10">BS_Greek("CALL","DELTA",$Q10,$B$1,$B$2,$R$3,V$6)</f>
        <v>0.11000339750396831</v>
      </c>
      <c r="W10" s="14" cm="1">
        <f t="array" ref="W10">BS_Greek("CALL","DELTA",$Q10,$B$1,$B$2,$R$3,W$6)</f>
        <v>0.13654438951976758</v>
      </c>
      <c r="X10" s="14" cm="1">
        <f t="array" ref="X10">BS_Greek("CALL","DELTA",$Q10,$B$1,$B$2,$R$3,X$6)</f>
        <v>0.16041221101185985</v>
      </c>
      <c r="Y10" s="14" cm="1">
        <f t="array" ref="Y10">BS_Greek("CALL","DELTA",$Q10,$B$1,$B$2,$R$3,Y$6)</f>
        <v>0.18189962970104834</v>
      </c>
      <c r="Z10" s="14" cm="1">
        <f t="array" ref="Z10">BS_Greek("CALL","DELTA",$Q10,$B$1,$B$2,$R$3,Z$6)</f>
        <v>0.20132818570829822</v>
      </c>
      <c r="AA10" s="14" cm="1">
        <f t="array" ref="AA10">BS_Greek("CALL","DELTA",$Q10,$B$1,$B$2,$R$3,AA$6)</f>
        <v>0.21899056011833215</v>
      </c>
      <c r="AB10" s="14" cm="1">
        <f t="array" ref="AB10">BS_Greek("CALL","DELTA",$Q10,$B$1,$B$2,$R$3,AB$6)</f>
        <v>0.33768091083242541</v>
      </c>
      <c r="AC10" s="14" cm="1">
        <f t="array" ref="AC10">BS_Greek("CALL","DELTA",$Q10,$B$1,$B$2,$R$3,AC$6)</f>
        <v>0.40667685470200449</v>
      </c>
      <c r="AD10" s="14" cm="1">
        <f t="array" ref="AD10">BS_Greek("CALL","DELTA",$Q10,$B$1,$B$2,$R$3,AD$6)</f>
        <v>0.45509318992994574</v>
      </c>
      <c r="AE10" s="23" cm="1">
        <f t="array" ref="AE10">BS_Greek("CALL","DELTA",$Q10,$B$1,$B$2,$R$3,AE$6)</f>
        <v>0.49245831881467117</v>
      </c>
      <c r="AF10" s="5"/>
      <c r="AG10" s="12">
        <v>75</v>
      </c>
      <c r="AH10" s="22" cm="1">
        <f t="array" ref="AH10">BS_Greek("CALL","DELTA",$AG10,$B$1,$B$2,$AH$3,AH$6)</f>
        <v>7.1568181094979558E-20</v>
      </c>
      <c r="AI10" s="14" cm="1">
        <f t="array" ref="AI10">BS_Greek("CALL","DELTA",$AG10,$B$1,$B$2,$AH$3,AI$6)</f>
        <v>9.7210253802256359E-11</v>
      </c>
      <c r="AJ10" s="14" cm="1">
        <f t="array" ref="AJ10">BS_Greek("CALL","DELTA",$AG10,$B$1,$B$2,$AH$3,AJ$6)</f>
        <v>1.1693829518833768E-7</v>
      </c>
      <c r="AK10" s="14" cm="1">
        <f t="array" ref="AK10">BS_Greek("CALL","DELTA",$AG10,$B$1,$B$2,$AH$3,AK$6)</f>
        <v>4.2184867637814504E-6</v>
      </c>
      <c r="AL10" s="14" cm="1">
        <f t="array" ref="AL10">BS_Greek("CALL","DELTA",$AG10,$B$1,$B$2,$AH$3,AL$6)</f>
        <v>3.7104262232348042E-5</v>
      </c>
      <c r="AM10" s="14" cm="1">
        <f t="array" ref="AM10">BS_Greek("CALL","DELTA",$AG10,$B$1,$B$2,$AH$3,AM$6)</f>
        <v>1.6047856986437615E-4</v>
      </c>
      <c r="AN10" s="14" cm="1">
        <f t="array" ref="AN10">BS_Greek("CALL","DELTA",$AG10,$B$1,$B$2,$AH$3,AN$6)</f>
        <v>4.6157184850289515E-4</v>
      </c>
      <c r="AO10" s="14" cm="1">
        <f t="array" ref="AO10">BS_Greek("CALL","DELTA",$AG10,$B$1,$B$2,$AH$3,AO$6)</f>
        <v>1.0273171406440292E-3</v>
      </c>
      <c r="AP10" s="14" cm="1">
        <f t="array" ref="AP10">BS_Greek("CALL","DELTA",$AG10,$B$1,$B$2,$AH$3,AP$6)</f>
        <v>1.9253955209529885E-3</v>
      </c>
      <c r="AQ10" s="14" cm="1">
        <f t="array" ref="AQ10">BS_Greek("CALL","DELTA",$AG10,$B$1,$B$2,$AH$3,AQ$6)</f>
        <v>3.1973886164727121E-3</v>
      </c>
      <c r="AR10" s="14" cm="1">
        <f t="array" ref="AR10">BS_Greek("CALL","DELTA",$AG10,$B$1,$B$2,$AH$3,AR$6)</f>
        <v>3.4220862001572698E-2</v>
      </c>
      <c r="AS10" s="14" cm="1">
        <f t="array" ref="AS10">BS_Greek("CALL","DELTA",$AG10,$B$1,$B$2,$AH$3,AS$6)</f>
        <v>8.0588258967957058E-2</v>
      </c>
      <c r="AT10" s="14" cm="1">
        <f t="array" ref="AT10">BS_Greek("CALL","DELTA",$AG10,$B$1,$B$2,$AH$3,AT$6)</f>
        <v>0.127474584567597</v>
      </c>
      <c r="AU10" s="23" cm="1">
        <f t="array" ref="AU10">BS_Greek("CALL","DELTA",$AG10,$B$1,$B$2,$AH$3,AU$6)</f>
        <v>0.17076585813219761</v>
      </c>
    </row>
    <row r="11" spans="1:47" x14ac:dyDescent="0.2">
      <c r="A11" s="12">
        <v>80</v>
      </c>
      <c r="B11" s="22" cm="1">
        <f t="array" ref="B11">BS_Greek("CALL","DELTA",$A11,$B$1,$B$2,$B$3,B$6)</f>
        <v>2.4998248472572982E-4</v>
      </c>
      <c r="C11" s="14" cm="1">
        <f t="array" ref="C11">BS_Greek("CALL","DELTA",$A11,$B$1,$B$2,$B$3,C$6)</f>
        <v>7.5966424381891306E-3</v>
      </c>
      <c r="D11" s="14" cm="1">
        <f t="array" ref="D11">BS_Greek("CALL","DELTA",$A11,$B$1,$B$2,$B$3,D$6)</f>
        <v>2.5300139283739118E-2</v>
      </c>
      <c r="E11" s="14" cm="1">
        <f t="array" ref="E11">BS_Greek("CALL","DELTA",$A11,$B$1,$B$2,$B$3,E$6)</f>
        <v>4.7535275559280651E-2</v>
      </c>
      <c r="F11" s="14" cm="1">
        <f t="array" ref="F11">BS_Greek("CALL","DELTA",$A11,$B$1,$B$2,$B$3,F$6)</f>
        <v>7.0537829580775729E-2</v>
      </c>
      <c r="G11" s="14" cm="1">
        <f t="array" ref="G11">BS_Greek("CALL","DELTA",$A11,$B$1,$B$2,$B$3,G$6)</f>
        <v>9.2718991154622718E-2</v>
      </c>
      <c r="H11" s="14" cm="1">
        <f t="array" ref="H11">BS_Greek("CALL","DELTA",$A11,$B$1,$B$2,$B$3,H$6)</f>
        <v>0.11351617326502472</v>
      </c>
      <c r="I11" s="14" cm="1">
        <f t="array" ref="I11">BS_Greek("CALL","DELTA",$A11,$B$1,$B$2,$B$3,I$6)</f>
        <v>0.13280133237005642</v>
      </c>
      <c r="J11" s="14" cm="1">
        <f t="array" ref="J11">BS_Greek("CALL","DELTA",$A11,$B$1,$B$2,$B$3,J$6)</f>
        <v>0.1506224847545854</v>
      </c>
      <c r="K11" s="14" cm="1">
        <f t="array" ref="K11">BS_Greek("CALL","DELTA",$A11,$B$1,$B$2,$B$3,K$6)</f>
        <v>0.16709271590694216</v>
      </c>
      <c r="L11" s="14" cm="1">
        <f t="array" ref="L11">BS_Greek("CALL","DELTA",$A11,$B$1,$B$2,$B$3,L$6)</f>
        <v>0.2820374343620774</v>
      </c>
      <c r="M11" s="14" cm="1">
        <f t="array" ref="M11">BS_Greek("CALL","DELTA",$A11,$B$1,$B$2,$B$3,M$6)</f>
        <v>0.35035866509647884</v>
      </c>
      <c r="N11" s="14" cm="1">
        <f t="array" ref="N11">BS_Greek("CALL","DELTA",$A11,$B$1,$B$2,$B$3,N$6)</f>
        <v>0.39825791110296049</v>
      </c>
      <c r="O11" s="23" cm="1">
        <f t="array" ref="O11">BS_Greek("CALL","DELTA",$A11,$B$1,$B$2,$B$3,O$6)</f>
        <v>0.4350411483736476</v>
      </c>
      <c r="P11" s="5"/>
      <c r="Q11" s="12">
        <v>80</v>
      </c>
      <c r="R11" s="22" cm="1">
        <f t="array" ref="R11">BS_Greek("CALL","DELTA",$Q11,$B$1,$B$2,$R$3,R$6)</f>
        <v>1.0890526735845741E-2</v>
      </c>
      <c r="S11" s="14" cm="1">
        <f t="array" ref="S11">BS_Greek("CALL","DELTA",$Q11,$B$1,$B$2,$R$3,S$6)</f>
        <v>5.6913337986291397E-2</v>
      </c>
      <c r="T11" s="14" cm="1">
        <f t="array" ref="T11">BS_Greek("CALL","DELTA",$Q11,$B$1,$B$2,$R$3,T$6)</f>
        <v>0.10426956463923276</v>
      </c>
      <c r="U11" s="14" cm="1">
        <f t="array" ref="U11">BS_Greek("CALL","DELTA",$Q11,$B$1,$B$2,$R$3,U$6)</f>
        <v>0.14454509647225661</v>
      </c>
      <c r="V11" s="14" cm="1">
        <f t="array" ref="V11">BS_Greek("CALL","DELTA",$Q11,$B$1,$B$2,$R$3,V$6)</f>
        <v>0.17819321540160804</v>
      </c>
      <c r="W11" s="14" cm="1">
        <f t="array" ref="W11">BS_Greek("CALL","DELTA",$Q11,$B$1,$B$2,$R$3,W$6)</f>
        <v>0.20660792036453604</v>
      </c>
      <c r="X11" s="14" cm="1">
        <f t="array" ref="X11">BS_Greek("CALL","DELTA",$Q11,$B$1,$B$2,$R$3,X$6)</f>
        <v>0.23097566222627239</v>
      </c>
      <c r="Y11" s="14" cm="1">
        <f t="array" ref="Y11">BS_Greek("CALL","DELTA",$Q11,$B$1,$B$2,$R$3,Y$6)</f>
        <v>0.25218534923298636</v>
      </c>
      <c r="Z11" s="14" cm="1">
        <f t="array" ref="Z11">BS_Greek("CALL","DELTA",$Q11,$B$1,$B$2,$R$3,Z$6)</f>
        <v>0.27089074616784536</v>
      </c>
      <c r="AA11" s="14" cm="1">
        <f t="array" ref="AA11">BS_Greek("CALL","DELTA",$Q11,$B$1,$B$2,$R$3,AA$6)</f>
        <v>0.28757654881407335</v>
      </c>
      <c r="AB11" s="14" cm="1">
        <f t="array" ref="AB11">BS_Greek("CALL","DELTA",$Q11,$B$1,$B$2,$R$3,AB$6)</f>
        <v>0.39485704248118841</v>
      </c>
      <c r="AC11" s="14" cm="1">
        <f t="array" ref="AC11">BS_Greek("CALL","DELTA",$Q11,$B$1,$B$2,$R$3,AC$6)</f>
        <v>0.45545241211238541</v>
      </c>
      <c r="AD11" s="14" cm="1">
        <f t="array" ref="AD11">BS_Greek("CALL","DELTA",$Q11,$B$1,$B$2,$R$3,AD$6)</f>
        <v>0.49790985034594043</v>
      </c>
      <c r="AE11" s="23" cm="1">
        <f t="array" ref="AE11">BS_Greek("CALL","DELTA",$Q11,$B$1,$B$2,$R$3,AE$6)</f>
        <v>0.53080875955769424</v>
      </c>
      <c r="AF11" s="5"/>
      <c r="AG11" s="12">
        <v>80</v>
      </c>
      <c r="AH11" s="22" cm="1">
        <f t="array" ref="AH11">BS_Greek("CALL","DELTA",$AG11,$B$1,$B$2,$AH$3,AH$6)</f>
        <v>1.2002701474206063E-12</v>
      </c>
      <c r="AI11" s="14" cm="1">
        <f t="array" ref="AI11">BS_Greek("CALL","DELTA",$AG11,$B$1,$B$2,$AH$3,AI$6)</f>
        <v>4.2709800292238633E-7</v>
      </c>
      <c r="AJ11" s="14" cm="1">
        <f t="array" ref="AJ11">BS_Greek("CALL","DELTA",$AG11,$B$1,$B$2,$AH$3,AJ$6)</f>
        <v>3.2777591453569817E-5</v>
      </c>
      <c r="AK11" s="14" cm="1">
        <f t="array" ref="AK11">BS_Greek("CALL","DELTA",$AG11,$B$1,$B$2,$AH$3,AK$6)</f>
        <v>2.9809587513643615E-4</v>
      </c>
      <c r="AL11" s="14" cm="1">
        <f t="array" ref="AL11">BS_Greek("CALL","DELTA",$AG11,$B$1,$B$2,$AH$3,AL$6)</f>
        <v>1.1455014907192074E-3</v>
      </c>
      <c r="AM11" s="14" cm="1">
        <f t="array" ref="AM11">BS_Greek("CALL","DELTA",$AG11,$B$1,$B$2,$AH$3,AM$6)</f>
        <v>2.8497945838167173E-3</v>
      </c>
      <c r="AN11" s="14" cm="1">
        <f t="array" ref="AN11">BS_Greek("CALL","DELTA",$AG11,$B$1,$B$2,$AH$3,AN$6)</f>
        <v>5.5176887334378597E-3</v>
      </c>
      <c r="AO11" s="14" cm="1">
        <f t="array" ref="AO11">BS_Greek("CALL","DELTA",$AG11,$B$1,$B$2,$AH$3,AO$6)</f>
        <v>9.1213054737095019E-3</v>
      </c>
      <c r="AP11" s="14" cm="1">
        <f t="array" ref="AP11">BS_Greek("CALL","DELTA",$AG11,$B$1,$B$2,$AH$3,AP$6)</f>
        <v>1.3558236229164227E-2</v>
      </c>
      <c r="AQ11" s="14" cm="1">
        <f t="array" ref="AQ11">BS_Greek("CALL","DELTA",$AG11,$B$1,$B$2,$AH$3,AQ$6)</f>
        <v>1.8697030468110401E-2</v>
      </c>
      <c r="AR11" s="14" cm="1">
        <f t="array" ref="AR11">BS_Greek("CALL","DELTA",$AG11,$B$1,$B$2,$AH$3,AR$6)</f>
        <v>8.6011681908250856E-2</v>
      </c>
      <c r="AS11" s="14" cm="1">
        <f t="array" ref="AS11">BS_Greek("CALL","DELTA",$AG11,$B$1,$B$2,$AH$3,AS$6)</f>
        <v>0.15185446032881006</v>
      </c>
      <c r="AT11" s="14" cm="1">
        <f t="array" ref="AT11">BS_Greek("CALL","DELTA",$AG11,$B$1,$B$2,$AH$3,AT$6)</f>
        <v>0.20733079045218472</v>
      </c>
      <c r="AU11" s="23" cm="1">
        <f t="array" ref="AU11">BS_Greek("CALL","DELTA",$AG11,$B$1,$B$2,$AH$3,AU$6)</f>
        <v>0.25381961865942948</v>
      </c>
    </row>
    <row r="12" spans="1:47" x14ac:dyDescent="0.2">
      <c r="A12" s="12">
        <v>85</v>
      </c>
      <c r="B12" s="22" cm="1">
        <f t="array" ref="B12">BS_Greek("CALL","DELTA",$A12,$B$1,$B$2,$B$3,B$6)</f>
        <v>5.830908137902522E-3</v>
      </c>
      <c r="C12" s="14" cm="1">
        <f t="array" ref="C12">BS_Greek("CALL","DELTA",$A12,$B$1,$B$2,$B$3,C$6)</f>
        <v>4.006477982445996E-2</v>
      </c>
      <c r="D12" s="14" cm="1">
        <f t="array" ref="D12">BS_Greek("CALL","DELTA",$A12,$B$1,$B$2,$B$3,D$6)</f>
        <v>8.0542811303141587E-2</v>
      </c>
      <c r="E12" s="14" cm="1">
        <f t="array" ref="E12">BS_Greek("CALL","DELTA",$A12,$B$1,$B$2,$B$3,E$6)</f>
        <v>0.11703172121234477</v>
      </c>
      <c r="F12" s="14" cm="1">
        <f t="array" ref="F12">BS_Greek("CALL","DELTA",$A12,$B$1,$B$2,$B$3,F$6)</f>
        <v>0.14844720364554423</v>
      </c>
      <c r="G12" s="14" cm="1">
        <f t="array" ref="G12">BS_Greek("CALL","DELTA",$A12,$B$1,$B$2,$B$3,G$6)</f>
        <v>0.17544466250951118</v>
      </c>
      <c r="H12" s="14" cm="1">
        <f t="array" ref="H12">BS_Greek("CALL","DELTA",$A12,$B$1,$B$2,$B$3,H$6)</f>
        <v>0.19884963648426759</v>
      </c>
      <c r="I12" s="14" cm="1">
        <f t="array" ref="I12">BS_Greek("CALL","DELTA",$A12,$B$1,$B$2,$B$3,I$6)</f>
        <v>0.21936358982447046</v>
      </c>
      <c r="J12" s="14" cm="1">
        <f t="array" ref="J12">BS_Greek("CALL","DELTA",$A12,$B$1,$B$2,$B$3,J$6)</f>
        <v>0.23753708342668733</v>
      </c>
      <c r="K12" s="14" cm="1">
        <f t="array" ref="K12">BS_Greek("CALL","DELTA",$A12,$B$1,$B$2,$B$3,K$6)</f>
        <v>0.2537950995737065</v>
      </c>
      <c r="L12" s="14" cm="1">
        <f t="array" ref="L12">BS_Greek("CALL","DELTA",$A12,$B$1,$B$2,$B$3,L$6)</f>
        <v>0.35850447187481504</v>
      </c>
      <c r="M12" s="14" cm="1">
        <f t="array" ref="M12">BS_Greek("CALL","DELTA",$A12,$B$1,$B$2,$B$3,M$6)</f>
        <v>0.41708980700977716</v>
      </c>
      <c r="N12" s="14" cm="1">
        <f t="array" ref="N12">BS_Greek("CALL","DELTA",$A12,$B$1,$B$2,$B$3,N$6)</f>
        <v>0.45767322745215844</v>
      </c>
      <c r="O12" s="23" cm="1">
        <f t="array" ref="O12">BS_Greek("CALL","DELTA",$A12,$B$1,$B$2,$B$3,O$6)</f>
        <v>0.48883379634600066</v>
      </c>
      <c r="P12" s="5"/>
      <c r="Q12" s="12">
        <v>85</v>
      </c>
      <c r="R12" s="22" cm="1">
        <f t="array" ref="R12">BS_Greek("CALL","DELTA",$Q12,$B$1,$B$2,$R$3,R$6)</f>
        <v>4.8949588230018437E-2</v>
      </c>
      <c r="S12" s="14" cm="1">
        <f t="array" ref="S12">BS_Greek("CALL","DELTA",$Q12,$B$1,$B$2,$R$3,S$6)</f>
        <v>0.1293739652284181</v>
      </c>
      <c r="T12" s="14" cm="1">
        <f t="array" ref="T12">BS_Greek("CALL","DELTA",$Q12,$B$1,$B$2,$R$3,T$6)</f>
        <v>0.18709751221137344</v>
      </c>
      <c r="U12" s="14" cm="1">
        <f t="array" ref="U12">BS_Greek("CALL","DELTA",$Q12,$B$1,$B$2,$R$3,U$6)</f>
        <v>0.22946806891671254</v>
      </c>
      <c r="V12" s="14" cm="1">
        <f t="array" ref="V12">BS_Greek("CALL","DELTA",$Q12,$B$1,$B$2,$R$3,V$6)</f>
        <v>0.26223006736843324</v>
      </c>
      <c r="W12" s="14" cm="1">
        <f t="array" ref="W12">BS_Greek("CALL","DELTA",$Q12,$B$1,$B$2,$R$3,W$6)</f>
        <v>0.28864049524186719</v>
      </c>
      <c r="X12" s="14" cm="1">
        <f t="array" ref="X12">BS_Greek("CALL","DELTA",$Q12,$B$1,$B$2,$R$3,X$6)</f>
        <v>0.31061663415168483</v>
      </c>
      <c r="Y12" s="14" cm="1">
        <f t="array" ref="Y12">BS_Greek("CALL","DELTA",$Q12,$B$1,$B$2,$R$3,Y$6)</f>
        <v>0.32935533629557545</v>
      </c>
      <c r="Z12" s="14" cm="1">
        <f t="array" ref="Z12">BS_Greek("CALL","DELTA",$Q12,$B$1,$B$2,$R$3,Z$6)</f>
        <v>0.34564389568681986</v>
      </c>
      <c r="AA12" s="14" cm="1">
        <f t="array" ref="AA12">BS_Greek("CALL","DELTA",$Q12,$B$1,$B$2,$R$3,AA$6)</f>
        <v>0.36002333083467097</v>
      </c>
      <c r="AB12" s="14" cm="1">
        <f t="array" ref="AB12">BS_Greek("CALL","DELTA",$Q12,$B$1,$B$2,$R$3,AB$6)</f>
        <v>0.45074144633462454</v>
      </c>
      <c r="AC12" s="14" cm="1">
        <f t="array" ref="AC12">BS_Greek("CALL","DELTA",$Q12,$B$1,$B$2,$R$3,AC$6)</f>
        <v>0.50190487130170336</v>
      </c>
      <c r="AD12" s="14" cm="1">
        <f t="array" ref="AD12">BS_Greek("CALL","DELTA",$Q12,$B$1,$B$2,$R$3,AD$6)</f>
        <v>0.53816099984174448</v>
      </c>
      <c r="AE12" s="23" cm="1">
        <f t="array" ref="AE12">BS_Greek("CALL","DELTA",$Q12,$B$1,$B$2,$R$3,AE$6)</f>
        <v>0.56658125708655704</v>
      </c>
      <c r="AF12" s="5"/>
      <c r="AG12" s="12">
        <v>85</v>
      </c>
      <c r="AH12" s="22" cm="1">
        <f t="array" ref="AH12">BS_Greek("CALL","DELTA",$AG12,$B$1,$B$2,$AH$3,AH$6)</f>
        <v>1.7727866846205845E-7</v>
      </c>
      <c r="AI12" s="14" cm="1">
        <f t="array" ref="AI12">BS_Greek("CALL","DELTA",$AG12,$B$1,$B$2,$AH$3,AI$6)</f>
        <v>1.8057900763335621E-4</v>
      </c>
      <c r="AJ12" s="14" cm="1">
        <f t="array" ref="AJ12">BS_Greek("CALL","DELTA",$AG12,$B$1,$B$2,$AH$3,AJ$6)</f>
        <v>1.9569580318317646E-3</v>
      </c>
      <c r="AK12" s="14" cm="1">
        <f t="array" ref="AK12">BS_Greek("CALL","DELTA",$AG12,$B$1,$B$2,$AH$3,AK$6)</f>
        <v>6.6658842436191712E-3</v>
      </c>
      <c r="AL12" s="14" cm="1">
        <f t="array" ref="AL12">BS_Greek("CALL","DELTA",$AG12,$B$1,$B$2,$AH$3,AL$6)</f>
        <v>1.4178971876106417E-2</v>
      </c>
      <c r="AM12" s="14" cm="1">
        <f t="array" ref="AM12">BS_Greek("CALL","DELTA",$AG12,$B$1,$B$2,$AH$3,AM$6)</f>
        <v>2.3744049559651273E-2</v>
      </c>
      <c r="AN12" s="14" cm="1">
        <f t="array" ref="AN12">BS_Greek("CALL","DELTA",$AG12,$B$1,$B$2,$AH$3,AN$6)</f>
        <v>3.4610567414057034E-2</v>
      </c>
      <c r="AO12" s="14" cm="1">
        <f t="array" ref="AO12">BS_Greek("CALL","DELTA",$AG12,$B$1,$B$2,$AH$3,AO$6)</f>
        <v>4.6201796215212594E-2</v>
      </c>
      <c r="AP12" s="14" cm="1">
        <f t="array" ref="AP12">BS_Greek("CALL","DELTA",$AG12,$B$1,$B$2,$AH$3,AP$6)</f>
        <v>5.8114853573404297E-2</v>
      </c>
      <c r="AQ12" s="14" cm="1">
        <f t="array" ref="AQ12">BS_Greek("CALL","DELTA",$AG12,$B$1,$B$2,$AH$3,AQ$6)</f>
        <v>7.0080829341433393E-2</v>
      </c>
      <c r="AR12" s="14" cm="1">
        <f t="array" ref="AR12">BS_Greek("CALL","DELTA",$AG12,$B$1,$B$2,$AH$3,AR$6)</f>
        <v>0.17436633291241277</v>
      </c>
      <c r="AS12" s="14" cm="1">
        <f t="array" ref="AS12">BS_Greek("CALL","DELTA",$AG12,$B$1,$B$2,$AH$3,AS$6)</f>
        <v>0.24872867527518139</v>
      </c>
      <c r="AT12" s="14" cm="1">
        <f t="array" ref="AT12">BS_Greek("CALL","DELTA",$AG12,$B$1,$B$2,$AH$3,AT$6)</f>
        <v>0.30411744905751403</v>
      </c>
      <c r="AU12" s="23" cm="1">
        <f t="array" ref="AU12">BS_Greek("CALL","DELTA",$AG12,$B$1,$B$2,$AH$3,AU$6)</f>
        <v>0.34775207052445578</v>
      </c>
    </row>
    <row r="13" spans="1:47" x14ac:dyDescent="0.2">
      <c r="A13" s="12">
        <v>90</v>
      </c>
      <c r="B13" s="22" cm="1">
        <f t="array" ref="B13">BS_Greek("CALL","DELTA",$A13,$B$1,$B$2,$B$3,B$6)</f>
        <v>5.2781549996934837E-2</v>
      </c>
      <c r="C13" s="14" cm="1">
        <f t="array" ref="C13">BS_Greek("CALL","DELTA",$A13,$B$1,$B$2,$B$3,C$6)</f>
        <v>0.13330906924780192</v>
      </c>
      <c r="D13" s="14" cm="1">
        <f t="array" ref="D13">BS_Greek("CALL","DELTA",$A13,$B$1,$B$2,$B$3,D$6)</f>
        <v>0.18952524812777746</v>
      </c>
      <c r="E13" s="14" cm="1">
        <f t="array" ref="E13">BS_Greek("CALL","DELTA",$A13,$B$1,$B$2,$B$3,E$6)</f>
        <v>0.23023301469857285</v>
      </c>
      <c r="F13" s="14" cm="1">
        <f t="array" ref="F13">BS_Greek("CALL","DELTA",$A13,$B$1,$B$2,$B$3,F$6)</f>
        <v>0.26142924756390218</v>
      </c>
      <c r="G13" s="14" cm="1">
        <f t="array" ref="G13">BS_Greek("CALL","DELTA",$A13,$B$1,$B$2,$B$3,G$6)</f>
        <v>0.28640779285454132</v>
      </c>
      <c r="H13" s="14" cm="1">
        <f t="array" ref="H13">BS_Greek("CALL","DELTA",$A13,$B$1,$B$2,$B$3,H$6)</f>
        <v>0.30707780777053395</v>
      </c>
      <c r="I13" s="14" cm="1">
        <f t="array" ref="I13">BS_Greek("CALL","DELTA",$A13,$B$1,$B$2,$B$3,I$6)</f>
        <v>0.32461969070784658</v>
      </c>
      <c r="J13" s="14" cm="1">
        <f t="array" ref="J13">BS_Greek("CALL","DELTA",$A13,$B$1,$B$2,$B$3,J$6)</f>
        <v>0.3398047061837523</v>
      </c>
      <c r="K13" s="14" cm="1">
        <f t="array" ref="K13">BS_Greek("CALL","DELTA",$A13,$B$1,$B$2,$B$3,K$6)</f>
        <v>0.35316016226972924</v>
      </c>
      <c r="L13" s="14" cm="1">
        <f t="array" ref="L13">BS_Greek("CALL","DELTA",$A13,$B$1,$B$2,$B$3,L$6)</f>
        <v>0.43629337610345331</v>
      </c>
      <c r="M13" s="14" cm="1">
        <f t="array" ref="M13">BS_Greek("CALL","DELTA",$A13,$B$1,$B$2,$B$3,M$6)</f>
        <v>0.48231590099564647</v>
      </c>
      <c r="N13" s="14" cm="1">
        <f t="array" ref="N13">BS_Greek("CALL","DELTA",$A13,$B$1,$B$2,$B$3,N$6)</f>
        <v>0.51459751428423428</v>
      </c>
      <c r="O13" s="23" cm="1">
        <f t="array" ref="O13">BS_Greek("CALL","DELTA",$A13,$B$1,$B$2,$B$3,O$6)</f>
        <v>0.53975516312316763</v>
      </c>
      <c r="P13" s="5"/>
      <c r="Q13" s="12">
        <v>90</v>
      </c>
      <c r="R13" s="22" cm="1">
        <f t="array" ref="R13">BS_Greek("CALL","DELTA",$Q13,$B$1,$B$2,$R$3,R$6)</f>
        <v>0.14625707559799994</v>
      </c>
      <c r="S13" s="14" cm="1">
        <f t="array" ref="S13">BS_Greek("CALL","DELTA",$Q13,$B$1,$B$2,$R$3,S$6)</f>
        <v>0.24092762709076576</v>
      </c>
      <c r="T13" s="14" cm="1">
        <f t="array" ref="T13">BS_Greek("CALL","DELTA",$Q13,$B$1,$B$2,$R$3,T$6)</f>
        <v>0.29432689998056172</v>
      </c>
      <c r="U13" s="14" cm="1">
        <f t="array" ref="U13">BS_Greek("CALL","DELTA",$Q13,$B$1,$B$2,$R$3,U$6)</f>
        <v>0.33020452050949323</v>
      </c>
      <c r="V13" s="14" cm="1">
        <f t="array" ref="V13">BS_Greek("CALL","DELTA",$Q13,$B$1,$B$2,$R$3,V$6)</f>
        <v>0.35679534006601854</v>
      </c>
      <c r="W13" s="14" cm="1">
        <f t="array" ref="W13">BS_Greek("CALL","DELTA",$Q13,$B$1,$B$2,$R$3,W$6)</f>
        <v>0.37775204713439936</v>
      </c>
      <c r="X13" s="14" cm="1">
        <f t="array" ref="X13">BS_Greek("CALL","DELTA",$Q13,$B$1,$B$2,$R$3,X$6)</f>
        <v>0.39497379522555537</v>
      </c>
      <c r="Y13" s="14" cm="1">
        <f t="array" ref="Y13">BS_Greek("CALL","DELTA",$Q13,$B$1,$B$2,$R$3,Y$6)</f>
        <v>0.4095599317357414</v>
      </c>
      <c r="Z13" s="14" cm="1">
        <f t="array" ref="Z13">BS_Greek("CALL","DELTA",$Q13,$B$1,$B$2,$R$3,Z$6)</f>
        <v>0.42219791583544131</v>
      </c>
      <c r="AA13" s="14" cm="1">
        <f t="array" ref="AA13">BS_Greek("CALL","DELTA",$Q13,$B$1,$B$2,$R$3,AA$6)</f>
        <v>0.43334341092094797</v>
      </c>
      <c r="AB13" s="14" cm="1">
        <f t="array" ref="AB13">BS_Greek("CALL","DELTA",$Q13,$B$1,$B$2,$R$3,AB$6)</f>
        <v>0.50436249428511837</v>
      </c>
      <c r="AC13" s="14" cm="1">
        <f t="array" ref="AC13">BS_Greek("CALL","DELTA",$Q13,$B$1,$B$2,$R$3,AC$6)</f>
        <v>0.54568875929400229</v>
      </c>
      <c r="AD13" s="14" cm="1">
        <f t="array" ref="AD13">BS_Greek("CALL","DELTA",$Q13,$B$1,$B$2,$R$3,AD$6)</f>
        <v>0.57576298201651444</v>
      </c>
      <c r="AE13" s="23" cm="1">
        <f t="array" ref="AE13">BS_Greek("CALL","DELTA",$Q13,$B$1,$B$2,$R$3,AE$6)</f>
        <v>0.59982092332225356</v>
      </c>
      <c r="AF13" s="5"/>
      <c r="AG13" s="12">
        <v>90</v>
      </c>
      <c r="AH13" s="22" cm="1">
        <f t="array" ref="AH13">BS_Greek("CALL","DELTA",$AG13,$B$1,$B$2,$AH$3,AH$6)</f>
        <v>5.1107517146906892E-4</v>
      </c>
      <c r="AI13" s="14" cm="1">
        <f t="array" ref="AI13">BS_Greek("CALL","DELTA",$AG13,$B$1,$B$2,$AH$3,AI$6)</f>
        <v>1.1044013907594808E-2</v>
      </c>
      <c r="AJ13" s="14" cm="1">
        <f t="array" ref="AJ13">BS_Greek("CALL","DELTA",$AG13,$B$1,$B$2,$AH$3,AJ$6)</f>
        <v>3.2777626460408021E-2</v>
      </c>
      <c r="AK13" s="14" cm="1">
        <f t="array" ref="AK13">BS_Greek("CALL","DELTA",$AG13,$B$1,$B$2,$AH$3,AK$6)</f>
        <v>5.8088107987320343E-2</v>
      </c>
      <c r="AL13" s="14" cm="1">
        <f t="array" ref="AL13">BS_Greek("CALL","DELTA",$AG13,$B$1,$B$2,$AH$3,AL$6)</f>
        <v>8.3185859132694412E-2</v>
      </c>
      <c r="AM13" s="14" cm="1">
        <f t="array" ref="AM13">BS_Greek("CALL","DELTA",$AG13,$B$1,$B$2,$AH$3,AM$6)</f>
        <v>0.10674814223186854</v>
      </c>
      <c r="AN13" s="14" cm="1">
        <f t="array" ref="AN13">BS_Greek("CALL","DELTA",$AG13,$B$1,$B$2,$AH$3,AN$6)</f>
        <v>0.12843922086837081</v>
      </c>
      <c r="AO13" s="14" cm="1">
        <f t="array" ref="AO13">BS_Greek("CALL","DELTA",$AG13,$B$1,$B$2,$AH$3,AO$6)</f>
        <v>0.14828843430084723</v>
      </c>
      <c r="AP13" s="14" cm="1">
        <f t="array" ref="AP13">BS_Greek("CALL","DELTA",$AG13,$B$1,$B$2,$AH$3,AP$6)</f>
        <v>0.1664485667707323</v>
      </c>
      <c r="AQ13" s="14" cm="1">
        <f t="array" ref="AQ13">BS_Greek("CALL","DELTA",$AG13,$B$1,$B$2,$AH$3,AQ$6)</f>
        <v>0.18310240300676622</v>
      </c>
      <c r="AR13" s="14" cm="1">
        <f t="array" ref="AR13">BS_Greek("CALL","DELTA",$AG13,$B$1,$B$2,$AH$3,AR$6)</f>
        <v>0.29705856189617313</v>
      </c>
      <c r="AS13" s="14" cm="1">
        <f t="array" ref="AS13">BS_Greek("CALL","DELTA",$AG13,$B$1,$B$2,$AH$3,AS$6)</f>
        <v>0.36373551072271876</v>
      </c>
      <c r="AT13" s="14" cm="1">
        <f t="array" ref="AT13">BS_Greek("CALL","DELTA",$AG13,$B$1,$B$2,$AH$3,AT$6)</f>
        <v>0.4102886293803284</v>
      </c>
      <c r="AU13" s="23" cm="1">
        <f t="array" ref="AU13">BS_Greek("CALL","DELTA",$AG13,$B$1,$B$2,$AH$3,AU$6)</f>
        <v>0.44599904247550076</v>
      </c>
    </row>
    <row r="14" spans="1:47" x14ac:dyDescent="0.2">
      <c r="A14" s="12">
        <v>95</v>
      </c>
      <c r="B14" s="22" cm="1">
        <f t="array" ref="B14">BS_Greek("CALL","DELTA",$A14,$B$1,$B$2,$B$3,B$6)</f>
        <v>0.22255758462414449</v>
      </c>
      <c r="C14" s="14" cm="1">
        <f t="array" ref="C14">BS_Greek("CALL","DELTA",$A14,$B$1,$B$2,$B$3,C$6)</f>
        <v>0.3062898934344146</v>
      </c>
      <c r="D14" s="14" cm="1">
        <f t="array" ref="D14">BS_Greek("CALL","DELTA",$A14,$B$1,$B$2,$B$3,D$6)</f>
        <v>0.34971752968021519</v>
      </c>
      <c r="E14" s="14" cm="1">
        <f t="array" ref="E14">BS_Greek("CALL","DELTA",$A14,$B$1,$B$2,$B$3,E$6)</f>
        <v>0.3780368656656477</v>
      </c>
      <c r="F14" s="14" cm="1">
        <f t="array" ref="F14">BS_Greek("CALL","DELTA",$A14,$B$1,$B$2,$B$3,F$6)</f>
        <v>0.39873130138189328</v>
      </c>
      <c r="G14" s="14" cm="1">
        <f t="array" ref="G14">BS_Greek("CALL","DELTA",$A14,$B$1,$B$2,$B$3,G$6)</f>
        <v>0.41491980008730484</v>
      </c>
      <c r="H14" s="14" cm="1">
        <f t="array" ref="H14">BS_Greek("CALL","DELTA",$A14,$B$1,$B$2,$B$3,H$6)</f>
        <v>0.42816924322332078</v>
      </c>
      <c r="I14" s="14" cm="1">
        <f t="array" ref="I14">BS_Greek("CALL","DELTA",$A14,$B$1,$B$2,$B$3,I$6)</f>
        <v>0.4393670542417723</v>
      </c>
      <c r="J14" s="14" cm="1">
        <f t="array" ref="J14">BS_Greek("CALL","DELTA",$A14,$B$1,$B$2,$B$3,J$6)</f>
        <v>0.4490598842795181</v>
      </c>
      <c r="K14" s="14" cm="1">
        <f t="array" ref="K14">BS_Greek("CALL","DELTA",$A14,$B$1,$B$2,$B$3,K$6)</f>
        <v>0.45760612784927152</v>
      </c>
      <c r="L14" s="14" cm="1">
        <f t="array" ref="L14">BS_Greek("CALL","DELTA",$A14,$B$1,$B$2,$B$3,L$6)</f>
        <v>0.51227864232904818</v>
      </c>
      <c r="M14" s="14" cm="1">
        <f t="array" ref="M14">BS_Greek("CALL","DELTA",$A14,$B$1,$B$2,$B$3,M$6)</f>
        <v>0.54448388447384266</v>
      </c>
      <c r="N14" s="14" cm="1">
        <f t="array" ref="N14">BS_Greek("CALL","DELTA",$A14,$B$1,$B$2,$B$3,N$6)</f>
        <v>0.56818955220522305</v>
      </c>
      <c r="O14" s="23" cm="1">
        <f t="array" ref="O14">BS_Greek("CALL","DELTA",$A14,$B$1,$B$2,$B$3,O$6)</f>
        <v>0.58734278687654107</v>
      </c>
      <c r="P14" s="5"/>
      <c r="Q14" s="12">
        <v>95</v>
      </c>
      <c r="R14" s="22" cm="1">
        <f t="array" ref="R14">BS_Greek("CALL","DELTA",$Q14,$B$1,$B$2,$R$3,R$6)</f>
        <v>0.31465306570218488</v>
      </c>
      <c r="S14" s="14" cm="1">
        <f t="array" ref="S14">BS_Greek("CALL","DELTA",$Q14,$B$1,$B$2,$R$3,S$6)</f>
        <v>0.3819633040789554</v>
      </c>
      <c r="T14" s="14" cm="1">
        <f t="array" ref="T14">BS_Greek("CALL","DELTA",$Q14,$B$1,$B$2,$R$3,T$6)</f>
        <v>0.4161528933790935</v>
      </c>
      <c r="U14" s="14" cm="1">
        <f t="array" ref="U14">BS_Greek("CALL","DELTA",$Q14,$B$1,$B$2,$R$3,U$6)</f>
        <v>0.43865142750198133</v>
      </c>
      <c r="V14" s="14" cm="1">
        <f t="array" ref="V14">BS_Greek("CALL","DELTA",$Q14,$B$1,$B$2,$R$3,V$6)</f>
        <v>0.45534721551467583</v>
      </c>
      <c r="W14" s="14" cm="1">
        <f t="array" ref="W14">BS_Greek("CALL","DELTA",$Q14,$B$1,$B$2,$R$3,W$6)</f>
        <v>0.46862695070489663</v>
      </c>
      <c r="X14" s="14" cm="1">
        <f t="array" ref="X14">BS_Greek("CALL","DELTA",$Q14,$B$1,$B$2,$R$3,X$6)</f>
        <v>0.47967483058661126</v>
      </c>
      <c r="Y14" s="14" cm="1">
        <f t="array" ref="Y14">BS_Greek("CALL","DELTA",$Q14,$B$1,$B$2,$R$3,Y$6)</f>
        <v>0.48915788300334873</v>
      </c>
      <c r="Z14" s="14" cm="1">
        <f t="array" ref="Z14">BS_Greek("CALL","DELTA",$Q14,$B$1,$B$2,$R$3,Z$6)</f>
        <v>0.49748628363861275</v>
      </c>
      <c r="AA14" s="14" cm="1">
        <f t="array" ref="AA14">BS_Greek("CALL","DELTA",$Q14,$B$1,$B$2,$R$3,AA$6)</f>
        <v>0.50492907988438374</v>
      </c>
      <c r="AB14" s="14" cm="1">
        <f t="array" ref="AB14">BS_Greek("CALL","DELTA",$Q14,$B$1,$B$2,$R$3,AB$6)</f>
        <v>0.55502719539571732</v>
      </c>
      <c r="AC14" s="14" cm="1">
        <f t="array" ref="AC14">BS_Greek("CALL","DELTA",$Q14,$B$1,$B$2,$R$3,AC$6)</f>
        <v>0.58660823860191547</v>
      </c>
      <c r="AD14" s="14" cm="1">
        <f t="array" ref="AD14">BS_Greek("CALL","DELTA",$Q14,$B$1,$B$2,$R$3,AD$6)</f>
        <v>0.61071300082010072</v>
      </c>
      <c r="AE14" s="23" cm="1">
        <f t="array" ref="AE14">BS_Greek("CALL","DELTA",$Q14,$B$1,$B$2,$R$3,AE$6)</f>
        <v>0.63061486355917407</v>
      </c>
      <c r="AF14" s="5"/>
      <c r="AG14" s="12">
        <v>95</v>
      </c>
      <c r="AH14" s="22" cm="1">
        <f t="array" ref="AH14">BS_Greek("CALL","DELTA",$AG14,$B$1,$B$2,$AH$3,AH$6)</f>
        <v>5.7674144516076838E-2</v>
      </c>
      <c r="AI14" s="14" cm="1">
        <f t="array" ref="AI14">BS_Greek("CALL","DELTA",$AG14,$B$1,$B$2,$AH$3,AI$6)</f>
        <v>0.14009983864577802</v>
      </c>
      <c r="AJ14" s="14" cm="1">
        <f t="array" ref="AJ14">BS_Greek("CALL","DELTA",$AG14,$B$1,$B$2,$AH$3,AJ$6)</f>
        <v>0.19646253524083446</v>
      </c>
      <c r="AK14" s="14" cm="1">
        <f t="array" ref="AK14">BS_Greek("CALL","DELTA",$AG14,$B$1,$B$2,$AH$3,AK$6)</f>
        <v>0.23694940812133697</v>
      </c>
      <c r="AL14" s="14" cm="1">
        <f t="array" ref="AL14">BS_Greek("CALL","DELTA",$AG14,$B$1,$B$2,$AH$3,AL$6)</f>
        <v>0.26784925915213059</v>
      </c>
      <c r="AM14" s="14" cm="1">
        <f t="array" ref="AM14">BS_Greek("CALL","DELTA",$AG14,$B$1,$B$2,$AH$3,AM$6)</f>
        <v>0.29253156538610559</v>
      </c>
      <c r="AN14" s="14" cm="1">
        <f t="array" ref="AN14">BS_Greek("CALL","DELTA",$AG14,$B$1,$B$2,$AH$3,AN$6)</f>
        <v>0.31292611764332445</v>
      </c>
      <c r="AO14" s="14" cm="1">
        <f t="array" ref="AO14">BS_Greek("CALL","DELTA",$AG14,$B$1,$B$2,$AH$3,AO$6)</f>
        <v>0.33021760012856716</v>
      </c>
      <c r="AP14" s="14" cm="1">
        <f t="array" ref="AP14">BS_Greek("CALL","DELTA",$AG14,$B$1,$B$2,$AH$3,AP$6)</f>
        <v>0.34517641190667869</v>
      </c>
      <c r="AQ14" s="14" cm="1">
        <f t="array" ref="AQ14">BS_Greek("CALL","DELTA",$AG14,$B$1,$B$2,$AH$3,AQ$6)</f>
        <v>0.35832748828828459</v>
      </c>
      <c r="AR14" s="14" cm="1">
        <f t="array" ref="AR14">BS_Greek("CALL","DELTA",$AG14,$B$1,$B$2,$AH$3,AR$6)</f>
        <v>0.44015891222205472</v>
      </c>
      <c r="AS14" s="14" cm="1">
        <f t="array" ref="AS14">BS_Greek("CALL","DELTA",$AG14,$B$1,$B$2,$AH$3,AS$6)</f>
        <v>0.48550787950516516</v>
      </c>
      <c r="AT14" s="14" cm="1">
        <f t="array" ref="AT14">BS_Greek("CALL","DELTA",$AG14,$B$1,$B$2,$AH$3,AT$6)</f>
        <v>0.51736188083892132</v>
      </c>
      <c r="AU14" s="23" cm="1">
        <f t="array" ref="AU14">BS_Greek("CALL","DELTA",$AG14,$B$1,$B$2,$AH$3,AU$6)</f>
        <v>0.54221660354441636</v>
      </c>
    </row>
    <row r="15" spans="1:47" x14ac:dyDescent="0.2">
      <c r="A15" s="12">
        <v>100</v>
      </c>
      <c r="B15" s="22" cm="1">
        <f t="array" ref="B15">BS_Greek("CALL","DELTA",$A15,$B$1,$B$2,$B$3,B$6)</f>
        <v>0.51891639999929629</v>
      </c>
      <c r="C15" s="14" cm="1">
        <f t="array" ref="C15">BS_Greek("CALL","DELTA",$A15,$B$1,$B$2,$B$3,C$6)</f>
        <v>0.5267418038869226</v>
      </c>
      <c r="D15" s="14" cm="1">
        <f t="array" ref="D15">BS_Greek("CALL","DELTA",$A15,$B$1,$B$2,$B$3,D$6)</f>
        <v>0.53273961671267711</v>
      </c>
      <c r="E15" s="14" cm="1">
        <f t="array" ref="E15">BS_Greek("CALL","DELTA",$A15,$B$1,$B$2,$B$3,E$6)</f>
        <v>0.53779029390666466</v>
      </c>
      <c r="F15" s="14" cm="1">
        <f t="array" ref="F15">BS_Greek("CALL","DELTA",$A15,$B$1,$B$2,$B$3,F$6)</f>
        <v>0.54223501331161406</v>
      </c>
      <c r="G15" s="14" cm="1">
        <f t="array" ref="G15">BS_Greek("CALL","DELTA",$A15,$B$1,$B$2,$B$3,G$6)</f>
        <v>0.54624882106468031</v>
      </c>
      <c r="H15" s="14" cm="1">
        <f t="array" ref="H15">BS_Greek("CALL","DELTA",$A15,$B$1,$B$2,$B$3,H$6)</f>
        <v>0.54993574324296035</v>
      </c>
      <c r="I15" s="14" cm="1">
        <f t="array" ref="I15">BS_Greek("CALL","DELTA",$A15,$B$1,$B$2,$B$3,I$6)</f>
        <v>0.55336358492889404</v>
      </c>
      <c r="J15" s="14" cm="1">
        <f t="array" ref="J15">BS_Greek("CALL","DELTA",$A15,$B$1,$B$2,$B$3,J$6)</f>
        <v>0.55657946195545982</v>
      </c>
      <c r="K15" s="14" cm="1">
        <f t="array" ref="K15">BS_Greek("CALL","DELTA",$A15,$B$1,$B$2,$B$3,K$6)</f>
        <v>0.5596176923702425</v>
      </c>
      <c r="L15" s="14" cm="1">
        <f t="array" ref="L15">BS_Greek("CALL","DELTA",$A15,$B$1,$B$2,$B$3,L$6)</f>
        <v>0.58399798571368178</v>
      </c>
      <c r="M15" s="14" cm="1">
        <f t="array" ref="M15">BS_Greek("CALL","DELTA",$A15,$B$1,$B$2,$B$3,M$6)</f>
        <v>0.60249391401788099</v>
      </c>
      <c r="N15" s="14" cm="1">
        <f t="array" ref="N15">BS_Greek("CALL","DELTA",$A15,$B$1,$B$2,$B$3,N$6)</f>
        <v>0.61791142218895267</v>
      </c>
      <c r="O15" s="23" cm="1">
        <f t="array" ref="O15">BS_Greek("CALL","DELTA",$A15,$B$1,$B$2,$B$3,O$6)</f>
        <v>0.63134216139179089</v>
      </c>
      <c r="P15" s="5"/>
      <c r="Q15" s="12">
        <v>100</v>
      </c>
      <c r="R15" s="22" cm="1">
        <f t="array" ref="R15">BS_Greek("CALL","DELTA",$Q15,$B$1,$B$2,$R$3,R$6)</f>
        <v>0.52311576495136336</v>
      </c>
      <c r="S15" s="14" cm="1">
        <f t="array" ref="S15">BS_Greek("CALL","DELTA",$Q15,$B$1,$B$2,$R$3,S$6)</f>
        <v>0.53267233292182181</v>
      </c>
      <c r="T15" s="14" cm="1">
        <f t="array" ref="T15">BS_Greek("CALL","DELTA",$Q15,$B$1,$B$2,$R$3,T$6)</f>
        <v>0.53999288758705544</v>
      </c>
      <c r="U15" s="14" cm="1">
        <f t="array" ref="U15">BS_Greek("CALL","DELTA",$Q15,$B$1,$B$2,$R$3,U$6)</f>
        <v>0.54615398735857779</v>
      </c>
      <c r="V15" s="14" cm="1">
        <f t="array" ref="V15">BS_Greek("CALL","DELTA",$Q15,$B$1,$B$2,$R$3,V$6)</f>
        <v>0.55157288637548119</v>
      </c>
      <c r="W15" s="14" cm="1">
        <f t="array" ref="W15">BS_Greek("CALL","DELTA",$Q15,$B$1,$B$2,$R$3,W$6)</f>
        <v>0.55646370539182832</v>
      </c>
      <c r="X15" s="14" cm="1">
        <f t="array" ref="X15">BS_Greek("CALL","DELTA",$Q15,$B$1,$B$2,$R$3,X$6)</f>
        <v>0.56095371673383299</v>
      </c>
      <c r="Y15" s="14" cm="1">
        <f t="array" ref="Y15">BS_Greek("CALL","DELTA",$Q15,$B$1,$B$2,$R$3,Y$6)</f>
        <v>0.56512589389530654</v>
      </c>
      <c r="Z15" s="14" cm="1">
        <f t="array" ref="Z15">BS_Greek("CALL","DELTA",$Q15,$B$1,$B$2,$R$3,Z$6)</f>
        <v>0.56903790416143729</v>
      </c>
      <c r="AA15" s="14" cm="1">
        <f t="array" ref="AA15">BS_Greek("CALL","DELTA",$Q15,$B$1,$B$2,$R$3,AA$6)</f>
        <v>0.57273175930304054</v>
      </c>
      <c r="AB15" s="14" cm="1">
        <f t="array" ref="AB15">BS_Greek("CALL","DELTA",$Q15,$B$1,$B$2,$R$3,AB$6)</f>
        <v>0.60228749680470339</v>
      </c>
      <c r="AC15" s="14" cm="1">
        <f t="array" ref="AC15">BS_Greek("CALL","DELTA",$Q15,$B$1,$B$2,$R$3,AC$6)</f>
        <v>0.62458405795544159</v>
      </c>
      <c r="AD15" s="14" cm="1">
        <f t="array" ref="AD15">BS_Greek("CALL","DELTA",$Q15,$B$1,$B$2,$R$3,AD$6)</f>
        <v>0.64306616326250143</v>
      </c>
      <c r="AE15" s="23" cm="1">
        <f t="array" ref="AE15">BS_Greek("CALL","DELTA",$Q15,$B$1,$B$2,$R$3,AE$6)</f>
        <v>0.65907714492767744</v>
      </c>
      <c r="AF15" s="5"/>
      <c r="AG15" s="12">
        <v>100</v>
      </c>
      <c r="AH15" s="22" cm="1">
        <f t="array" ref="AH15">BS_Greek("CALL","DELTA",$AG15,$B$1,$B$2,$AH$3,AH$6)</f>
        <v>0.51891639999929629</v>
      </c>
      <c r="AI15" s="14" cm="1">
        <f t="array" ref="AI15">BS_Greek("CALL","DELTA",$AG15,$B$1,$B$2,$AH$3,AI$6)</f>
        <v>0.5267418038869226</v>
      </c>
      <c r="AJ15" s="14" cm="1">
        <f t="array" ref="AJ15">BS_Greek("CALL","DELTA",$AG15,$B$1,$B$2,$AH$3,AJ$6)</f>
        <v>0.53273961671267711</v>
      </c>
      <c r="AK15" s="14" cm="1">
        <f t="array" ref="AK15">BS_Greek("CALL","DELTA",$AG15,$B$1,$B$2,$AH$3,AK$6)</f>
        <v>0.53779029390666466</v>
      </c>
      <c r="AL15" s="14" cm="1">
        <f t="array" ref="AL15">BS_Greek("CALL","DELTA",$AG15,$B$1,$B$2,$AH$3,AL$6)</f>
        <v>0.54223501331161406</v>
      </c>
      <c r="AM15" s="14" cm="1">
        <f t="array" ref="AM15">BS_Greek("CALL","DELTA",$AG15,$B$1,$B$2,$AH$3,AM$6)</f>
        <v>0.54624882106468031</v>
      </c>
      <c r="AN15" s="14" cm="1">
        <f t="array" ref="AN15">BS_Greek("CALL","DELTA",$AG15,$B$1,$B$2,$AH$3,AN$6)</f>
        <v>0.54993574324296035</v>
      </c>
      <c r="AO15" s="14" cm="1">
        <f t="array" ref="AO15">BS_Greek("CALL","DELTA",$AG15,$B$1,$B$2,$AH$3,AO$6)</f>
        <v>0.55336358492889404</v>
      </c>
      <c r="AP15" s="14" cm="1">
        <f t="array" ref="AP15">BS_Greek("CALL","DELTA",$AG15,$B$1,$B$2,$AH$3,AP$6)</f>
        <v>0.55657946195545982</v>
      </c>
      <c r="AQ15" s="14" cm="1">
        <f t="array" ref="AQ15">BS_Greek("CALL","DELTA",$AG15,$B$1,$B$2,$AH$3,AQ$6)</f>
        <v>0.5596176923702425</v>
      </c>
      <c r="AR15" s="14" cm="1">
        <f t="array" ref="AR15">BS_Greek("CALL","DELTA",$AG15,$B$1,$B$2,$AH$3,AR$6)</f>
        <v>0.58399798571368178</v>
      </c>
      <c r="AS15" s="14" cm="1">
        <f t="array" ref="AS15">BS_Greek("CALL","DELTA",$AG15,$B$1,$B$2,$AH$3,AS$6)</f>
        <v>0.60249391401788088</v>
      </c>
      <c r="AT15" s="14" cm="1">
        <f t="array" ref="AT15">BS_Greek("CALL","DELTA",$AG15,$B$1,$B$2,$AH$3,AT$6)</f>
        <v>0.61791142218895267</v>
      </c>
      <c r="AU15" s="23" cm="1">
        <f t="array" ref="AU15">BS_Greek("CALL","DELTA",$AG15,$B$1,$B$2,$AH$3,AU$6)</f>
        <v>0.63134216139179089</v>
      </c>
    </row>
    <row r="16" spans="1:47" x14ac:dyDescent="0.2">
      <c r="A16" s="12">
        <v>105</v>
      </c>
      <c r="B16" s="22" cm="1">
        <f t="array" ref="B16">BS_Greek("CALL","DELTA",$A16,$B$1,$B$2,$B$3,B$6)</f>
        <v>0.79357096026156482</v>
      </c>
      <c r="C16" s="14" cm="1">
        <f t="array" ref="C16">BS_Greek("CALL","DELTA",$A16,$B$1,$B$2,$B$3,C$6)</f>
        <v>0.72992052908241489</v>
      </c>
      <c r="D16" s="14" cm="1">
        <f t="array" ref="D16">BS_Greek("CALL","DELTA",$A16,$B$1,$B$2,$B$3,D$6)</f>
        <v>0.70109401201543453</v>
      </c>
      <c r="E16" s="14" cm="1">
        <f t="array" ref="E16">BS_Greek("CALL","DELTA",$A16,$B$1,$B$2,$B$3,E$6)</f>
        <v>0.68459548536557635</v>
      </c>
      <c r="F16" s="14" cm="1">
        <f t="array" ref="F16">BS_Greek("CALL","DELTA",$A16,$B$1,$B$2,$B$3,F$6)</f>
        <v>0.67402849627857031</v>
      </c>
      <c r="G16" s="14" cm="1">
        <f t="array" ref="G16">BS_Greek("CALL","DELTA",$A16,$B$1,$B$2,$B$3,G$6)</f>
        <v>0.66681258720741177</v>
      </c>
      <c r="H16" s="14" cm="1">
        <f t="array" ref="H16">BS_Greek("CALL","DELTA",$A16,$B$1,$B$2,$B$3,H$6)</f>
        <v>0.66168859212232867</v>
      </c>
      <c r="I16" s="14" cm="1">
        <f t="array" ref="I16">BS_Greek("CALL","DELTA",$A16,$B$1,$B$2,$B$3,I$6)</f>
        <v>0.65796272969308234</v>
      </c>
      <c r="J16" s="14" cm="1">
        <f t="array" ref="J16">BS_Greek("CALL","DELTA",$A16,$B$1,$B$2,$B$3,J$6)</f>
        <v>0.65521889020886748</v>
      </c>
      <c r="K16" s="14" cm="1">
        <f t="array" ref="K16">BS_Greek("CALL","DELTA",$A16,$B$1,$B$2,$B$3,K$6)</f>
        <v>0.65319132580079731</v>
      </c>
      <c r="L16" s="14" cm="1">
        <f t="array" ref="L16">BS_Greek("CALL","DELTA",$A16,$B$1,$B$2,$B$3,L$6)</f>
        <v>0.64974470477957968</v>
      </c>
      <c r="M16" s="14" cm="1">
        <f t="array" ref="M16">BS_Greek("CALL","DELTA",$A16,$B$1,$B$2,$B$3,M$6)</f>
        <v>0.6556620776426314</v>
      </c>
      <c r="N16" s="14" cm="1">
        <f t="array" ref="N16">BS_Greek("CALL","DELTA",$A16,$B$1,$B$2,$B$3,N$6)</f>
        <v>0.66347851713393957</v>
      </c>
      <c r="O16" s="23" cm="1">
        <f t="array" ref="O16">BS_Greek("CALL","DELTA",$A16,$B$1,$B$2,$B$3,O$6)</f>
        <v>0.67166244266164088</v>
      </c>
      <c r="P16" s="5"/>
      <c r="Q16" s="12">
        <v>105</v>
      </c>
      <c r="R16" s="22" cm="1">
        <f t="array" ref="R16">BS_Greek("CALL","DELTA",$Q16,$B$1,$B$2,$R$3,R$6)</f>
        <v>0.71642998296826488</v>
      </c>
      <c r="S16" s="14" cm="1">
        <f t="array" ref="S16">BS_Greek("CALL","DELTA",$Q16,$B$1,$B$2,$R$3,S$6)</f>
        <v>0.67207480164598299</v>
      </c>
      <c r="T16" s="14" cm="1">
        <f t="array" ref="T16">BS_Greek("CALL","DELTA",$Q16,$B$1,$B$2,$R$3,T$6)</f>
        <v>0.65444283411208759</v>
      </c>
      <c r="U16" s="14" cm="1">
        <f t="array" ref="U16">BS_Greek("CALL","DELTA",$Q16,$B$1,$B$2,$R$3,U$6)</f>
        <v>0.64546184621426217</v>
      </c>
      <c r="V16" s="14" cm="1">
        <f t="array" ref="V16">BS_Greek("CALL","DELTA",$Q16,$B$1,$B$2,$R$3,V$6)</f>
        <v>0.64044005264399373</v>
      </c>
      <c r="W16" s="14" cm="1">
        <f t="array" ref="W16">BS_Greek("CALL","DELTA",$Q16,$B$1,$B$2,$R$3,W$6)</f>
        <v>0.6375691792945577</v>
      </c>
      <c r="X16" s="14" cm="1">
        <f t="array" ref="X16">BS_Greek("CALL","DELTA",$Q16,$B$1,$B$2,$R$3,X$6)</f>
        <v>0.63599441741087059</v>
      </c>
      <c r="Y16" s="14" cm="1">
        <f t="array" ref="Y16">BS_Greek("CALL","DELTA",$Q16,$B$1,$B$2,$R$3,Y$6)</f>
        <v>0.63525669084775638</v>
      </c>
      <c r="Z16" s="14" cm="1">
        <f t="array" ref="Z16">BS_Greek("CALL","DELTA",$Q16,$B$1,$B$2,$R$3,Z$6)</f>
        <v>0.63508678730440149</v>
      </c>
      <c r="AA16" s="14" cm="1">
        <f t="array" ref="AA16">BS_Greek("CALL","DELTA",$Q16,$B$1,$B$2,$R$3,AA$6)</f>
        <v>0.63531632275589001</v>
      </c>
      <c r="AB16" s="14" cm="1">
        <f t="array" ref="AB16">BS_Greek("CALL","DELTA",$Q16,$B$1,$B$2,$R$3,AB$6)</f>
        <v>0.64589902155139922</v>
      </c>
      <c r="AC16" s="14" cm="1">
        <f t="array" ref="AC16">BS_Greek("CALL","DELTA",$Q16,$B$1,$B$2,$R$3,AC$6)</f>
        <v>0.65962480217204278</v>
      </c>
      <c r="AD16" s="14" cm="1">
        <f t="array" ref="AD16">BS_Greek("CALL","DELTA",$Q16,$B$1,$B$2,$R$3,AD$6)</f>
        <v>0.67291748622828185</v>
      </c>
      <c r="AE16" s="23" cm="1">
        <f t="array" ref="AE16">BS_Greek("CALL","DELTA",$Q16,$B$1,$B$2,$R$3,AE$6)</f>
        <v>0.68533776358227261</v>
      </c>
      <c r="AF16" s="5"/>
      <c r="AG16" s="12">
        <v>105</v>
      </c>
      <c r="AH16" s="22" cm="1">
        <f t="array" ref="AH16">BS_Greek("CALL","DELTA",$AG16,$B$1,$B$2,$AH$3,AH$6)</f>
        <v>0.94411804837488877</v>
      </c>
      <c r="AI16" s="14" cm="1">
        <f t="array" ref="AI16">BS_Greek("CALL","DELTA",$AG16,$B$1,$B$2,$AH$3,AI$6)</f>
        <v>0.87658089249568349</v>
      </c>
      <c r="AJ16" s="14" cm="1">
        <f t="array" ref="AJ16">BS_Greek("CALL","DELTA",$AG16,$B$1,$B$2,$AH$3,AJ$6)</f>
        <v>0.83470864554501079</v>
      </c>
      <c r="AK16" s="14" cm="1">
        <f t="array" ref="AK16">BS_Greek("CALL","DELTA",$AG16,$B$1,$B$2,$AH$3,AK$6)</f>
        <v>0.80683951354982253</v>
      </c>
      <c r="AL16" s="14" cm="1">
        <f t="array" ref="AL16">BS_Greek("CALL","DELTA",$AG16,$B$1,$B$2,$AH$3,AL$6)</f>
        <v>0.78700233026770061</v>
      </c>
      <c r="AM16" s="14" cm="1">
        <f t="array" ref="AM16">BS_Greek("CALL","DELTA",$AG16,$B$1,$B$2,$AH$3,AM$6)</f>
        <v>0.77218677368637112</v>
      </c>
      <c r="AN16" s="14" cm="1">
        <f t="array" ref="AN16">BS_Greek("CALL","DELTA",$AG16,$B$1,$B$2,$AH$3,AN$6)</f>
        <v>0.76073008250523411</v>
      </c>
      <c r="AO16" s="14" cm="1">
        <f t="array" ref="AO16">BS_Greek("CALL","DELTA",$AG16,$B$1,$B$2,$AH$3,AO$6)</f>
        <v>0.75163843630541693</v>
      </c>
      <c r="AP16" s="14" cm="1">
        <f t="array" ref="AP16">BS_Greek("CALL","DELTA",$AG16,$B$1,$B$2,$AH$3,AP$6)</f>
        <v>0.74427963343394432</v>
      </c>
      <c r="AQ16" s="14" cm="1">
        <f t="array" ref="AQ16">BS_Greek("CALL","DELTA",$AG16,$B$1,$B$2,$AH$3,AQ$6)</f>
        <v>0.73823114549048119</v>
      </c>
      <c r="AR16" s="14" cm="1">
        <f t="array" ref="AR16">BS_Greek("CALL","DELTA",$AG16,$B$1,$B$2,$AH$3,AR$6)</f>
        <v>0.71128089691736807</v>
      </c>
      <c r="AS16" s="14" cm="1">
        <f t="array" ref="AS16">BS_Greek("CALL","DELTA",$AG16,$B$1,$B$2,$AH$3,AS$6)</f>
        <v>0.70591773123367962</v>
      </c>
      <c r="AT16" s="14" cm="1">
        <f t="array" ref="AT16">BS_Greek("CALL","DELTA",$AG16,$B$1,$B$2,$AH$3,AT$6)</f>
        <v>0.70676234221741052</v>
      </c>
      <c r="AU16" s="23" cm="1">
        <f t="array" ref="AU16">BS_Greek("CALL","DELTA",$AG16,$B$1,$B$2,$AH$3,AU$6)</f>
        <v>0.71007589254163683</v>
      </c>
    </row>
    <row r="17" spans="1:47" x14ac:dyDescent="0.2">
      <c r="A17" s="12">
        <v>110</v>
      </c>
      <c r="B17" s="22" cm="1">
        <f t="array" ref="B17">BS_Greek("CALL","DELTA",$A17,$B$1,$B$2,$B$3,B$6)</f>
        <v>0.93995791805464912</v>
      </c>
      <c r="C17" s="14" cm="1">
        <f t="array" ref="C17">BS_Greek("CALL","DELTA",$A17,$B$1,$B$2,$B$3,C$6)</f>
        <v>0.87132614165736733</v>
      </c>
      <c r="D17" s="14" cm="1">
        <f t="array" ref="D17">BS_Greek("CALL","DELTA",$A17,$B$1,$B$2,$B$3,D$6)</f>
        <v>0.82950660741686155</v>
      </c>
      <c r="E17" s="14" cm="1">
        <f t="array" ref="E17">BS_Greek("CALL","DELTA",$A17,$B$1,$B$2,$B$3,E$6)</f>
        <v>0.80188165059672933</v>
      </c>
      <c r="F17" s="14" cm="1">
        <f t="array" ref="F17">BS_Greek("CALL","DELTA",$A17,$B$1,$B$2,$B$3,F$6)</f>
        <v>0.78230772963384732</v>
      </c>
      <c r="G17" s="14" cm="1">
        <f t="array" ref="G17">BS_Greek("CALL","DELTA",$A17,$B$1,$B$2,$B$3,G$6)</f>
        <v>0.76773686176629652</v>
      </c>
      <c r="H17" s="14" cm="1">
        <f t="array" ref="H17">BS_Greek("CALL","DELTA",$A17,$B$1,$B$2,$B$3,H$6)</f>
        <v>0.7564993813863905</v>
      </c>
      <c r="I17" s="14" cm="1">
        <f t="array" ref="I17">BS_Greek("CALL","DELTA",$A17,$B$1,$B$2,$B$3,I$6)</f>
        <v>0.74760249342748353</v>
      </c>
      <c r="J17" s="14" cm="1">
        <f t="array" ref="J17">BS_Greek("CALL","DELTA",$A17,$B$1,$B$2,$B$3,J$6)</f>
        <v>0.74041691025313783</v>
      </c>
      <c r="K17" s="14" cm="1">
        <f t="array" ref="K17">BS_Greek("CALL","DELTA",$A17,$B$1,$B$2,$B$3,K$6)</f>
        <v>0.73452316868917078</v>
      </c>
      <c r="L17" s="14" cm="1">
        <f t="array" ref="L17">BS_Greek("CALL","DELTA",$A17,$B$1,$B$2,$B$3,L$6)</f>
        <v>0.7085330993545631</v>
      </c>
      <c r="M17" s="14" cm="1">
        <f t="array" ref="M17">BS_Greek("CALL","DELTA",$A17,$B$1,$B$2,$B$3,M$6)</f>
        <v>0.70365585138940701</v>
      </c>
      <c r="N17" s="14" cm="1">
        <f t="array" ref="N17">BS_Greek("CALL","DELTA",$A17,$B$1,$B$2,$B$3,N$6)</f>
        <v>0.70480655105134737</v>
      </c>
      <c r="O17" s="23" cm="1">
        <f t="array" ref="O17">BS_Greek("CALL","DELTA",$A17,$B$1,$B$2,$B$3,O$6)</f>
        <v>0.70833606363246282</v>
      </c>
      <c r="P17" s="5"/>
      <c r="Q17" s="12">
        <v>110</v>
      </c>
      <c r="R17" s="22" cm="1">
        <f t="array" ref="R17">BS_Greek("CALL","DELTA",$Q17,$B$1,$B$2,$R$3,R$6)</f>
        <v>0.85602570106502918</v>
      </c>
      <c r="S17" s="14" cm="1">
        <f t="array" ref="S17">BS_Greek("CALL","DELTA",$Q17,$B$1,$B$2,$R$3,S$6)</f>
        <v>0.78593314054026053</v>
      </c>
      <c r="T17" s="14" cm="1">
        <f t="array" ref="T17">BS_Greek("CALL","DELTA",$Q17,$B$1,$B$2,$R$3,T$6)</f>
        <v>0.75189182389050946</v>
      </c>
      <c r="U17" s="14" cm="1">
        <f t="array" ref="U17">BS_Greek("CALL","DELTA",$Q17,$B$1,$B$2,$R$3,U$6)</f>
        <v>0.7318042573881709</v>
      </c>
      <c r="V17" s="14" cm="1">
        <f t="array" ref="V17">BS_Greek("CALL","DELTA",$Q17,$B$1,$B$2,$R$3,V$6)</f>
        <v>0.71868272096314856</v>
      </c>
      <c r="W17" s="14" cm="1">
        <f t="array" ref="W17">BS_Greek("CALL","DELTA",$Q17,$B$1,$B$2,$R$3,W$6)</f>
        <v>0.70958032306564656</v>
      </c>
      <c r="X17" s="14" cm="1">
        <f t="array" ref="X17">BS_Greek("CALL","DELTA",$Q17,$B$1,$B$2,$R$3,X$6)</f>
        <v>0.70302215257089251</v>
      </c>
      <c r="Y17" s="14" cm="1">
        <f t="array" ref="Y17">BS_Greek("CALL","DELTA",$Q17,$B$1,$B$2,$R$3,Y$6)</f>
        <v>0.69818182521677907</v>
      </c>
      <c r="Z17" s="14" cm="1">
        <f t="array" ref="Z17">BS_Greek("CALL","DELTA",$Q17,$B$1,$B$2,$R$3,Z$6)</f>
        <v>0.69455768345693381</v>
      </c>
      <c r="AA17" s="14" cm="1">
        <f t="array" ref="AA17">BS_Greek("CALL","DELTA",$Q17,$B$1,$B$2,$R$3,AA$6)</f>
        <v>0.69182637898167587</v>
      </c>
      <c r="AB17" s="14" cm="1">
        <f t="array" ref="AB17">BS_Greek("CALL","DELTA",$Q17,$B$1,$B$2,$R$3,AB$6)</f>
        <v>0.68577893776060739</v>
      </c>
      <c r="AC17" s="14" cm="1">
        <f t="array" ref="AC17">BS_Greek("CALL","DELTA",$Q17,$B$1,$B$2,$R$3,AC$6)</f>
        <v>0.69180288754629138</v>
      </c>
      <c r="AD17" s="14" cm="1">
        <f t="array" ref="AD17">BS_Greek("CALL","DELTA",$Q17,$B$1,$B$2,$R$3,AD$6)</f>
        <v>0.70038806898924744</v>
      </c>
      <c r="AE17" s="23" cm="1">
        <f t="array" ref="AE17">BS_Greek("CALL","DELTA",$Q17,$B$1,$B$2,$R$3,AE$6)</f>
        <v>0.70953466945632937</v>
      </c>
      <c r="AF17" s="5"/>
      <c r="AG17" s="12">
        <v>110</v>
      </c>
      <c r="AH17" s="22" cm="1">
        <f t="array" ref="AH17">BS_Greek("CALL","DELTA",$AG17,$B$1,$B$2,$AH$3,AH$6)</f>
        <v>0.99889850177275419</v>
      </c>
      <c r="AI17" s="14" cm="1">
        <f t="array" ref="AI17">BS_Greek("CALL","DELTA",$AG17,$B$1,$B$2,$AH$3,AI$6)</f>
        <v>0.98603550784275051</v>
      </c>
      <c r="AJ17" s="14" cm="1">
        <f t="array" ref="AJ17">BS_Greek("CALL","DELTA",$AG17,$B$1,$B$2,$AH$3,AJ$6)</f>
        <v>0.96579345861513155</v>
      </c>
      <c r="AK17" s="14" cm="1">
        <f t="array" ref="AK17">BS_Greek("CALL","DELTA",$AG17,$B$1,$B$2,$AH$3,AK$6)</f>
        <v>0.94540611613468872</v>
      </c>
      <c r="AL17" s="14" cm="1">
        <f t="array" ref="AL17">BS_Greek("CALL","DELTA",$AG17,$B$1,$B$2,$AH$3,AL$6)</f>
        <v>0.9270206788480384</v>
      </c>
      <c r="AM17" s="14" cm="1">
        <f t="array" ref="AM17">BS_Greek("CALL","DELTA",$AG17,$B$1,$B$2,$AH$3,AM$6)</f>
        <v>0.910951676948353</v>
      </c>
      <c r="AN17" s="14" cm="1">
        <f t="array" ref="AN17">BS_Greek("CALL","DELTA",$AG17,$B$1,$B$2,$AH$3,AN$6)</f>
        <v>0.8970058106562373</v>
      </c>
      <c r="AO17" s="14" cm="1">
        <f t="array" ref="AO17">BS_Greek("CALL","DELTA",$AG17,$B$1,$B$2,$AH$3,AO$6)</f>
        <v>0.88488455046683934</v>
      </c>
      <c r="AP17" s="14" cm="1">
        <f t="array" ref="AP17">BS_Greek("CALL","DELTA",$AG17,$B$1,$B$2,$AH$3,AP$6)</f>
        <v>0.87430092401455395</v>
      </c>
      <c r="AQ17" s="14" cm="1">
        <f t="array" ref="AQ17">BS_Greek("CALL","DELTA",$AG17,$B$1,$B$2,$AH$3,AQ$6)</f>
        <v>0.86500851994546202</v>
      </c>
      <c r="AR17" s="14" cm="1">
        <f t="array" ref="AR17">BS_Greek("CALL","DELTA",$AG17,$B$1,$B$2,$AH$3,AR$6)</f>
        <v>0.81221192244611107</v>
      </c>
      <c r="AS17" s="14" cm="1">
        <f t="array" ref="AS17">BS_Greek("CALL","DELTA",$AG17,$B$1,$B$2,$AH$3,AS$6)</f>
        <v>0.79105324594553816</v>
      </c>
      <c r="AT17" s="14" cm="1">
        <f t="array" ref="AT17">BS_Greek("CALL","DELTA",$AG17,$B$1,$B$2,$AH$3,AT$6)</f>
        <v>0.78128810999478626</v>
      </c>
      <c r="AU17" s="23" cm="1">
        <f t="array" ref="AU17">BS_Greek("CALL","DELTA",$AG17,$B$1,$B$2,$AH$3,AU$6)</f>
        <v>0.77686562090211797</v>
      </c>
    </row>
    <row r="18" spans="1:47" x14ac:dyDescent="0.2">
      <c r="A18" s="12">
        <v>115</v>
      </c>
      <c r="B18" s="22" cm="1">
        <f t="array" ref="B18">BS_Greek("CALL","DELTA",$A18,$B$1,$B$2,$B$3,B$6)</f>
        <v>0.98800422406854482</v>
      </c>
      <c r="C18" s="14" cm="1">
        <f t="array" ref="C18">BS_Greek("CALL","DELTA",$A18,$B$1,$B$2,$B$3,C$6)</f>
        <v>0.94841416414843493</v>
      </c>
      <c r="D18" s="14" cm="1">
        <f t="array" ref="D18">BS_Greek("CALL","DELTA",$A18,$B$1,$B$2,$B$3,D$6)</f>
        <v>0.91276887593354383</v>
      </c>
      <c r="E18" s="14" cm="1">
        <f t="array" ref="E18">BS_Greek("CALL","DELTA",$A18,$B$1,$B$2,$B$3,E$6)</f>
        <v>0.88488828305391432</v>
      </c>
      <c r="F18" s="14" cm="1">
        <f t="array" ref="F18">BS_Greek("CALL","DELTA",$A18,$B$1,$B$2,$B$3,F$6)</f>
        <v>0.8630953437034381</v>
      </c>
      <c r="G18" s="14" cm="1">
        <f t="array" ref="G18">BS_Greek("CALL","DELTA",$A18,$B$1,$B$2,$B$3,G$6)</f>
        <v>0.84574392541104015</v>
      </c>
      <c r="H18" s="14" cm="1">
        <f t="array" ref="H18">BS_Greek("CALL","DELTA",$A18,$B$1,$B$2,$B$3,H$6)</f>
        <v>0.83165762889347106</v>
      </c>
      <c r="I18" s="14" cm="1">
        <f t="array" ref="I18">BS_Greek("CALL","DELTA",$A18,$B$1,$B$2,$B$3,I$6)</f>
        <v>0.82002413987768763</v>
      </c>
      <c r="J18" s="14" cm="1">
        <f t="array" ref="J18">BS_Greek("CALL","DELTA",$A18,$B$1,$B$2,$B$3,J$6)</f>
        <v>0.81027566906216286</v>
      </c>
      <c r="K18" s="14" cm="1">
        <f t="array" ref="K18">BS_Greek("CALL","DELTA",$A18,$B$1,$B$2,$B$3,K$6)</f>
        <v>0.80200640740621953</v>
      </c>
      <c r="L18" s="14" cm="1">
        <f t="array" ref="L18">BS_Greek("CALL","DELTA",$A18,$B$1,$B$2,$B$3,L$6)</f>
        <v>0.75998835998968672</v>
      </c>
      <c r="M18" s="14" cm="1">
        <f t="array" ref="M18">BS_Greek("CALL","DELTA",$A18,$B$1,$B$2,$B$3,M$6)</f>
        <v>0.74641976679143052</v>
      </c>
      <c r="N18" s="14" cm="1">
        <f t="array" ref="N18">BS_Greek("CALL","DELTA",$A18,$B$1,$B$2,$B$3,N$6)</f>
        <v>0.74196163694002004</v>
      </c>
      <c r="O18" s="23" cm="1">
        <f t="array" ref="O18">BS_Greek("CALL","DELTA",$A18,$B$1,$B$2,$B$3,O$6)</f>
        <v>0.74148404620256403</v>
      </c>
      <c r="P18" s="5"/>
      <c r="Q18" s="12">
        <v>115</v>
      </c>
      <c r="R18" s="22" cm="1">
        <f t="array" ref="R18">BS_Greek("CALL","DELTA",$Q18,$B$1,$B$2,$R$3,R$6)</f>
        <v>0.9371394361344666</v>
      </c>
      <c r="S18" s="14" cm="1">
        <f t="array" ref="S18">BS_Greek("CALL","DELTA",$Q18,$B$1,$B$2,$R$3,S$6)</f>
        <v>0.86943263666792814</v>
      </c>
      <c r="T18" s="14" cm="1">
        <f t="array" ref="T18">BS_Greek("CALL","DELTA",$Q18,$B$1,$B$2,$R$3,T$6)</f>
        <v>0.82919270948748747</v>
      </c>
      <c r="U18" s="14" cm="1">
        <f t="array" ref="U18">BS_Greek("CALL","DELTA",$Q18,$B$1,$B$2,$R$3,U$6)</f>
        <v>0.80304840536517041</v>
      </c>
      <c r="V18" s="14" cm="1">
        <f t="array" ref="V18">BS_Greek("CALL","DELTA",$Q18,$B$1,$B$2,$R$3,V$6)</f>
        <v>0.78479210831011448</v>
      </c>
      <c r="W18" s="14" cm="1">
        <f t="array" ref="W18">BS_Greek("CALL","DELTA",$Q18,$B$1,$B$2,$R$3,W$6)</f>
        <v>0.77139506484411136</v>
      </c>
      <c r="X18" s="14" cm="1">
        <f t="array" ref="X18">BS_Greek("CALL","DELTA",$Q18,$B$1,$B$2,$R$3,X$6)</f>
        <v>0.76121383901599127</v>
      </c>
      <c r="Y18" s="14" cm="1">
        <f t="array" ref="Y18">BS_Greek("CALL","DELTA",$Q18,$B$1,$B$2,$R$3,Y$6)</f>
        <v>0.75327765691030435</v>
      </c>
      <c r="Z18" s="14" cm="1">
        <f t="array" ref="Z18">BS_Greek("CALL","DELTA",$Q18,$B$1,$B$2,$R$3,Z$6)</f>
        <v>0.74697433142683933</v>
      </c>
      <c r="AA18" s="14" cm="1">
        <f t="array" ref="AA18">BS_Greek("CALL","DELTA",$Q18,$B$1,$B$2,$R$3,AA$6)</f>
        <v>0.74189753633829758</v>
      </c>
      <c r="AB18" s="14" cm="1">
        <f t="array" ref="AB18">BS_Greek("CALL","DELTA",$Q18,$B$1,$B$2,$R$3,AB$6)</f>
        <v>0.72196690064701641</v>
      </c>
      <c r="AC18" s="14" cm="1">
        <f t="array" ref="AC18">BS_Greek("CALL","DELTA",$Q18,$B$1,$B$2,$R$3,AC$6)</f>
        <v>0.72123513401713546</v>
      </c>
      <c r="AD18" s="14" cm="1">
        <f t="array" ref="AD18">BS_Greek("CALL","DELTA",$Q18,$B$1,$B$2,$R$3,AD$6)</f>
        <v>0.72561465541937875</v>
      </c>
      <c r="AE18" s="23" cm="1">
        <f t="array" ref="AE18">BS_Greek("CALL","DELTA",$Q18,$B$1,$B$2,$R$3,AE$6)</f>
        <v>0.7318081009305093</v>
      </c>
      <c r="AF18" s="5"/>
      <c r="AG18" s="12">
        <v>115</v>
      </c>
      <c r="AH18" s="22" cm="1">
        <f t="array" ref="AH18">BS_Greek("CALL","DELTA",$AG18,$B$1,$B$2,$AH$3,AH$6)</f>
        <v>0.99999603555087258</v>
      </c>
      <c r="AI18" s="14" cm="1">
        <f t="array" ref="AI18">BS_Greek("CALL","DELTA",$AG18,$B$1,$B$2,$AH$3,AI$6)</f>
        <v>0.99929416451516662</v>
      </c>
      <c r="AJ18" s="14" cm="1">
        <f t="array" ref="AJ18">BS_Greek("CALL","DELTA",$AG18,$B$1,$B$2,$AH$3,AJ$6)</f>
        <v>0.99577886954542294</v>
      </c>
      <c r="AK18" s="14" cm="1">
        <f t="array" ref="AK18">BS_Greek("CALL","DELTA",$AG18,$B$1,$B$2,$AH$3,AK$6)</f>
        <v>0.98940827229066197</v>
      </c>
      <c r="AL18" s="14" cm="1">
        <f t="array" ref="AL18">BS_Greek("CALL","DELTA",$AG18,$B$1,$B$2,$AH$3,AL$6)</f>
        <v>0.98135607564044858</v>
      </c>
      <c r="AM18" s="14" cm="1">
        <f t="array" ref="AM18">BS_Greek("CALL","DELTA",$AG18,$B$1,$B$2,$AH$3,AM$6)</f>
        <v>0.97260314455363983</v>
      </c>
      <c r="AN18" s="14" cm="1">
        <f t="array" ref="AN18">BS_Greek("CALL","DELTA",$AG18,$B$1,$B$2,$AH$3,AN$6)</f>
        <v>0.96375065198429899</v>
      </c>
      <c r="AO18" s="14" cm="1">
        <f t="array" ref="AO18">BS_Greek("CALL","DELTA",$AG18,$B$1,$B$2,$AH$3,AO$6)</f>
        <v>0.95512804158206499</v>
      </c>
      <c r="AP18" s="14" cm="1">
        <f t="array" ref="AP18">BS_Greek("CALL","DELTA",$AG18,$B$1,$B$2,$AH$3,AP$6)</f>
        <v>0.94690122807155452</v>
      </c>
      <c r="AQ18" s="14" cm="1">
        <f t="array" ref="AQ18">BS_Greek("CALL","DELTA",$AG18,$B$1,$B$2,$AH$3,AQ$6)</f>
        <v>0.9391430239591263</v>
      </c>
      <c r="AR18" s="14" cm="1">
        <f t="array" ref="AR18">BS_Greek("CALL","DELTA",$AG18,$B$1,$B$2,$AH$3,AR$6)</f>
        <v>0.88500763743571798</v>
      </c>
      <c r="AS18" s="14" cm="1">
        <f t="array" ref="AS18">BS_Greek("CALL","DELTA",$AG18,$B$1,$B$2,$AH$3,AS$6)</f>
        <v>0.85695166013778001</v>
      </c>
      <c r="AT18" s="14" cm="1">
        <f t="array" ref="AT18">BS_Greek("CALL","DELTA",$AG18,$B$1,$B$2,$AH$3,AT$6)</f>
        <v>0.84105655977843707</v>
      </c>
      <c r="AU18" s="23" cm="1">
        <f t="array" ref="AU18">BS_Greek("CALL","DELTA",$AG18,$B$1,$B$2,$AH$3,AU$6)</f>
        <v>0.83158425080253329</v>
      </c>
    </row>
    <row r="19" spans="1:47" x14ac:dyDescent="0.2">
      <c r="A19" s="12">
        <v>120</v>
      </c>
      <c r="B19" s="22" cm="1">
        <f t="array" ref="B19">BS_Greek("CALL","DELTA",$A19,$B$1,$B$2,$B$3,B$6)</f>
        <v>0.99830623193923973</v>
      </c>
      <c r="C19" s="14" cm="1">
        <f t="array" ref="C19">BS_Greek("CALL","DELTA",$A19,$B$1,$B$2,$B$3,C$6)</f>
        <v>0.9823760534317052</v>
      </c>
      <c r="D19" s="14" cm="1">
        <f t="array" ref="D19">BS_Greek("CALL","DELTA",$A19,$B$1,$B$2,$B$3,D$6)</f>
        <v>0.95963958476134859</v>
      </c>
      <c r="E19" s="14" cm="1">
        <f t="array" ref="E19">BS_Greek("CALL","DELTA",$A19,$B$1,$B$2,$B$3,E$6)</f>
        <v>0.93776106845399343</v>
      </c>
      <c r="F19" s="14" cm="1">
        <f t="array" ref="F19">BS_Greek("CALL","DELTA",$A19,$B$1,$B$2,$B$3,F$6)</f>
        <v>0.91853340172068842</v>
      </c>
      <c r="G19" s="14" cm="1">
        <f t="array" ref="G19">BS_Greek("CALL","DELTA",$A19,$B$1,$B$2,$B$3,G$6)</f>
        <v>0.90200659044195874</v>
      </c>
      <c r="H19" s="14" cm="1">
        <f t="array" ref="H19">BS_Greek("CALL","DELTA",$A19,$B$1,$B$2,$B$3,H$6)</f>
        <v>0.88783196322373703</v>
      </c>
      <c r="I19" s="14" cm="1">
        <f t="array" ref="I19">BS_Greek("CALL","DELTA",$A19,$B$1,$B$2,$B$3,I$6)</f>
        <v>0.87562125149536263</v>
      </c>
      <c r="J19" s="14" cm="1">
        <f t="array" ref="J19">BS_Greek("CALL","DELTA",$A19,$B$1,$B$2,$B$3,J$6)</f>
        <v>0.86503450040480123</v>
      </c>
      <c r="K19" s="14" cm="1">
        <f t="array" ref="K19">BS_Greek("CALL","DELTA",$A19,$B$1,$B$2,$B$3,K$6)</f>
        <v>0.85579311074329822</v>
      </c>
      <c r="L19" s="14" cm="1">
        <f t="array" ref="L19">BS_Greek("CALL","DELTA",$A19,$B$1,$B$2,$B$3,L$6)</f>
        <v>0.80420462073819765</v>
      </c>
      <c r="M19" s="14" cm="1">
        <f t="array" ref="M19">BS_Greek("CALL","DELTA",$A19,$B$1,$B$2,$B$3,M$6)</f>
        <v>0.78410275921225248</v>
      </c>
      <c r="N19" s="14" cm="1">
        <f t="array" ref="N19">BS_Greek("CALL","DELTA",$A19,$B$1,$B$2,$B$3,N$6)</f>
        <v>0.77511660853638908</v>
      </c>
      <c r="O19" s="23" cm="1">
        <f t="array" ref="O19">BS_Greek("CALL","DELTA",$A19,$B$1,$B$2,$B$3,O$6)</f>
        <v>0.77128749032735988</v>
      </c>
      <c r="P19" s="5"/>
      <c r="Q19" s="12">
        <v>120</v>
      </c>
      <c r="R19" s="22" cm="1">
        <f t="array" ref="R19">BS_Greek("CALL","DELTA",$Q19,$B$1,$B$2,$R$3,R$6)</f>
        <v>0.97613772992890591</v>
      </c>
      <c r="S19" s="14" cm="1">
        <f t="array" ref="S19">BS_Greek("CALL","DELTA",$Q19,$B$1,$B$2,$R$3,S$6)</f>
        <v>0.92519830817009863</v>
      </c>
      <c r="T19" s="14" cm="1">
        <f t="array" ref="T19">BS_Greek("CALL","DELTA",$Q19,$B$1,$B$2,$R$3,T$6)</f>
        <v>0.88685853170876361</v>
      </c>
      <c r="U19" s="14" cm="1">
        <f t="array" ref="U19">BS_Greek("CALL","DELTA",$Q19,$B$1,$B$2,$R$3,U$6)</f>
        <v>0.85923063815805933</v>
      </c>
      <c r="V19" s="14" cm="1">
        <f t="array" ref="V19">BS_Greek("CALL","DELTA",$Q19,$B$1,$B$2,$R$3,V$6)</f>
        <v>0.83869492248144772</v>
      </c>
      <c r="W19" s="14" cm="1">
        <f t="array" ref="W19">BS_Greek("CALL","DELTA",$Q19,$B$1,$B$2,$R$3,W$6)</f>
        <v>0.82293195018806276</v>
      </c>
      <c r="X19" s="14" cm="1">
        <f t="array" ref="X19">BS_Greek("CALL","DELTA",$Q19,$B$1,$B$2,$R$3,X$6)</f>
        <v>0.81050916202186163</v>
      </c>
      <c r="Y19" s="14" cm="1">
        <f t="array" ref="Y19">BS_Greek("CALL","DELTA",$Q19,$B$1,$B$2,$R$3,Y$6)</f>
        <v>0.80051177059449707</v>
      </c>
      <c r="Z19" s="14" cm="1">
        <f t="array" ref="Z19">BS_Greek("CALL","DELTA",$Q19,$B$1,$B$2,$R$3,Z$6)</f>
        <v>0.79233157169098423</v>
      </c>
      <c r="AA19" s="14" cm="1">
        <f t="array" ref="AA19">BS_Greek("CALL","DELTA",$Q19,$B$1,$B$2,$R$3,AA$6)</f>
        <v>0.78554896929810647</v>
      </c>
      <c r="AB19" s="14" cm="1">
        <f t="array" ref="AB19">BS_Greek("CALL","DELTA",$Q19,$B$1,$B$2,$R$3,AB$6)</f>
        <v>0.754591046066726</v>
      </c>
      <c r="AC19" s="14" cm="1">
        <f t="array" ref="AC19">BS_Greek("CALL","DELTA",$Q19,$B$1,$B$2,$R$3,AC$6)</f>
        <v>0.74806744044833073</v>
      </c>
      <c r="AD19" s="14" cm="1">
        <f t="array" ref="AD19">BS_Greek("CALL","DELTA",$Q19,$B$1,$B$2,$R$3,AD$6)</f>
        <v>0.74874189438577665</v>
      </c>
      <c r="AE19" s="23" cm="1">
        <f t="array" ref="AE19">BS_Greek("CALL","DELTA",$Q19,$B$1,$B$2,$R$3,AE$6)</f>
        <v>0.75229664733269386</v>
      </c>
      <c r="AF19" s="5"/>
      <c r="AG19" s="12">
        <v>120</v>
      </c>
      <c r="AH19" s="22" cm="1">
        <f t="array" ref="AH19">BS_Greek("CALL","DELTA",$AG19,$B$1,$B$2,$AH$3,AH$6)</f>
        <v>0.99999999693089381</v>
      </c>
      <c r="AI19" s="14" cm="1">
        <f t="array" ref="AI19">BS_Greek("CALL","DELTA",$AG19,$B$1,$B$2,$AH$3,AI$6)</f>
        <v>0.9999829287565416</v>
      </c>
      <c r="AJ19" s="14" cm="1">
        <f t="array" ref="AJ19">BS_Greek("CALL","DELTA",$AG19,$B$1,$B$2,$AH$3,AJ$6)</f>
        <v>0.99967623132709937</v>
      </c>
      <c r="AK19" s="14" cm="1">
        <f t="array" ref="AK19">BS_Greek("CALL","DELTA",$AG19,$B$1,$B$2,$AH$3,AK$6)</f>
        <v>0.99854754541412227</v>
      </c>
      <c r="AL19" s="14" cm="1">
        <f t="array" ref="AL19">BS_Greek("CALL","DELTA",$AG19,$B$1,$B$2,$AH$3,AL$6)</f>
        <v>0.99636788743791604</v>
      </c>
      <c r="AM19" s="14" cm="1">
        <f t="array" ref="AM19">BS_Greek("CALL","DELTA",$AG19,$B$1,$B$2,$AH$3,AM$6)</f>
        <v>0.99324341588079323</v>
      </c>
      <c r="AN19" s="14" cm="1">
        <f t="array" ref="AN19">BS_Greek("CALL","DELTA",$AG19,$B$1,$B$2,$AH$3,AN$6)</f>
        <v>0.98940714410148023</v>
      </c>
      <c r="AO19" s="14" cm="1">
        <f t="array" ref="AO19">BS_Greek("CALL","DELTA",$AG19,$B$1,$B$2,$AH$3,AO$6)</f>
        <v>0.98509406838389901</v>
      </c>
      <c r="AP19" s="14" cm="1">
        <f t="array" ref="AP19">BS_Greek("CALL","DELTA",$AG19,$B$1,$B$2,$AH$3,AP$6)</f>
        <v>0.98049779905589118</v>
      </c>
      <c r="AQ19" s="14" cm="1">
        <f t="array" ref="AQ19">BS_Greek("CALL","DELTA",$AG19,$B$1,$B$2,$AH$3,AQ$6)</f>
        <v>0.9757644962341846</v>
      </c>
      <c r="AR19" s="14" cm="1">
        <f t="array" ref="AR19">BS_Greek("CALL","DELTA",$AG19,$B$1,$B$2,$AH$3,AR$6)</f>
        <v>0.93336619424077227</v>
      </c>
      <c r="AS19" s="14" cm="1">
        <f t="array" ref="AS19">BS_Greek("CALL","DELTA",$AG19,$B$1,$B$2,$AH$3,AS$6)</f>
        <v>0.90531441414396252</v>
      </c>
      <c r="AT19" s="14" cm="1">
        <f t="array" ref="AT19">BS_Greek("CALL","DELTA",$AG19,$B$1,$B$2,$AH$3,AT$6)</f>
        <v>0.88716872324765816</v>
      </c>
      <c r="AU19" s="23" cm="1">
        <f t="array" ref="AU19">BS_Greek("CALL","DELTA",$AG19,$B$1,$B$2,$AH$3,AU$6)</f>
        <v>0.87508800250645269</v>
      </c>
    </row>
    <row r="20" spans="1:47" x14ac:dyDescent="0.2">
      <c r="A20" s="12">
        <v>125</v>
      </c>
      <c r="B20" s="22" cm="1">
        <f t="array" ref="B20">BS_Greek("CALL","DELTA",$A20,$B$1,$B$2,$B$3,B$6)</f>
        <v>0.99982531626414572</v>
      </c>
      <c r="C20" s="14" cm="1">
        <f t="array" ref="C20">BS_Greek("CALL","DELTA",$A20,$B$1,$B$2,$B$3,C$6)</f>
        <v>0.99479497737862488</v>
      </c>
      <c r="D20" s="14" cm="1">
        <f t="array" ref="D20">BS_Greek("CALL","DELTA",$A20,$B$1,$B$2,$B$3,D$6)</f>
        <v>0.98296199066116863</v>
      </c>
      <c r="E20" s="14" cm="1">
        <f t="array" ref="E20">BS_Greek("CALL","DELTA",$A20,$B$1,$B$2,$B$3,E$6)</f>
        <v>0.96848451708238714</v>
      </c>
      <c r="F20" s="14" cm="1">
        <f t="array" ref="F20">BS_Greek("CALL","DELTA",$A20,$B$1,$B$2,$B$3,F$6)</f>
        <v>0.95390232385199913</v>
      </c>
      <c r="G20" s="14" cm="1">
        <f t="array" ref="G20">BS_Greek("CALL","DELTA",$A20,$B$1,$B$2,$B$3,G$6)</f>
        <v>0.9402142801511969</v>
      </c>
      <c r="H20" s="14" cm="1">
        <f t="array" ref="H20">BS_Greek("CALL","DELTA",$A20,$B$1,$B$2,$B$3,H$6)</f>
        <v>0.92772250848626392</v>
      </c>
      <c r="I20" s="14" cm="1">
        <f t="array" ref="I20">BS_Greek("CALL","DELTA",$A20,$B$1,$B$2,$B$3,I$6)</f>
        <v>0.91644879859772543</v>
      </c>
      <c r="J20" s="14" cm="1">
        <f t="array" ref="J20">BS_Greek("CALL","DELTA",$A20,$B$1,$B$2,$B$3,J$6)</f>
        <v>0.90631047116941144</v>
      </c>
      <c r="K20" s="14" cm="1">
        <f t="array" ref="K20">BS_Greek("CALL","DELTA",$A20,$B$1,$B$2,$B$3,K$6)</f>
        <v>0.89719292559733332</v>
      </c>
      <c r="L20" s="14" cm="1">
        <f t="array" ref="L20">BS_Greek("CALL","DELTA",$A20,$B$1,$B$2,$B$3,L$6)</f>
        <v>0.84160197553171501</v>
      </c>
      <c r="M20" s="14" cm="1">
        <f t="array" ref="M20">BS_Greek("CALL","DELTA",$A20,$B$1,$B$2,$B$3,M$6)</f>
        <v>0.81699370064357868</v>
      </c>
      <c r="N20" s="14" cm="1">
        <f t="array" ref="N20">BS_Greek("CALL","DELTA",$A20,$B$1,$B$2,$B$3,N$6)</f>
        <v>0.80451480332788361</v>
      </c>
      <c r="O20" s="23" cm="1">
        <f t="array" ref="O20">BS_Greek("CALL","DELTA",$A20,$B$1,$B$2,$B$3,O$6)</f>
        <v>0.79796496558691377</v>
      </c>
      <c r="P20" s="5"/>
      <c r="Q20" s="12">
        <v>125</v>
      </c>
      <c r="R20" s="22" cm="1">
        <f t="array" ref="R20">BS_Greek("CALL","DELTA",$Q20,$B$1,$B$2,$R$3,R$6)</f>
        <v>0.99202624587419741</v>
      </c>
      <c r="S20" s="14" cm="1">
        <f t="array" ref="S20">BS_Greek("CALL","DELTA",$Q20,$B$1,$B$2,$R$3,S$6)</f>
        <v>0.95952522958374731</v>
      </c>
      <c r="T20" s="14" cm="1">
        <f t="array" ref="T20">BS_Greek("CALL","DELTA",$Q20,$B$1,$B$2,$R$3,T$6)</f>
        <v>0.92763817410360494</v>
      </c>
      <c r="U20" s="14" cm="1">
        <f t="array" ref="U20">BS_Greek("CALL","DELTA",$Q20,$B$1,$B$2,$R$3,U$6)</f>
        <v>0.90182488378357173</v>
      </c>
      <c r="V20" s="14" cm="1">
        <f t="array" ref="V20">BS_Greek("CALL","DELTA",$Q20,$B$1,$B$2,$R$3,V$6)</f>
        <v>0.8813068623898227</v>
      </c>
      <c r="W20" s="14" cm="1">
        <f t="array" ref="W20">BS_Greek("CALL","DELTA",$Q20,$B$1,$B$2,$R$3,W$6)</f>
        <v>0.86482705141973804</v>
      </c>
      <c r="X20" s="14" cm="1">
        <f t="array" ref="X20">BS_Greek("CALL","DELTA",$Q20,$B$1,$B$2,$R$3,X$6)</f>
        <v>0.85138984659601924</v>
      </c>
      <c r="Y20" s="14" cm="1">
        <f t="array" ref="Y20">BS_Greek("CALL","DELTA",$Q20,$B$1,$B$2,$R$3,Y$6)</f>
        <v>0.84027414396084255</v>
      </c>
      <c r="Z20" s="14" cm="1">
        <f t="array" ref="Z20">BS_Greek("CALL","DELTA",$Q20,$B$1,$B$2,$R$3,Z$6)</f>
        <v>0.83096150825161674</v>
      </c>
      <c r="AA20" s="14" cm="1">
        <f t="array" ref="AA20">BS_Greek("CALL","DELTA",$Q20,$B$1,$B$2,$R$3,AA$6)</f>
        <v>0.82307441711333762</v>
      </c>
      <c r="AB20" s="14" cm="1">
        <f t="array" ref="AB20">BS_Greek("CALL","DELTA",$Q20,$B$1,$B$2,$R$3,AB$6)</f>
        <v>0.78383972120701739</v>
      </c>
      <c r="AC20" s="14" cm="1">
        <f t="array" ref="AC20">BS_Greek("CALL","DELTA",$Q20,$B$1,$B$2,$R$3,AC$6)</f>
        <v>0.77246297183665924</v>
      </c>
      <c r="AD20" s="14" cm="1">
        <f t="array" ref="AD20">BS_Greek("CALL","DELTA",$Q20,$B$1,$B$2,$R$3,AD$6)</f>
        <v>0.76991671192728905</v>
      </c>
      <c r="AE20" s="23" cm="1">
        <f t="array" ref="AE20">BS_Greek("CALL","DELTA",$Q20,$B$1,$B$2,$R$3,AE$6)</f>
        <v>0.77113459229413017</v>
      </c>
      <c r="AF20" s="5"/>
      <c r="AG20" s="12">
        <v>125</v>
      </c>
      <c r="AH20" s="22" cm="1">
        <f t="array" ref="AH20">BS_Greek("CALL","DELTA",$AG20,$B$1,$B$2,$AH$3,AH$6)</f>
        <v>0.99999999999939337</v>
      </c>
      <c r="AI20" s="14" cm="1">
        <f t="array" ref="AI20">BS_Greek("CALL","DELTA",$AG20,$B$1,$B$2,$AH$3,AI$6)</f>
        <v>0.99999978673956835</v>
      </c>
      <c r="AJ20" s="14" cm="1">
        <f t="array" ref="AJ20">BS_Greek("CALL","DELTA",$AG20,$B$1,$B$2,$AH$3,AJ$6)</f>
        <v>0.99998381961018046</v>
      </c>
      <c r="AK20" s="14" cm="1">
        <f t="array" ref="AK20">BS_Greek("CALL","DELTA",$AG20,$B$1,$B$2,$AH$3,AK$6)</f>
        <v>0.99985444081884667</v>
      </c>
      <c r="AL20" s="14" cm="1">
        <f t="array" ref="AL20">BS_Greek("CALL","DELTA",$AG20,$B$1,$B$2,$AH$3,AL$6)</f>
        <v>0.99944644902317548</v>
      </c>
      <c r="AM20" s="14" cm="1">
        <f t="array" ref="AM20">BS_Greek("CALL","DELTA",$AG20,$B$1,$B$2,$AH$3,AM$6)</f>
        <v>0.99863656915944365</v>
      </c>
      <c r="AN20" s="14" cm="1">
        <f t="array" ref="AN20">BS_Greek("CALL","DELTA",$AG20,$B$1,$B$2,$AH$3,AN$6)</f>
        <v>0.9973854793151351</v>
      </c>
      <c r="AO20" s="14" cm="1">
        <f t="array" ref="AO20">BS_Greek("CALL","DELTA",$AG20,$B$1,$B$2,$AH$3,AO$6)</f>
        <v>0.99571799089194879</v>
      </c>
      <c r="AP20" s="14" cm="1">
        <f t="array" ref="AP20">BS_Greek("CALL","DELTA",$AG20,$B$1,$B$2,$AH$3,AP$6)</f>
        <v>0.99369223383243865</v>
      </c>
      <c r="AQ20" s="14" cm="1">
        <f t="array" ref="AQ20">BS_Greek("CALL","DELTA",$AG20,$B$1,$B$2,$AH$3,AQ$6)</f>
        <v>0.9913773450413681</v>
      </c>
      <c r="AR20" s="14" cm="1">
        <f t="array" ref="AR20">BS_Greek("CALL","DELTA",$AG20,$B$1,$B$2,$AH$3,AR$6)</f>
        <v>0.96327265988008681</v>
      </c>
      <c r="AS20" s="14" cm="1">
        <f t="array" ref="AS20">BS_Greek("CALL","DELTA",$AG20,$B$1,$B$2,$AH$3,AS$6)</f>
        <v>0.9392042006984751</v>
      </c>
      <c r="AT20" s="14" cm="1">
        <f t="array" ref="AT20">BS_Greek("CALL","DELTA",$AG20,$B$1,$B$2,$AH$3,AT$6)</f>
        <v>0.9215709212989972</v>
      </c>
      <c r="AU20" s="23" cm="1">
        <f t="array" ref="AU20">BS_Greek("CALL","DELTA",$AG20,$B$1,$B$2,$AH$3,AU$6)</f>
        <v>0.90878962693226017</v>
      </c>
    </row>
    <row r="21" spans="1:47" x14ac:dyDescent="0.2">
      <c r="A21" s="12">
        <v>130</v>
      </c>
      <c r="B21" s="22" cm="1">
        <f t="array" ref="B21">BS_Greek("CALL","DELTA",$A21,$B$1,$B$2,$B$3,B$6)</f>
        <v>0.99998640314018139</v>
      </c>
      <c r="C21" s="14" cm="1">
        <f t="array" ref="C21">BS_Greek("CALL","DELTA",$A21,$B$1,$B$2,$B$3,C$6)</f>
        <v>0.99865188998007925</v>
      </c>
      <c r="D21" s="14" cm="1">
        <f t="array" ref="D21">BS_Greek("CALL","DELTA",$A21,$B$1,$B$2,$B$3,D$6)</f>
        <v>0.99337921785148087</v>
      </c>
      <c r="E21" s="14" cm="1">
        <f t="array" ref="E21">BS_Greek("CALL","DELTA",$A21,$B$1,$B$2,$B$3,E$6)</f>
        <v>0.98496017489321974</v>
      </c>
      <c r="F21" s="14" cm="1">
        <f t="array" ref="F21">BS_Greek("CALL","DELTA",$A21,$B$1,$B$2,$B$3,F$6)</f>
        <v>0.97507573833647321</v>
      </c>
      <c r="G21" s="14" cm="1">
        <f t="array" ref="G21">BS_Greek("CALL","DELTA",$A21,$B$1,$B$2,$B$3,G$6)</f>
        <v>0.96483221684018183</v>
      </c>
      <c r="H21" s="14" cm="1">
        <f t="array" ref="H21">BS_Greek("CALL","DELTA",$A21,$B$1,$B$2,$B$3,H$6)</f>
        <v>0.95481273623086027</v>
      </c>
      <c r="I21" s="14" cm="1">
        <f t="array" ref="I21">BS_Greek("CALL","DELTA",$A21,$B$1,$B$2,$B$3,I$6)</f>
        <v>0.9452921469955603</v>
      </c>
      <c r="J21" s="14" cm="1">
        <f t="array" ref="J21">BS_Greek("CALL","DELTA",$A21,$B$1,$B$2,$B$3,J$6)</f>
        <v>0.93638087415065951</v>
      </c>
      <c r="K21" s="14" cm="1">
        <f t="array" ref="K21">BS_Greek("CALL","DELTA",$A21,$B$1,$B$2,$B$3,K$6)</f>
        <v>0.92810491023994279</v>
      </c>
      <c r="L21" s="14" cm="1">
        <f t="array" ref="L21">BS_Greek("CALL","DELTA",$A21,$B$1,$B$2,$B$3,L$6)</f>
        <v>0.87280055331254425</v>
      </c>
      <c r="M21" s="14" cm="1">
        <f t="array" ref="M21">BS_Greek("CALL","DELTA",$A21,$B$1,$B$2,$B$3,M$6)</f>
        <v>0.84546800175065795</v>
      </c>
      <c r="N21" s="14" cm="1">
        <f t="array" ref="N21">BS_Greek("CALL","DELTA",$A21,$B$1,$B$2,$B$3,N$6)</f>
        <v>0.83044131386615572</v>
      </c>
      <c r="O21" s="23" cm="1">
        <f t="array" ref="O21">BS_Greek("CALL","DELTA",$A21,$B$1,$B$2,$B$3,O$6)</f>
        <v>0.82175514850703979</v>
      </c>
      <c r="P21" s="5"/>
      <c r="Q21" s="12">
        <v>130</v>
      </c>
      <c r="R21" s="22" cm="1">
        <f t="array" ref="R21">BS_Greek("CALL","DELTA",$Q21,$B$1,$B$2,$R$3,R$6)</f>
        <v>0.9976251547967403</v>
      </c>
      <c r="S21" s="14" cm="1">
        <f t="array" ref="S21">BS_Greek("CALL","DELTA",$Q21,$B$1,$B$2,$R$3,S$6)</f>
        <v>0.97920186730211123</v>
      </c>
      <c r="T21" s="14" cm="1">
        <f t="array" ref="T21">BS_Greek("CALL","DELTA",$Q21,$B$1,$B$2,$R$3,T$6)</f>
        <v>0.95516243259384059</v>
      </c>
      <c r="U21" s="14" cm="1">
        <f t="array" ref="U21">BS_Greek("CALL","DELTA",$Q21,$B$1,$B$2,$R$3,U$6)</f>
        <v>0.93302831921275364</v>
      </c>
      <c r="V21" s="14" cm="1">
        <f t="array" ref="V21">BS_Greek("CALL","DELTA",$Q21,$B$1,$B$2,$R$3,V$6)</f>
        <v>0.91409849026161683</v>
      </c>
      <c r="W21" s="14" cm="1">
        <f t="array" ref="W21">BS_Greek("CALL","DELTA",$Q21,$B$1,$B$2,$R$3,W$6)</f>
        <v>0.89814375452956496</v>
      </c>
      <c r="X21" s="14" cm="1">
        <f t="array" ref="X21">BS_Greek("CALL","DELTA",$Q21,$B$1,$B$2,$R$3,X$6)</f>
        <v>0.8846722298971994</v>
      </c>
      <c r="Y21" s="14" cm="1">
        <f t="array" ref="Y21">BS_Greek("CALL","DELTA",$Q21,$B$1,$B$2,$R$3,Y$6)</f>
        <v>0.87322148228571717</v>
      </c>
      <c r="Z21" s="14" cm="1">
        <f t="array" ref="Z21">BS_Greek("CALL","DELTA",$Q21,$B$1,$B$2,$R$3,Z$6)</f>
        <v>0.86341232176687477</v>
      </c>
      <c r="AA21" s="14" cm="1">
        <f t="array" ref="AA21">BS_Greek("CALL","DELTA",$Q21,$B$1,$B$2,$R$3,AA$6)</f>
        <v>0.85494512380940124</v>
      </c>
      <c r="AB21" s="14" cm="1">
        <f t="array" ref="AB21">BS_Greek("CALL","DELTA",$Q21,$B$1,$B$2,$R$3,AB$6)</f>
        <v>0.80993885351262629</v>
      </c>
      <c r="AC21" s="14" cm="1">
        <f t="array" ref="AC21">BS_Greek("CALL","DELTA",$Q21,$B$1,$B$2,$R$3,AC$6)</f>
        <v>0.79459325631183764</v>
      </c>
      <c r="AD21" s="14" cm="1">
        <f t="array" ref="AD21">BS_Greek("CALL","DELTA",$Q21,$B$1,$B$2,$R$3,AD$6)</f>
        <v>0.78928431354169604</v>
      </c>
      <c r="AE21" s="23" cm="1">
        <f t="array" ref="AE21">BS_Greek("CALL","DELTA",$Q21,$B$1,$B$2,$R$3,AE$6)</f>
        <v>0.78845019812977468</v>
      </c>
      <c r="AF21" s="5"/>
      <c r="AG21" s="12">
        <v>130</v>
      </c>
      <c r="AH21" s="22" cm="1">
        <f t="array" ref="AH21">BS_Greek("CALL","DELTA",$AG21,$B$1,$B$2,$AH$3,AH$6)</f>
        <v>1</v>
      </c>
      <c r="AI21" s="14" cm="1">
        <f t="array" ref="AI21">BS_Greek("CALL","DELTA",$AG21,$B$1,$B$2,$AH$3,AI$6)</f>
        <v>0.99999999851931465</v>
      </c>
      <c r="AJ21" s="14" cm="1">
        <f t="array" ref="AJ21">BS_Greek("CALL","DELTA",$AG21,$B$1,$B$2,$AH$3,AJ$6)</f>
        <v>0.99999944833507226</v>
      </c>
      <c r="AK21" s="14" cm="1">
        <f t="array" ref="AK21">BS_Greek("CALL","DELTA",$AG21,$B$1,$B$2,$AH$3,AK$6)</f>
        <v>0.99998898282504689</v>
      </c>
      <c r="AL21" s="14" cm="1">
        <f t="array" ref="AL21">BS_Greek("CALL","DELTA",$AG21,$B$1,$B$2,$AH$3,AL$6)</f>
        <v>0.99993230917992704</v>
      </c>
      <c r="AM21" s="14" cm="1">
        <f t="array" ref="AM21">BS_Greek("CALL","DELTA",$AG21,$B$1,$B$2,$AH$3,AM$6)</f>
        <v>0.99977023212247085</v>
      </c>
      <c r="AN21" s="14" cm="1">
        <f t="array" ref="AN21">BS_Greek("CALL","DELTA",$AG21,$B$1,$B$2,$AH$3,AN$6)</f>
        <v>0.99944558802202021</v>
      </c>
      <c r="AO21" s="14" cm="1">
        <f t="array" ref="AO21">BS_Greek("CALL","DELTA",$AG21,$B$1,$B$2,$AH$3,AO$6)</f>
        <v>0.99892066116278744</v>
      </c>
      <c r="AP21" s="14" cm="1">
        <f t="array" ref="AP21">BS_Greek("CALL","DELTA",$AG21,$B$1,$B$2,$AH$3,AP$6)</f>
        <v>0.99818047109526631</v>
      </c>
      <c r="AQ21" s="14" cm="1">
        <f t="array" ref="AQ21">BS_Greek("CALL","DELTA",$AG21,$B$1,$B$2,$AH$3,AQ$6)</f>
        <v>0.99722837337629622</v>
      </c>
      <c r="AR21" s="14" cm="1">
        <f t="array" ref="AR21">BS_Greek("CALL","DELTA",$AG21,$B$1,$B$2,$AH$3,AR$6)</f>
        <v>0.9806483495408157</v>
      </c>
      <c r="AS21" s="14" cm="1">
        <f t="array" ref="AS21">BS_Greek("CALL","DELTA",$AG21,$B$1,$B$2,$AH$3,AS$6)</f>
        <v>0.96201541129490264</v>
      </c>
      <c r="AT21" s="14" cm="1">
        <f t="array" ref="AT21">BS_Greek("CALL","DELTA",$AG21,$B$1,$B$2,$AH$3,AT$6)</f>
        <v>0.94649958655795841</v>
      </c>
      <c r="AU21" s="23" cm="1">
        <f t="array" ref="AU21">BS_Greek("CALL","DELTA",$AG21,$B$1,$B$2,$AH$3,AU$6)</f>
        <v>0.93431723431540992</v>
      </c>
    </row>
    <row r="22" spans="1:47" x14ac:dyDescent="0.2">
      <c r="A22" s="12">
        <v>135</v>
      </c>
      <c r="B22" s="22" cm="1">
        <f t="array" ref="B22">BS_Greek("CALL","DELTA",$A22,$B$1,$B$2,$B$3,B$6)</f>
        <v>0.99999917643923686</v>
      </c>
      <c r="C22" s="14" cm="1">
        <f t="array" ref="C22">BS_Greek("CALL","DELTA",$A22,$B$1,$B$2,$B$3,C$6)</f>
        <v>0.99968959215435294</v>
      </c>
      <c r="D22" s="14" cm="1">
        <f t="array" ref="D22">BS_Greek("CALL","DELTA",$A22,$B$1,$B$2,$B$3,D$6)</f>
        <v>0.99761170131759624</v>
      </c>
      <c r="E22" s="14" cm="1">
        <f t="array" ref="E22">BS_Greek("CALL","DELTA",$A22,$B$1,$B$2,$B$3,E$6)</f>
        <v>0.99319515409537595</v>
      </c>
      <c r="F22" s="14" cm="1">
        <f t="array" ref="F22">BS_Greek("CALL","DELTA",$A22,$B$1,$B$2,$B$3,F$6)</f>
        <v>0.987063941065492</v>
      </c>
      <c r="G22" s="14" cm="1">
        <f t="array" ref="G22">BS_Greek("CALL","DELTA",$A22,$B$1,$B$2,$B$3,G$6)</f>
        <v>0.97998098357938546</v>
      </c>
      <c r="H22" s="14" cm="1">
        <f t="array" ref="H22">BS_Greek("CALL","DELTA",$A22,$B$1,$B$2,$B$3,H$6)</f>
        <v>0.97250574341060869</v>
      </c>
      <c r="I22" s="14" cm="1">
        <f t="array" ref="I22">BS_Greek("CALL","DELTA",$A22,$B$1,$B$2,$B$3,I$6)</f>
        <v>0.9649914282191755</v>
      </c>
      <c r="J22" s="14" cm="1">
        <f t="array" ref="J22">BS_Greek("CALL","DELTA",$A22,$B$1,$B$2,$B$3,J$6)</f>
        <v>0.95764540824748623</v>
      </c>
      <c r="K22" s="14" cm="1">
        <f t="array" ref="K22">BS_Greek("CALL","DELTA",$A22,$B$1,$B$2,$B$3,K$6)</f>
        <v>0.95058198959185258</v>
      </c>
      <c r="L22" s="14" cm="1">
        <f t="array" ref="L22">BS_Greek("CALL","DELTA",$A22,$B$1,$B$2,$B$3,L$6)</f>
        <v>0.89851971842195577</v>
      </c>
      <c r="M22" s="14" cm="1">
        <f t="array" ref="M22">BS_Greek("CALL","DELTA",$A22,$B$1,$B$2,$B$3,M$6)</f>
        <v>0.86994580030636615</v>
      </c>
      <c r="N22" s="14" cm="1">
        <f t="array" ref="N22">BS_Greek("CALL","DELTA",$A22,$B$1,$B$2,$B$3,N$6)</f>
        <v>0.85320104521339801</v>
      </c>
      <c r="O22" s="23" cm="1">
        <f t="array" ref="O22">BS_Greek("CALL","DELTA",$A22,$B$1,$B$2,$B$3,O$6)</f>
        <v>0.8429039016580514</v>
      </c>
      <c r="P22" s="5"/>
      <c r="Q22" s="12">
        <v>135</v>
      </c>
      <c r="R22" s="22" cm="1">
        <f t="array" ref="R22">BS_Greek("CALL","DELTA",$Q22,$B$1,$B$2,$R$3,R$6)</f>
        <v>0.99936207053892745</v>
      </c>
      <c r="S22" s="14" cm="1">
        <f t="array" ref="S22">BS_Greek("CALL","DELTA",$Q22,$B$1,$B$2,$R$3,S$6)</f>
        <v>0.98979805440371849</v>
      </c>
      <c r="T22" s="14" cm="1">
        <f t="array" ref="T22">BS_Greek("CALL","DELTA",$Q22,$B$1,$B$2,$R$3,T$6)</f>
        <v>0.97299735807546195</v>
      </c>
      <c r="U22" s="14" cm="1">
        <f t="array" ref="U22">BS_Greek("CALL","DELTA",$Q22,$B$1,$B$2,$R$3,U$6)</f>
        <v>0.95521216048553548</v>
      </c>
      <c r="V22" s="14" cm="1">
        <f t="array" ref="V22">BS_Greek("CALL","DELTA",$Q22,$B$1,$B$2,$R$3,V$6)</f>
        <v>0.93874735257652986</v>
      </c>
      <c r="W22" s="14" cm="1">
        <f t="array" ref="W22">BS_Greek("CALL","DELTA",$Q22,$B$1,$B$2,$R$3,W$6)</f>
        <v>0.92413592245152854</v>
      </c>
      <c r="X22" s="14" cm="1">
        <f t="array" ref="X22">BS_Greek("CALL","DELTA",$Q22,$B$1,$B$2,$R$3,X$6)</f>
        <v>0.91133681457196536</v>
      </c>
      <c r="Y22" s="14" cm="1">
        <f t="array" ref="Y22">BS_Greek("CALL","DELTA",$Q22,$B$1,$B$2,$R$3,Y$6)</f>
        <v>0.90014918606468963</v>
      </c>
      <c r="Z22" s="14" cm="1">
        <f t="array" ref="Z22">BS_Greek("CALL","DELTA",$Q22,$B$1,$B$2,$R$3,Z$6)</f>
        <v>0.89034882296294016</v>
      </c>
      <c r="AA22" s="14" cm="1">
        <f t="array" ref="AA22">BS_Greek("CALL","DELTA",$Q22,$B$1,$B$2,$R$3,AA$6)</f>
        <v>0.88173051157264637</v>
      </c>
      <c r="AB22" s="14" cm="1">
        <f t="array" ref="AB22">BS_Greek("CALL","DELTA",$Q22,$B$1,$B$2,$R$3,AB$6)</f>
        <v>0.83313443249219921</v>
      </c>
      <c r="AC22" s="14" cm="1">
        <f t="array" ref="AC22">BS_Greek("CALL","DELTA",$Q22,$B$1,$B$2,$R$3,AC$6)</f>
        <v>0.81463163438593589</v>
      </c>
      <c r="AD22" s="14" cm="1">
        <f t="array" ref="AD22">BS_Greek("CALL","DELTA",$Q22,$B$1,$B$2,$R$3,AD$6)</f>
        <v>0.80698542949219532</v>
      </c>
      <c r="AE22" s="23" cm="1">
        <f t="array" ref="AE22">BS_Greek("CALL","DELTA",$Q22,$B$1,$B$2,$R$3,AE$6)</f>
        <v>0.80436467483037943</v>
      </c>
      <c r="AF22" s="5"/>
      <c r="AG22" s="12">
        <v>135</v>
      </c>
      <c r="AH22" s="22" cm="1">
        <f t="array" ref="AH22">BS_Greek("CALL","DELTA",$AG22,$B$1,$B$2,$AH$3,AH$6)</f>
        <v>1</v>
      </c>
      <c r="AI22" s="14" cm="1">
        <f t="array" ref="AI22">BS_Greek("CALL","DELTA",$AG22,$B$1,$B$2,$AH$3,AI$6)</f>
        <v>0.99999999999389166</v>
      </c>
      <c r="AJ22" s="14" cm="1">
        <f t="array" ref="AJ22">BS_Greek("CALL","DELTA",$AG22,$B$1,$B$2,$AH$3,AJ$6)</f>
        <v>0.9999999866108833</v>
      </c>
      <c r="AK22" s="14" cm="1">
        <f t="array" ref="AK22">BS_Greek("CALL","DELTA",$AG22,$B$1,$B$2,$AH$3,AK$6)</f>
        <v>0.99999935060366185</v>
      </c>
      <c r="AL22" s="14" cm="1">
        <f t="array" ref="AL22">BS_Greek("CALL","DELTA",$AG22,$B$1,$B$2,$AH$3,AL$6)</f>
        <v>0.99999319889057736</v>
      </c>
      <c r="AM22" s="14" cm="1">
        <f t="array" ref="AM22">BS_Greek("CALL","DELTA",$AG22,$B$1,$B$2,$AH$3,AM$6)</f>
        <v>0.99996703614043125</v>
      </c>
      <c r="AN22" s="14" cm="1">
        <f t="array" ref="AN22">BS_Greek("CALL","DELTA",$AG22,$B$1,$B$2,$AH$3,AN$6)</f>
        <v>0.99989736258573836</v>
      </c>
      <c r="AO22" s="14" cm="1">
        <f t="array" ref="AO22">BS_Greek("CALL","DELTA",$AG22,$B$1,$B$2,$AH$3,AO$6)</f>
        <v>0.99975797900363672</v>
      </c>
      <c r="AP22" s="14" cm="1">
        <f t="array" ref="AP22">BS_Greek("CALL","DELTA",$AG22,$B$1,$B$2,$AH$3,AP$6)</f>
        <v>0.99952627336039468</v>
      </c>
      <c r="AQ22" s="14" cm="1">
        <f t="array" ref="AQ22">BS_Greek("CALL","DELTA",$AG22,$B$1,$B$2,$AH$3,AQ$6)</f>
        <v>0.99918656546080542</v>
      </c>
      <c r="AR22" s="14" cm="1">
        <f t="array" ref="AR22">BS_Greek("CALL","DELTA",$AG22,$B$1,$B$2,$AH$3,AR$6)</f>
        <v>0.99020716359662175</v>
      </c>
      <c r="AS22" s="14" cm="1">
        <f t="array" ref="AS22">BS_Greek("CALL","DELTA",$AG22,$B$1,$B$2,$AH$3,AS$6)</f>
        <v>0.97683982081086107</v>
      </c>
      <c r="AT22" s="14" cm="1">
        <f t="array" ref="AT22">BS_Greek("CALL","DELTA",$AG22,$B$1,$B$2,$AH$3,AT$6)</f>
        <v>0.9641109494110095</v>
      </c>
      <c r="AU22" s="23" cm="1">
        <f t="array" ref="AU22">BS_Greek("CALL","DELTA",$AG22,$B$1,$B$2,$AH$3,AU$6)</f>
        <v>0.9532794554679479</v>
      </c>
    </row>
    <row r="23" spans="1:47" x14ac:dyDescent="0.2">
      <c r="A23" s="12">
        <v>140</v>
      </c>
      <c r="B23" s="24" cm="1">
        <f t="array" ref="B23">BS_Greek("CALL","DELTA",$A23,$B$1,$B$2,$B$3,B$6)</f>
        <v>0.99999996008829672</v>
      </c>
      <c r="C23" s="25" cm="1">
        <f t="array" ref="C23">BS_Greek("CALL","DELTA",$A23,$B$1,$B$2,$B$3,C$6)</f>
        <v>0.99993565599706147</v>
      </c>
      <c r="D23" s="25" cm="1">
        <f t="array" ref="D23">BS_Greek("CALL","DELTA",$A23,$B$1,$B$2,$B$3,D$6)</f>
        <v>0.99919396953371908</v>
      </c>
      <c r="E23" s="25" cm="1">
        <f t="array" ref="E23">BS_Greek("CALL","DELTA",$A23,$B$1,$B$2,$B$3,E$6)</f>
        <v>0.99706463005532564</v>
      </c>
      <c r="F23" s="25" cm="1">
        <f t="array" ref="F23">BS_Greek("CALL","DELTA",$A23,$B$1,$B$2,$B$3,F$6)</f>
        <v>0.9935275944696309</v>
      </c>
      <c r="G23" s="25" cm="1">
        <f t="array" ref="G23">BS_Greek("CALL","DELTA",$A23,$B$1,$B$2,$B$3,G$6)</f>
        <v>0.98893439681623385</v>
      </c>
      <c r="H23" s="25" cm="1">
        <f t="array" ref="H23">BS_Greek("CALL","DELTA",$A23,$B$1,$B$2,$B$3,H$6)</f>
        <v>0.98367272820713014</v>
      </c>
      <c r="I23" s="25" cm="1">
        <f t="array" ref="I23">BS_Greek("CALL","DELTA",$A23,$B$1,$B$2,$B$3,I$6)</f>
        <v>0.97805296953813903</v>
      </c>
      <c r="J23" s="25" cm="1">
        <f t="array" ref="J23">BS_Greek("CALL","DELTA",$A23,$B$1,$B$2,$B$3,J$6)</f>
        <v>0.97229624527713165</v>
      </c>
      <c r="K23" s="25" cm="1">
        <f t="array" ref="K23">BS_Greek("CALL","DELTA",$A23,$B$1,$B$2,$B$3,K$6)</f>
        <v>0.96655118639654458</v>
      </c>
      <c r="L23" s="25" cm="1">
        <f t="array" ref="L23">BS_Greek("CALL","DELTA",$A23,$B$1,$B$2,$B$3,L$6)</f>
        <v>0.91950370400292614</v>
      </c>
      <c r="M23" s="25" cm="1">
        <f t="array" ref="M23">BS_Greek("CALL","DELTA",$A23,$B$1,$B$2,$B$3,M$6)</f>
        <v>0.89086087651205026</v>
      </c>
      <c r="N23" s="25" cm="1">
        <f t="array" ref="N23">BS_Greek("CALL","DELTA",$A23,$B$1,$B$2,$B$3,N$6)</f>
        <v>0.87310261037867953</v>
      </c>
      <c r="O23" s="26" cm="1">
        <f t="array" ref="O23">BS_Greek("CALL","DELTA",$A23,$B$1,$B$2,$B$3,O$6)</f>
        <v>0.86165498136593754</v>
      </c>
      <c r="P23" s="5"/>
      <c r="Q23" s="12">
        <v>140</v>
      </c>
      <c r="R23" s="24" cm="1">
        <f t="array" ref="R23">BS_Greek("CALL","DELTA",$Q23,$B$1,$B$2,$R$3,R$6)</f>
        <v>0.99984374547949573</v>
      </c>
      <c r="S23" s="25" cm="1">
        <f t="array" ref="S23">BS_Greek("CALL","DELTA",$Q23,$B$1,$B$2,$R$3,S$6)</f>
        <v>0.99519988085741351</v>
      </c>
      <c r="T23" s="25" cm="1">
        <f t="array" ref="T23">BS_Greek("CALL","DELTA",$Q23,$B$1,$B$2,$R$3,T$6)</f>
        <v>0.98414791288614301</v>
      </c>
      <c r="U23" s="25" cm="1">
        <f t="array" ref="U23">BS_Greek("CALL","DELTA",$Q23,$B$1,$B$2,$R$3,U$6)</f>
        <v>0.97057515521784565</v>
      </c>
      <c r="V23" s="25" cm="1">
        <f t="array" ref="V23">BS_Greek("CALL","DELTA",$Q23,$B$1,$B$2,$R$3,V$6)</f>
        <v>0.95689898642329607</v>
      </c>
      <c r="W23" s="25" cm="1">
        <f t="array" ref="W23">BS_Greek("CALL","DELTA",$Q23,$B$1,$B$2,$R$3,W$6)</f>
        <v>0.94407756560009015</v>
      </c>
      <c r="X23" s="25" cm="1">
        <f t="array" ref="X23">BS_Greek("CALL","DELTA",$Q23,$B$1,$B$2,$R$3,X$6)</f>
        <v>0.93240240791875728</v>
      </c>
      <c r="Y23" s="25" cm="1">
        <f t="array" ref="Y23">BS_Greek("CALL","DELTA",$Q23,$B$1,$B$2,$R$3,Y$6)</f>
        <v>0.92189531953464121</v>
      </c>
      <c r="Z23" s="25" cm="1">
        <f t="array" ref="Z23">BS_Greek("CALL","DELTA",$Q23,$B$1,$B$2,$R$3,Z$6)</f>
        <v>0.9124771715221327</v>
      </c>
      <c r="AA23" s="25" cm="1">
        <f t="array" ref="AA23">BS_Greek("CALL","DELTA",$Q23,$B$1,$B$2,$R$3,AA$6)</f>
        <v>0.90403781886513113</v>
      </c>
      <c r="AB23" s="25" cm="1">
        <f t="array" ref="AB23">BS_Greek("CALL","DELTA",$Q23,$B$1,$B$2,$R$3,AB$6)</f>
        <v>0.85367938888663453</v>
      </c>
      <c r="AC23" s="25" cm="1">
        <f t="array" ref="AC23">BS_Greek("CALL","DELTA",$Q23,$B$1,$B$2,$R$3,AC$6)</f>
        <v>0.83274857213885123</v>
      </c>
      <c r="AD23" s="25" cm="1">
        <f t="array" ref="AD23">BS_Greek("CALL","DELTA",$Q23,$B$1,$B$2,$R$3,AD$6)</f>
        <v>0.82315449700674104</v>
      </c>
      <c r="AE23" s="26" cm="1">
        <f t="array" ref="AE23">BS_Greek("CALL","DELTA",$Q23,$B$1,$B$2,$R$3,AE$6)</f>
        <v>0.81899164140300906</v>
      </c>
      <c r="AF23" s="5"/>
      <c r="AG23" s="12">
        <v>140</v>
      </c>
      <c r="AH23" s="24" cm="1">
        <f t="array" ref="AH23">BS_Greek("CALL","DELTA",$AG23,$B$1,$B$2,$AH$3,AH$6)</f>
        <v>1</v>
      </c>
      <c r="AI23" s="25" cm="1">
        <f t="array" ref="AI23">BS_Greek("CALL","DELTA",$AG23,$B$1,$B$2,$AH$3,AI$6)</f>
        <v>0.99999999999998412</v>
      </c>
      <c r="AJ23" s="25" cm="1">
        <f t="array" ref="AJ23">BS_Greek("CALL","DELTA",$AG23,$B$1,$B$2,$AH$3,AJ$6)</f>
        <v>0.99999999975964071</v>
      </c>
      <c r="AK23" s="25" cm="1">
        <f t="array" ref="AK23">BS_Greek("CALL","DELTA",$AG23,$B$1,$B$2,$AH$3,AK$6)</f>
        <v>0.99999996934905533</v>
      </c>
      <c r="AL23" s="25" cm="1">
        <f t="array" ref="AL23">BS_Greek("CALL","DELTA",$AG23,$B$1,$B$2,$AH$3,AL$6)</f>
        <v>0.99999942627332528</v>
      </c>
      <c r="AM23" s="25" cm="1">
        <f t="array" ref="AM23">BS_Greek("CALL","DELTA",$AG23,$B$1,$B$2,$AH$3,AM$6)</f>
        <v>0.99999590254116577</v>
      </c>
      <c r="AN23" s="25" cm="1">
        <f t="array" ref="AN23">BS_Greek("CALL","DELTA",$AG23,$B$1,$B$2,$AH$3,AN$6)</f>
        <v>0.99998316518966346</v>
      </c>
      <c r="AO23" s="25" cm="1">
        <f t="array" ref="AO23">BS_Greek("CALL","DELTA",$AG23,$B$1,$B$2,$AH$3,AO$6)</f>
        <v>0.99995111048223762</v>
      </c>
      <c r="AP23" s="25" cm="1">
        <f t="array" ref="AP23">BS_Greek("CALL","DELTA",$AG23,$B$1,$B$2,$AH$3,AP$6)</f>
        <v>0.99988744523010076</v>
      </c>
      <c r="AQ23" s="25" cm="1">
        <f t="array" ref="AQ23">BS_Greek("CALL","DELTA",$AG23,$B$1,$B$2,$AH$3,AQ$6)</f>
        <v>0.99977989302522097</v>
      </c>
      <c r="AR23" s="25" cm="1">
        <f t="array" ref="AR23">BS_Greek("CALL","DELTA",$AG23,$B$1,$B$2,$AH$3,AR$6)</f>
        <v>0.99521999012116835</v>
      </c>
      <c r="AS23" s="25" cm="1">
        <f t="array" ref="AS23">BS_Greek("CALL","DELTA",$AG23,$B$1,$B$2,$AH$3,AS$6)</f>
        <v>0.98618256040797059</v>
      </c>
      <c r="AT23" s="25" cm="1">
        <f t="array" ref="AT23">BS_Greek("CALL","DELTA",$AG23,$B$1,$B$2,$AH$3,AT$6)</f>
        <v>0.97628058460472156</v>
      </c>
      <c r="AU23" s="26" cm="1">
        <f t="array" ref="AU23">BS_Greek("CALL","DELTA",$AG23,$B$1,$B$2,$AH$3,AU$6)</f>
        <v>0.96712760884191817</v>
      </c>
    </row>
    <row r="24" spans="1:47" x14ac:dyDescent="0.2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</row>
    <row r="25" spans="1:47" x14ac:dyDescent="0.2">
      <c r="A25" s="107" t="s">
        <v>6</v>
      </c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Q25" s="107" t="s">
        <v>7</v>
      </c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  <c r="AD25" s="107"/>
      <c r="AE25" s="107"/>
      <c r="AG25" s="107" t="s">
        <v>15</v>
      </c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</row>
    <row r="26" spans="1:47" x14ac:dyDescent="0.2">
      <c r="A26" s="9"/>
      <c r="B26" s="16">
        <v>0.1</v>
      </c>
      <c r="C26" s="16">
        <v>0.2</v>
      </c>
      <c r="D26" s="16">
        <v>0.3</v>
      </c>
      <c r="E26" s="16">
        <v>0.4</v>
      </c>
      <c r="F26" s="16">
        <v>0.5</v>
      </c>
      <c r="G26" s="16">
        <v>0.6</v>
      </c>
      <c r="H26" s="16">
        <v>0.7</v>
      </c>
      <c r="I26" s="16">
        <v>0.8</v>
      </c>
      <c r="J26" s="16">
        <v>0.9</v>
      </c>
      <c r="K26" s="16">
        <v>1</v>
      </c>
      <c r="L26" s="16">
        <v>2</v>
      </c>
      <c r="M26" s="16">
        <v>3</v>
      </c>
      <c r="N26" s="16">
        <v>4</v>
      </c>
      <c r="O26" s="16">
        <v>5</v>
      </c>
      <c r="P26" s="10"/>
      <c r="Q26" s="9"/>
      <c r="R26" s="16">
        <v>0.1</v>
      </c>
      <c r="S26" s="16">
        <v>0.2</v>
      </c>
      <c r="T26" s="16">
        <v>0.3</v>
      </c>
      <c r="U26" s="16">
        <v>0.4</v>
      </c>
      <c r="V26" s="16">
        <v>0.5</v>
      </c>
      <c r="W26" s="16">
        <v>0.6</v>
      </c>
      <c r="X26" s="16">
        <v>0.7</v>
      </c>
      <c r="Y26" s="16">
        <v>0.8</v>
      </c>
      <c r="Z26" s="16">
        <v>0.9</v>
      </c>
      <c r="AA26" s="16">
        <v>1</v>
      </c>
      <c r="AB26" s="16">
        <v>2</v>
      </c>
      <c r="AC26" s="16">
        <v>3</v>
      </c>
      <c r="AD26" s="16">
        <v>4</v>
      </c>
      <c r="AE26" s="16">
        <v>5</v>
      </c>
      <c r="AF26" s="10"/>
      <c r="AG26" s="9"/>
      <c r="AH26" s="16">
        <v>0.1</v>
      </c>
      <c r="AI26" s="16">
        <v>0.2</v>
      </c>
      <c r="AJ26" s="16">
        <v>0.3</v>
      </c>
      <c r="AK26" s="16">
        <v>0.4</v>
      </c>
      <c r="AL26" s="16">
        <v>0.5</v>
      </c>
      <c r="AM26" s="16">
        <v>0.6</v>
      </c>
      <c r="AN26" s="16">
        <v>0.7</v>
      </c>
      <c r="AO26" s="16">
        <v>0.8</v>
      </c>
      <c r="AP26" s="16">
        <v>0.9</v>
      </c>
      <c r="AQ26" s="16">
        <v>1</v>
      </c>
      <c r="AR26" s="16">
        <v>2</v>
      </c>
      <c r="AS26" s="16">
        <v>3</v>
      </c>
      <c r="AT26" s="16">
        <v>4</v>
      </c>
      <c r="AU26" s="16">
        <v>5</v>
      </c>
    </row>
    <row r="27" spans="1:47" x14ac:dyDescent="0.2">
      <c r="A27" s="15">
        <v>60</v>
      </c>
      <c r="B27" s="27" cm="1">
        <f t="array" ref="B27">BS_Greek("CALL","GAMMA",$A27,$B$1,$B$2,$B$3,B$6)</f>
        <v>1.0516556577990481E-15</v>
      </c>
      <c r="C27" s="28" cm="1">
        <f t="array" ref="C27">BS_Greek("CALL","GAMMA",$A27,$B$1,$B$2,$B$3,C$6)</f>
        <v>8.9897290546272933E-9</v>
      </c>
      <c r="D27" s="28" cm="1">
        <f t="array" ref="D27">BS_Greek("CALL","GAMMA",$A27,$B$1,$B$2,$B$3,D$6)</f>
        <v>1.683337757156276E-6</v>
      </c>
      <c r="E27" s="28" cm="1">
        <f t="array" ref="E27">BS_Greek("CALL","GAMMA",$A27,$B$1,$B$2,$B$3,E$6)</f>
        <v>2.2064431982817096E-5</v>
      </c>
      <c r="F27" s="28" cm="1">
        <f t="array" ref="F27">BS_Greek("CALL","GAMMA",$A27,$B$1,$B$2,$B$3,F$6)</f>
        <v>1.0070170546498094E-4</v>
      </c>
      <c r="G27" s="28" cm="1">
        <f t="array" ref="G27">BS_Greek("CALL","GAMMA",$A27,$B$1,$B$2,$B$3,G$6)</f>
        <v>2.7236380704730455E-4</v>
      </c>
      <c r="H27" s="28" cm="1">
        <f t="array" ref="H27">BS_Greek("CALL","GAMMA",$A27,$B$1,$B$2,$B$3,H$6)</f>
        <v>5.4760481596518001E-4</v>
      </c>
      <c r="I27" s="28" cm="1">
        <f t="array" ref="I27">BS_Greek("CALL","GAMMA",$A27,$B$1,$B$2,$B$3,I$6)</f>
        <v>9.1609936771568209E-4</v>
      </c>
      <c r="J27" s="28" cm="1">
        <f t="array" ref="J27">BS_Greek("CALL","GAMMA",$A27,$B$1,$B$2,$B$3,J$6)</f>
        <v>1.3571389458380515E-3</v>
      </c>
      <c r="K27" s="28" cm="1">
        <f t="array" ref="K27">BS_Greek("CALL","GAMMA",$A27,$B$1,$B$2,$B$3,K$6)</f>
        <v>1.8477969471792112E-3</v>
      </c>
      <c r="L27" s="28" cm="1">
        <f t="array" ref="L27">BS_Greek("CALL","GAMMA",$A27,$B$1,$B$2,$B$3,L$6)</f>
        <v>6.5999568536451924E-3</v>
      </c>
      <c r="M27" s="28" cm="1">
        <f t="array" ref="M27">BS_Greek("CALL","GAMMA",$A27,$B$1,$B$2,$B$3,M$6)</f>
        <v>9.1771016304238069E-3</v>
      </c>
      <c r="N27" s="28" cm="1">
        <f t="array" ref="N27">BS_Greek("CALL","GAMMA",$A27,$B$1,$B$2,$B$3,N$6)</f>
        <v>1.0313315500073909E-2</v>
      </c>
      <c r="O27" s="29" cm="1">
        <f t="array" ref="O27">BS_Greek("CALL","GAMMA",$A27,$B$1,$B$2,$B$3,O$6)</f>
        <v>1.073708151996329E-2</v>
      </c>
      <c r="Q27" s="15">
        <v>60</v>
      </c>
      <c r="R27" s="27" cm="1">
        <f t="array" ref="R27">BS_Greek("CALL","GAMMA",$Q27,$B$1,$B$2,$R$3,R$6)</f>
        <v>4.8371729163416148E-8</v>
      </c>
      <c r="S27" s="28" cm="1">
        <f t="array" ref="S27">BS_Greek("CALL","GAMMA",$Q27,$B$1,$B$2,$R$3,S$6)</f>
        <v>4.8005602280442924E-5</v>
      </c>
      <c r="T27" s="28" cm="1">
        <f t="array" ref="T27">BS_Greek("CALL","GAMMA",$Q27,$B$1,$B$2,$R$3,T$6)</f>
        <v>4.3836057898992057E-4</v>
      </c>
      <c r="U27" s="28" cm="1">
        <f t="array" ref="U27">BS_Greek("CALL","GAMMA",$Q27,$B$1,$B$2,$R$3,U$6)</f>
        <v>1.2684980236185477E-3</v>
      </c>
      <c r="V27" s="28" cm="1">
        <f t="array" ref="V27">BS_Greek("CALL","GAMMA",$Q27,$B$1,$B$2,$R$3,V$6)</f>
        <v>2.3382957957450976E-3</v>
      </c>
      <c r="W27" s="28" cm="1">
        <f t="array" ref="W27">BS_Greek("CALL","GAMMA",$Q27,$B$1,$B$2,$R$3,W$6)</f>
        <v>3.4549517028754709E-3</v>
      </c>
      <c r="X27" s="28" cm="1">
        <f t="array" ref="X27">BS_Greek("CALL","GAMMA",$Q27,$B$1,$B$2,$R$3,X$6)</f>
        <v>4.5096296845151063E-3</v>
      </c>
      <c r="Y27" s="28" cm="1">
        <f t="array" ref="Y27">BS_Greek("CALL","GAMMA",$Q27,$B$1,$B$2,$R$3,Y$6)</f>
        <v>5.4555892387964195E-3</v>
      </c>
      <c r="Z27" s="28" cm="1">
        <f t="array" ref="Z27">BS_Greek("CALL","GAMMA",$Q27,$B$1,$B$2,$R$3,Z$6)</f>
        <v>6.2802722099484769E-3</v>
      </c>
      <c r="AA27" s="28" cm="1">
        <f t="array" ref="AA27">BS_Greek("CALL","GAMMA",$Q27,$B$1,$B$2,$R$3,AA$6)</f>
        <v>6.9875383385906891E-3</v>
      </c>
      <c r="AB27" s="28" cm="1">
        <f t="array" ref="AB27">BS_Greek("CALL","GAMMA",$Q27,$B$1,$B$2,$R$3,AB$6)</f>
        <v>1.0030097674802636E-2</v>
      </c>
      <c r="AC27" s="28" cm="1">
        <f t="array" ref="AC27">BS_Greek("CALL","GAMMA",$Q27,$B$1,$B$2,$R$3,AC$6)</f>
        <v>1.0253980286650038E-2</v>
      </c>
      <c r="AD27" s="28" cm="1">
        <f t="array" ref="AD27">BS_Greek("CALL","GAMMA",$Q27,$B$1,$B$2,$R$3,AD$6)</f>
        <v>9.8534950455954461E-3</v>
      </c>
      <c r="AE27" s="29" cm="1">
        <f t="array" ref="AE27">BS_Greek("CALL","GAMMA",$Q27,$B$1,$B$2,$R$3,AE$6)</f>
        <v>9.3178601442685666E-3</v>
      </c>
      <c r="AG27" s="15">
        <v>60</v>
      </c>
      <c r="AH27" s="27" cm="1">
        <f t="array" ref="AH27">BS_Greek("CALL","GAMMA",$AG27,$B$1,$B$2,$AH$3,AH$26)</f>
        <v>9.8181668070309807E-58</v>
      </c>
      <c r="AI27" s="28" cm="1">
        <f t="array" ref="AI27">BS_Greek("CALL","GAMMA",$AG27,$B$1,$B$2,$AH$3,AI$26)</f>
        <v>1.4877614568192042E-29</v>
      </c>
      <c r="AJ27" s="28" cm="1">
        <f t="array" ref="AJ27">BS_Greek("CALL","GAMMA",$AG27,$B$1,$B$2,$AH$3,AJ$26)</f>
        <v>3.37158866065404E-20</v>
      </c>
      <c r="AK27" s="28" cm="1">
        <f t="array" ref="AK27">BS_Greek("CALL","GAMMA",$AG27,$B$1,$B$2,$AH$3,AK$26)</f>
        <v>1.5374265651823466E-15</v>
      </c>
      <c r="AL27" s="28" cm="1">
        <f t="array" ref="AL27">BS_Greek("CALL","GAMMA",$AG27,$B$1,$B$2,$AH$3,AL$26)</f>
        <v>9.3540877738932821E-13</v>
      </c>
      <c r="AM27" s="28" cm="1">
        <f t="array" ref="AM27">BS_Greek("CALL","GAMMA",$AG27,$B$1,$B$2,$AH$3,AM$26)</f>
        <v>6.60221001258594E-11</v>
      </c>
      <c r="AN27" s="28" cm="1">
        <f t="array" ref="AN27">BS_Greek("CALL","GAMMA",$AG27,$B$1,$B$2,$AH$3,AN$26)</f>
        <v>1.3641015888556874E-9</v>
      </c>
      <c r="AO27" s="28" cm="1">
        <f t="array" ref="AO27">BS_Greek("CALL","GAMMA",$AG27,$B$1,$B$2,$AH$3,AO$26)</f>
        <v>1.309790020055326E-8</v>
      </c>
      <c r="AP27" s="28" cm="1">
        <f t="array" ref="AP27">BS_Greek("CALL","GAMMA",$AG27,$B$1,$B$2,$AH$3,AP$26)</f>
        <v>7.5530633187758507E-8</v>
      </c>
      <c r="AQ27" s="28" cm="1">
        <f t="array" ref="AQ27">BS_Greek("CALL","GAMMA",$AG27,$B$1,$B$2,$AH$3,AQ$26)</f>
        <v>3.0503159925846771E-7</v>
      </c>
      <c r="AR27" s="28" cm="1">
        <f t="array" ref="AR27">BS_Greek("CALL","GAMMA",$AG27,$B$1,$B$2,$AH$3,AR$26)</f>
        <v>1.4524281869372614E-4</v>
      </c>
      <c r="AS27" s="28" cm="1">
        <f t="array" ref="AS27">BS_Greek("CALL","GAMMA",$AG27,$B$1,$B$2,$AH$3,AS$26)</f>
        <v>1.0316841901525139E-3</v>
      </c>
      <c r="AT27" s="28" cm="1">
        <f t="array" ref="AT27">BS_Greek("CALL","GAMMA",$AG27,$B$1,$B$2,$AH$3,AT$26)</f>
        <v>2.6204952010288863E-3</v>
      </c>
      <c r="AU27" s="29" cm="1">
        <f t="array" ref="AU27">BS_Greek("CALL","GAMMA",$AG27,$B$1,$B$2,$AH$3,AU$26)</f>
        <v>4.4499754398238511E-3</v>
      </c>
    </row>
    <row r="28" spans="1:47" x14ac:dyDescent="0.2">
      <c r="A28" s="15">
        <v>65</v>
      </c>
      <c r="B28" s="30" cm="1">
        <f t="array" ref="B28">BS_Greek("CALL","GAMMA",$A28,$B$1,$B$2,$B$3,B$6)</f>
        <v>1.1286957540817281E-11</v>
      </c>
      <c r="C28" s="18" cm="1">
        <f t="array" ref="C28">BS_Greek("CALL","GAMMA",$A28,$B$1,$B$2,$B$3,C$6)</f>
        <v>8.6832323834608022E-7</v>
      </c>
      <c r="D28" s="18" cm="1">
        <f t="array" ref="D28">BS_Greek("CALL","GAMMA",$A28,$B$1,$B$2,$B$3,D$6)</f>
        <v>3.3820751258091636E-5</v>
      </c>
      <c r="E28" s="18" cm="1">
        <f t="array" ref="E28">BS_Greek("CALL","GAMMA",$A28,$B$1,$B$2,$B$3,E$6)</f>
        <v>2.0218238688417132E-4</v>
      </c>
      <c r="F28" s="18" cm="1">
        <f t="array" ref="F28">BS_Greek("CALL","GAMMA",$A28,$B$1,$B$2,$B$3,F$6)</f>
        <v>5.7611680391896742E-4</v>
      </c>
      <c r="G28" s="18" cm="1">
        <f t="array" ref="G28">BS_Greek("CALL","GAMMA",$A28,$B$1,$B$2,$B$3,G$6)</f>
        <v>1.1382523244176247E-3</v>
      </c>
      <c r="H28" s="18" cm="1">
        <f t="array" ref="H28">BS_Greek("CALL","GAMMA",$A28,$B$1,$B$2,$B$3,H$6)</f>
        <v>1.8286848240875091E-3</v>
      </c>
      <c r="I28" s="18" cm="1">
        <f t="array" ref="I28">BS_Greek("CALL","GAMMA",$A28,$B$1,$B$2,$B$3,I$6)</f>
        <v>2.585538590771336E-3</v>
      </c>
      <c r="J28" s="18" cm="1">
        <f t="array" ref="J28">BS_Greek("CALL","GAMMA",$A28,$B$1,$B$2,$B$3,J$6)</f>
        <v>3.3605151026574525E-3</v>
      </c>
      <c r="K28" s="18" cm="1">
        <f t="array" ref="K28">BS_Greek("CALL","GAMMA",$A28,$B$1,$B$2,$B$3,K$6)</f>
        <v>4.1207309613217006E-3</v>
      </c>
      <c r="L28" s="18" cm="1">
        <f t="array" ref="L28">BS_Greek("CALL","GAMMA",$A28,$B$1,$B$2,$B$3,L$6)</f>
        <v>9.1893387459059377E-3</v>
      </c>
      <c r="M28" s="18" cm="1">
        <f t="array" ref="M28">BS_Greek("CALL","GAMMA",$A28,$B$1,$B$2,$B$3,M$6)</f>
        <v>1.0920849507992856E-2</v>
      </c>
      <c r="N28" s="18" cm="1">
        <f t="array" ref="N28">BS_Greek("CALL","GAMMA",$A28,$B$1,$B$2,$B$3,N$6)</f>
        <v>1.1346268148064857E-2</v>
      </c>
      <c r="O28" s="31" cm="1">
        <f t="array" ref="O28">BS_Greek("CALL","GAMMA",$A28,$B$1,$B$2,$B$3,O$6)</f>
        <v>1.1268946181697022E-2</v>
      </c>
      <c r="Q28" s="15">
        <v>65</v>
      </c>
      <c r="R28" s="30" cm="1">
        <f t="array" ref="R28">BS_Greek("CALL","GAMMA",$Q28,$B$1,$B$2,$R$3,R$6)</f>
        <v>2.7992835519207707E-6</v>
      </c>
      <c r="S28" s="18" cm="1">
        <f t="array" ref="S28">BS_Greek("CALL","GAMMA",$Q28,$B$1,$B$2,$R$3,S$6)</f>
        <v>3.4238659642402483E-4</v>
      </c>
      <c r="T28" s="18" cm="1">
        <f t="array" ref="T28">BS_Greek("CALL","GAMMA",$Q28,$B$1,$B$2,$R$3,T$6)</f>
        <v>1.5558922158995399E-3</v>
      </c>
      <c r="U28" s="18" cm="1">
        <f t="array" ref="U28">BS_Greek("CALL","GAMMA",$Q28,$B$1,$B$2,$R$3,U$6)</f>
        <v>3.1761382873591237E-3</v>
      </c>
      <c r="V28" s="18" cm="1">
        <f t="array" ref="V28">BS_Greek("CALL","GAMMA",$Q28,$B$1,$B$2,$R$3,V$6)</f>
        <v>4.7488233231175476E-3</v>
      </c>
      <c r="W28" s="18" cm="1">
        <f t="array" ref="W28">BS_Greek("CALL","GAMMA",$Q28,$B$1,$B$2,$R$3,W$6)</f>
        <v>6.1025757786037117E-3</v>
      </c>
      <c r="X28" s="18" cm="1">
        <f t="array" ref="X28">BS_Greek("CALL","GAMMA",$Q28,$B$1,$B$2,$R$3,X$6)</f>
        <v>7.2096701015754916E-3</v>
      </c>
      <c r="Y28" s="18" cm="1">
        <f t="array" ref="Y28">BS_Greek("CALL","GAMMA",$Q28,$B$1,$B$2,$R$3,Y$6)</f>
        <v>8.0936358441935641E-3</v>
      </c>
      <c r="Z28" s="18" cm="1">
        <f t="array" ref="Z28">BS_Greek("CALL","GAMMA",$Q28,$B$1,$B$2,$R$3,Z$6)</f>
        <v>8.7907122230331206E-3</v>
      </c>
      <c r="AA28" s="18" cm="1">
        <f t="array" ref="AA28">BS_Greek("CALL","GAMMA",$Q28,$B$1,$B$2,$R$3,AA$6)</f>
        <v>9.336082432746199E-3</v>
      </c>
      <c r="AB28" s="18" cm="1">
        <f t="array" ref="AB28">BS_Greek("CALL","GAMMA",$Q28,$B$1,$B$2,$R$3,AB$6)</f>
        <v>1.0869825982032191E-2</v>
      </c>
      <c r="AC28" s="18" cm="1">
        <f t="array" ref="AC28">BS_Greek("CALL","GAMMA",$Q28,$B$1,$B$2,$R$3,AC$6)</f>
        <v>1.0363399155444453E-2</v>
      </c>
      <c r="AD28" s="18" cm="1">
        <f t="array" ref="AD28">BS_Greek("CALL","GAMMA",$Q28,$B$1,$B$2,$R$3,AD$6)</f>
        <v>9.6171460019162294E-3</v>
      </c>
      <c r="AE28" s="31" cm="1">
        <f t="array" ref="AE28">BS_Greek("CALL","GAMMA",$Q28,$B$1,$B$2,$R$3,AE$6)</f>
        <v>8.9059405124312912E-3</v>
      </c>
      <c r="AG28" s="15">
        <v>65</v>
      </c>
      <c r="AH28" s="30" cm="1">
        <f t="array" ref="AH28">BS_Greek("CALL","GAMMA",$AG28,$B$1,$B$2,$AH$3,AH$26)</f>
        <v>1.8675541334492263E-41</v>
      </c>
      <c r="AI28" s="18" cm="1">
        <f t="array" ref="AI28">BS_Greek("CALL","GAMMA",$AG28,$B$1,$B$2,$AH$3,AI$26)</f>
        <v>1.8565304082520432E-21</v>
      </c>
      <c r="AJ28" s="18" cm="1">
        <f t="array" ref="AJ28">BS_Greek("CALL","GAMMA",$AG28,$B$1,$B$2,$AH$3,AJ$26)</f>
        <v>7.8761142092032751E-15</v>
      </c>
      <c r="AK28" s="18" cm="1">
        <f t="array" ref="AK28">BS_Greek("CALL","GAMMA",$AG28,$B$1,$B$2,$AH$3,AK$26)</f>
        <v>1.553910960400279E-11</v>
      </c>
      <c r="AL28" s="18" cm="1">
        <f t="array" ref="AL28">BS_Greek("CALL","GAMMA",$AG28,$B$1,$B$2,$AH$3,AL$26)</f>
        <v>1.4365666725428593E-9</v>
      </c>
      <c r="AM28" s="18" cm="1">
        <f t="array" ref="AM28">BS_Greek("CALL","GAMMA",$AG28,$B$1,$B$2,$AH$3,AM$26)</f>
        <v>2.8871903156587547E-8</v>
      </c>
      <c r="AN28" s="18" cm="1">
        <f t="array" ref="AN28">BS_Greek("CALL","GAMMA",$AG28,$B$1,$B$2,$AH$3,AN$26)</f>
        <v>2.4319945667214557E-7</v>
      </c>
      <c r="AO28" s="18" cm="1">
        <f t="array" ref="AO28">BS_Greek("CALL","GAMMA",$AG28,$B$1,$B$2,$AH$3,AO$26)</f>
        <v>1.1914200891051552E-6</v>
      </c>
      <c r="AP28" s="18" cm="1">
        <f t="array" ref="AP28">BS_Greek("CALL","GAMMA",$AG28,$B$1,$B$2,$AH$3,AP$26)</f>
        <v>4.070790527191798E-6</v>
      </c>
      <c r="AQ28" s="18" cm="1">
        <f t="array" ref="AQ28">BS_Greek("CALL","GAMMA",$AG28,$B$1,$B$2,$AH$3,AQ$26)</f>
        <v>1.0815693509621757E-5</v>
      </c>
      <c r="AR28" s="18" cm="1">
        <f t="array" ref="AR28">BS_Greek("CALL","GAMMA",$AG28,$B$1,$B$2,$AH$3,AR$26)</f>
        <v>7.8252244975754123E-4</v>
      </c>
      <c r="AS28" s="18" cm="1">
        <f t="array" ref="AS28">BS_Greek("CALL","GAMMA",$AG28,$B$1,$B$2,$AH$3,AS$26)</f>
        <v>2.9660589498737315E-3</v>
      </c>
      <c r="AT28" s="18" cm="1">
        <f t="array" ref="AT28">BS_Greek("CALL","GAMMA",$AG28,$B$1,$B$2,$AH$3,AT$26)</f>
        <v>5.5034091875470377E-3</v>
      </c>
      <c r="AU28" s="31" cm="1">
        <f t="array" ref="AU28">BS_Greek("CALL","GAMMA",$AG28,$B$1,$B$2,$AH$3,AU$26)</f>
        <v>7.7406121902881759E-3</v>
      </c>
    </row>
    <row r="29" spans="1:47" x14ac:dyDescent="0.2">
      <c r="A29" s="15">
        <v>70</v>
      </c>
      <c r="B29" s="30" cm="1">
        <f t="array" ref="B29">BS_Greek("CALL","GAMMA",$A29,$B$1,$B$2,$B$3,B$6)</f>
        <v>1.4597010892531749E-8</v>
      </c>
      <c r="C29" s="18" cm="1">
        <f t="array" ref="C29">BS_Greek("CALL","GAMMA",$A29,$B$1,$B$2,$B$3,C$6)</f>
        <v>2.9265998523210966E-5</v>
      </c>
      <c r="D29" s="18" cm="1">
        <f t="array" ref="D29">BS_Greek("CALL","GAMMA",$A29,$B$1,$B$2,$B$3,D$6)</f>
        <v>3.3795857220289077E-4</v>
      </c>
      <c r="E29" s="18" cm="1">
        <f t="array" ref="E29">BS_Greek("CALL","GAMMA",$A29,$B$1,$B$2,$B$3,E$6)</f>
        <v>1.100075981489598E-3</v>
      </c>
      <c r="F29" s="18" cm="1">
        <f t="array" ref="F29">BS_Greek("CALL","GAMMA",$A29,$B$1,$B$2,$B$3,F$6)</f>
        <v>2.1766539744157011E-3</v>
      </c>
      <c r="G29" s="18" cm="1">
        <f t="array" ref="G29">BS_Greek("CALL","GAMMA",$A29,$B$1,$B$2,$B$3,G$6)</f>
        <v>3.3722289783455596E-3</v>
      </c>
      <c r="H29" s="18" cm="1">
        <f t="array" ref="H29">BS_Greek("CALL","GAMMA",$A29,$B$1,$B$2,$B$3,H$6)</f>
        <v>4.5539531232495038E-3</v>
      </c>
      <c r="I29" s="18" cm="1">
        <f t="array" ref="I29">BS_Greek("CALL","GAMMA",$A29,$B$1,$B$2,$B$3,I$6)</f>
        <v>5.6523508060789462E-3</v>
      </c>
      <c r="J29" s="18" cm="1">
        <f t="array" ref="J29">BS_Greek("CALL","GAMMA",$A29,$B$1,$B$2,$B$3,J$6)</f>
        <v>6.6387114573764538E-3</v>
      </c>
      <c r="K29" s="18" cm="1">
        <f t="array" ref="K29">BS_Greek("CALL","GAMMA",$A29,$B$1,$B$2,$B$3,K$6)</f>
        <v>7.5067523489369872E-3</v>
      </c>
      <c r="L29" s="18" cm="1">
        <f t="array" ref="L29">BS_Greek("CALL","GAMMA",$A29,$B$1,$B$2,$B$3,L$6)</f>
        <v>1.1624159945686188E-2</v>
      </c>
      <c r="M29" s="18" cm="1">
        <f t="array" ref="M29">BS_Greek("CALL","GAMMA",$A29,$B$1,$B$2,$B$3,M$6)</f>
        <v>1.2233016676571298E-2</v>
      </c>
      <c r="N29" s="18" cm="1">
        <f t="array" ref="N29">BS_Greek("CALL","GAMMA",$A29,$B$1,$B$2,$B$3,N$6)</f>
        <v>1.1959970353331821E-2</v>
      </c>
      <c r="O29" s="31" cm="1">
        <f t="array" ref="O29">BS_Greek("CALL","GAMMA",$A29,$B$1,$B$2,$B$3,O$6)</f>
        <v>1.1453027766679769E-2</v>
      </c>
      <c r="Q29" s="15">
        <v>70</v>
      </c>
      <c r="R29" s="30" cm="1">
        <f t="array" ref="R29">BS_Greek("CALL","GAMMA",$Q29,$B$1,$B$2,$R$3,R$6)</f>
        <v>6.35621151820228E-5</v>
      </c>
      <c r="S29" s="18" cm="1">
        <f t="array" ref="S29">BS_Greek("CALL","GAMMA",$Q29,$B$1,$B$2,$R$3,S$6)</f>
        <v>1.5369719040112578E-3</v>
      </c>
      <c r="T29" s="18" cm="1">
        <f t="array" ref="T29">BS_Greek("CALL","GAMMA",$Q29,$B$1,$B$2,$R$3,T$6)</f>
        <v>4.068752351690158E-3</v>
      </c>
      <c r="U29" s="18" cm="1">
        <f t="array" ref="U29">BS_Greek("CALL","GAMMA",$Q29,$B$1,$B$2,$R$3,U$6)</f>
        <v>6.3393895489089096E-3</v>
      </c>
      <c r="V29" s="18" cm="1">
        <f t="array" ref="V29">BS_Greek("CALL","GAMMA",$Q29,$B$1,$B$2,$R$3,V$6)</f>
        <v>8.059977346624966E-3</v>
      </c>
      <c r="W29" s="18" cm="1">
        <f t="array" ref="W29">BS_Greek("CALL","GAMMA",$Q29,$B$1,$B$2,$R$3,W$6)</f>
        <v>9.296671919160799E-3</v>
      </c>
      <c r="X29" s="18" cm="1">
        <f t="array" ref="X29">BS_Greek("CALL","GAMMA",$Q29,$B$1,$B$2,$R$3,X$6)</f>
        <v>1.0167303762997194E-2</v>
      </c>
      <c r="Y29" s="18" cm="1">
        <f t="array" ref="Y29">BS_Greek("CALL","GAMMA",$Q29,$B$1,$B$2,$R$3,Y$6)</f>
        <v>1.0771870609204374E-2</v>
      </c>
      <c r="Z29" s="18" cm="1">
        <f t="array" ref="Z29">BS_Greek("CALL","GAMMA",$Q29,$B$1,$B$2,$R$3,Z$6)</f>
        <v>1.1184482954854207E-2</v>
      </c>
      <c r="AA29" s="18" cm="1">
        <f t="array" ref="AA29">BS_Greek("CALL","GAMMA",$Q29,$B$1,$B$2,$R$3,AA$6)</f>
        <v>1.1458084787714838E-2</v>
      </c>
      <c r="AB29" s="18" cm="1">
        <f t="array" ref="AB29">BS_Greek("CALL","GAMMA",$Q29,$B$1,$B$2,$R$3,AB$6)</f>
        <v>1.1344091423781004E-2</v>
      </c>
      <c r="AC29" s="18" cm="1">
        <f t="array" ref="AC29">BS_Greek("CALL","GAMMA",$Q29,$B$1,$B$2,$R$3,AC$6)</f>
        <v>1.0246666696571996E-2</v>
      </c>
      <c r="AD29" s="18" cm="1">
        <f t="array" ref="AD29">BS_Greek("CALL","GAMMA",$Q29,$B$1,$B$2,$R$3,AD$6)</f>
        <v>9.255358000051405E-3</v>
      </c>
      <c r="AE29" s="31" cm="1">
        <f t="array" ref="AE29">BS_Greek("CALL","GAMMA",$Q29,$B$1,$B$2,$R$3,AE$6)</f>
        <v>8.4330908674948215E-3</v>
      </c>
      <c r="AG29" s="15">
        <v>70</v>
      </c>
      <c r="AH29" s="30" cm="1">
        <f t="array" ref="AH29">BS_Greek("CALL","GAMMA",$AG29,$B$1,$B$2,$AH$3,AH$26)</f>
        <v>7.2920970083606943E-29</v>
      </c>
      <c r="AI29" s="18" cm="1">
        <f t="array" ref="AI29">BS_Greek("CALL","GAMMA",$AG29,$B$1,$B$2,$AH$3,AI$26)</f>
        <v>3.3439581371571192E-15</v>
      </c>
      <c r="AJ29" s="18" cm="1">
        <f t="array" ref="AJ29">BS_Greek("CALL","GAMMA",$AG29,$B$1,$B$2,$AH$3,AJ$26)</f>
        <v>1.0961347486332762E-10</v>
      </c>
      <c r="AK29" s="18" cm="1">
        <f t="array" ref="AK29">BS_Greek("CALL","GAMMA",$AG29,$B$1,$B$2,$AH$3,AK$26)</f>
        <v>1.9009673521623239E-8</v>
      </c>
      <c r="AL29" s="18" cm="1">
        <f t="array" ref="AL29">BS_Greek("CALL","GAMMA",$AG29,$B$1,$B$2,$AH$3,AL$26)</f>
        <v>4.0857545005606403E-7</v>
      </c>
      <c r="AM29" s="18" cm="1">
        <f t="array" ref="AM29">BS_Greek("CALL","GAMMA",$AG29,$B$1,$B$2,$AH$3,AM$26)</f>
        <v>3.1047063387496911E-6</v>
      </c>
      <c r="AN29" s="18" cm="1">
        <f t="array" ref="AN29">BS_Greek("CALL","GAMMA",$AG29,$B$1,$B$2,$AH$3,AN$26)</f>
        <v>1.3055468334454288E-5</v>
      </c>
      <c r="AO29" s="18" cm="1">
        <f t="array" ref="AO29">BS_Greek("CALL","GAMMA",$AG29,$B$1,$B$2,$AH$3,AO$26)</f>
        <v>3.7984667450688666E-5</v>
      </c>
      <c r="AP29" s="18" cm="1">
        <f t="array" ref="AP29">BS_Greek("CALL","GAMMA",$AG29,$B$1,$B$2,$AH$3,AP$26)</f>
        <v>8.6540937665519226E-5</v>
      </c>
      <c r="AQ29" s="18" cm="1">
        <f t="array" ref="AQ29">BS_Greek("CALL","GAMMA",$AG29,$B$1,$B$2,$AH$3,AQ$26)</f>
        <v>1.6626343859570762E-4</v>
      </c>
      <c r="AR29" s="18" cm="1">
        <f t="array" ref="AR29">BS_Greek("CALL","GAMMA",$AG29,$B$1,$B$2,$AH$3,AR$26)</f>
        <v>2.7966437332461501E-3</v>
      </c>
      <c r="AS29" s="18" cm="1">
        <f t="array" ref="AS29">BS_Greek("CALL","GAMMA",$AG29,$B$1,$B$2,$AH$3,AS$26)</f>
        <v>6.5180762218454997E-3</v>
      </c>
      <c r="AT29" s="18" cm="1">
        <f t="array" ref="AT29">BS_Greek("CALL","GAMMA",$AG29,$B$1,$B$2,$AH$3,AT$26)</f>
        <v>9.4835539632301003E-3</v>
      </c>
      <c r="AU29" s="31" cm="1">
        <f t="array" ref="AU29">BS_Greek("CALL","GAMMA",$AG29,$B$1,$B$2,$AH$3,AU$26)</f>
        <v>1.1528012005023357E-2</v>
      </c>
    </row>
    <row r="30" spans="1:47" x14ac:dyDescent="0.2">
      <c r="A30" s="15">
        <v>75</v>
      </c>
      <c r="B30" s="30" cm="1">
        <f t="array" ref="B30">BS_Greek("CALL","GAMMA",$A30,$B$1,$B$2,$B$3,B$6)</f>
        <v>3.3512354645083046E-6</v>
      </c>
      <c r="C30" s="18" cm="1">
        <f t="array" ref="C30">BS_Greek("CALL","GAMMA",$A30,$B$1,$B$2,$B$3,C$6)</f>
        <v>4.1746111765088794E-4</v>
      </c>
      <c r="D30" s="18" cm="1">
        <f t="array" ref="D30">BS_Greek("CALL","GAMMA",$A30,$B$1,$B$2,$B$3,D$6)</f>
        <v>1.9093551185000314E-3</v>
      </c>
      <c r="E30" s="18" cm="1">
        <f t="array" ref="E30">BS_Greek("CALL","GAMMA",$A30,$B$1,$B$2,$B$3,E$6)</f>
        <v>3.9113907532951553E-3</v>
      </c>
      <c r="F30" s="18" cm="1">
        <f t="array" ref="F30">BS_Greek("CALL","GAMMA",$A30,$B$1,$B$2,$B$3,F$6)</f>
        <v>5.8617741810673704E-3</v>
      </c>
      <c r="G30" s="18" cm="1">
        <f t="array" ref="G30">BS_Greek("CALL","GAMMA",$A30,$B$1,$B$2,$B$3,G$6)</f>
        <v>7.5458967272333394E-3</v>
      </c>
      <c r="H30" s="18" cm="1">
        <f t="array" ref="H30">BS_Greek("CALL","GAMMA",$A30,$B$1,$B$2,$B$3,H$6)</f>
        <v>8.9273180622224217E-3</v>
      </c>
      <c r="I30" s="18" cm="1">
        <f t="array" ref="I30">BS_Greek("CALL","GAMMA",$A30,$B$1,$B$2,$B$3,I$6)</f>
        <v>1.0033802504733586E-2</v>
      </c>
      <c r="J30" s="18" cm="1">
        <f t="array" ref="J30">BS_Greek("CALL","GAMMA",$A30,$B$1,$B$2,$B$3,J$6)</f>
        <v>1.090940622330224E-2</v>
      </c>
      <c r="K30" s="18" cm="1">
        <f t="array" ref="K30">BS_Greek("CALL","GAMMA",$A30,$B$1,$B$2,$B$3,K$6)</f>
        <v>1.1597225794774839E-2</v>
      </c>
      <c r="L30" s="18" cm="1">
        <f t="array" ref="L30">BS_Greek("CALL","GAMMA",$A30,$B$1,$B$2,$B$3,L$6)</f>
        <v>1.3601749391133747E-2</v>
      </c>
      <c r="M30" s="18" cm="1">
        <f t="array" ref="M30">BS_Greek("CALL","GAMMA",$A30,$B$1,$B$2,$B$3,M$6)</f>
        <v>1.304799601147523E-2</v>
      </c>
      <c r="N30" s="18" cm="1">
        <f t="array" ref="N30">BS_Greek("CALL","GAMMA",$A30,$B$1,$B$2,$B$3,N$6)</f>
        <v>1.2179483699411454E-2</v>
      </c>
      <c r="O30" s="31" cm="1">
        <f t="array" ref="O30">BS_Greek("CALL","GAMMA",$A30,$B$1,$B$2,$B$3,O$6)</f>
        <v>1.1343634002882845E-2</v>
      </c>
      <c r="Q30" s="15">
        <v>75</v>
      </c>
      <c r="R30" s="30" cm="1">
        <f t="array" ref="R30">BS_Greek("CALL","GAMMA",$Q30,$B$1,$B$2,$R$3,R$6)</f>
        <v>6.7225819369320016E-4</v>
      </c>
      <c r="S30" s="18" cm="1">
        <f t="array" ref="S30">BS_Greek("CALL","GAMMA",$Q30,$B$1,$B$2,$R$3,S$6)</f>
        <v>4.7282210181891797E-3</v>
      </c>
      <c r="T30" s="18" cm="1">
        <f t="array" ref="T30">BS_Greek("CALL","GAMMA",$Q30,$B$1,$B$2,$R$3,T$6)</f>
        <v>8.2932442565351958E-3</v>
      </c>
      <c r="U30" s="18" cm="1">
        <f t="array" ref="U30">BS_Greek("CALL","GAMMA",$Q30,$B$1,$B$2,$R$3,U$6)</f>
        <v>1.0517834159617732E-2</v>
      </c>
      <c r="V30" s="18" cm="1">
        <f t="array" ref="V30">BS_Greek("CALL","GAMMA",$Q30,$B$1,$B$2,$R$3,V$6)</f>
        <v>1.1819037433225307E-2</v>
      </c>
      <c r="W30" s="18" cm="1">
        <f t="array" ref="W30">BS_Greek("CALL","GAMMA",$Q30,$B$1,$B$2,$R$3,W$6)</f>
        <v>1.255515456723554E-2</v>
      </c>
      <c r="X30" s="18" cm="1">
        <f t="array" ref="X30">BS_Greek("CALL","GAMMA",$Q30,$B$1,$B$2,$R$3,X$6)</f>
        <v>1.2946786325768763E-2</v>
      </c>
      <c r="Y30" s="18" cm="1">
        <f t="array" ref="Y30">BS_Greek("CALL","GAMMA",$Q30,$B$1,$B$2,$R$3,Y$6)</f>
        <v>1.3124825156577537E-2</v>
      </c>
      <c r="Z30" s="18" cm="1">
        <f t="array" ref="Z30">BS_Greek("CALL","GAMMA",$Q30,$B$1,$B$2,$R$3,Z$6)</f>
        <v>1.3168033532704496E-2</v>
      </c>
      <c r="AA30" s="18" cm="1">
        <f t="array" ref="AA30">BS_Greek("CALL","GAMMA",$Q30,$B$1,$B$2,$R$3,AA$6)</f>
        <v>1.3124994619891273E-2</v>
      </c>
      <c r="AB30" s="18" cm="1">
        <f t="array" ref="AB30">BS_Greek("CALL","GAMMA",$Q30,$B$1,$B$2,$R$3,AB$6)</f>
        <v>1.1484873818246508E-2</v>
      </c>
      <c r="AC30" s="18" cm="1">
        <f t="array" ref="AC30">BS_Greek("CALL","GAMMA",$Q30,$B$1,$B$2,$R$3,AC$6)</f>
        <v>9.9554811818721185E-3</v>
      </c>
      <c r="AD30" s="18" cm="1">
        <f t="array" ref="AD30">BS_Greek("CALL","GAMMA",$Q30,$B$1,$B$2,$R$3,AD$6)</f>
        <v>8.8091587418353077E-3</v>
      </c>
      <c r="AE30" s="31" cm="1">
        <f t="array" ref="AE30">BS_Greek("CALL","GAMMA",$Q30,$B$1,$B$2,$R$3,AE$6)</f>
        <v>7.9280236081079453E-3</v>
      </c>
      <c r="AG30" s="15">
        <v>75</v>
      </c>
      <c r="AH30" s="30" cm="1">
        <f t="array" ref="AH30">BS_Greek("CALL","GAMMA",$AG30,$B$1,$B$2,$AH$3,AH$26)</f>
        <v>2.7634460319906593E-19</v>
      </c>
      <c r="AI30" s="18" cm="1">
        <f t="array" ref="AI30">BS_Greek("CALL","GAMMA",$AG30,$B$1,$B$2,$AH$3,AI$26)</f>
        <v>1.8884525527510622E-10</v>
      </c>
      <c r="AJ30" s="18" cm="1">
        <f t="array" ref="AJ30">BS_Greek("CALL","GAMMA",$AG30,$B$1,$B$2,$AH$3,AJ$26)</f>
        <v>1.523320979336045E-7</v>
      </c>
      <c r="AK30" s="18" cm="1">
        <f t="array" ref="AK30">BS_Greek("CALL","GAMMA",$AG30,$B$1,$B$2,$AH$3,AK$26)</f>
        <v>4.1442242901485525E-6</v>
      </c>
      <c r="AL30" s="18" cm="1">
        <f t="array" ref="AL30">BS_Greek("CALL","GAMMA",$AG30,$B$1,$B$2,$AH$3,AL$26)</f>
        <v>2.931335523260756E-5</v>
      </c>
      <c r="AM30" s="18" cm="1">
        <f t="array" ref="AM30">BS_Greek("CALL","GAMMA",$AG30,$B$1,$B$2,$AH$3,AM$26)</f>
        <v>1.0617694808839044E-4</v>
      </c>
      <c r="AN30" s="18" cm="1">
        <f t="array" ref="AN30">BS_Greek("CALL","GAMMA",$AG30,$B$1,$B$2,$AH$3,AN$26)</f>
        <v>2.630006185665992E-4</v>
      </c>
      <c r="AO30" s="18" cm="1">
        <f t="array" ref="AO30">BS_Greek("CALL","GAMMA",$AG30,$B$1,$B$2,$AH$3,AO$26)</f>
        <v>5.1450381124671068E-4</v>
      </c>
      <c r="AP30" s="18" cm="1">
        <f t="array" ref="AP30">BS_Greek("CALL","GAMMA",$AG30,$B$1,$B$2,$AH$3,AP$26)</f>
        <v>8.6084583659867787E-4</v>
      </c>
      <c r="AQ30" s="18" cm="1">
        <f t="array" ref="AQ30">BS_Greek("CALL","GAMMA",$AG30,$B$1,$B$2,$AH$3,AQ$26)</f>
        <v>1.2919311227899846E-3</v>
      </c>
      <c r="AR30" s="18" cm="1">
        <f t="array" ref="AR30">BS_Greek("CALL","GAMMA",$AG30,$B$1,$B$2,$AH$3,AR$26)</f>
        <v>7.1516197776597054E-3</v>
      </c>
      <c r="AS30" s="18" cm="1">
        <f t="array" ref="AS30">BS_Greek("CALL","GAMMA",$AG30,$B$1,$B$2,$AH$3,AS$26)</f>
        <v>1.1507869542832888E-2</v>
      </c>
      <c r="AT30" s="18" cm="1">
        <f t="array" ref="AT30">BS_Greek("CALL","GAMMA",$AG30,$B$1,$B$2,$AH$3,AT$26)</f>
        <v>1.3912357420204602E-2</v>
      </c>
      <c r="AU30" s="31" cm="1">
        <f t="array" ref="AU30">BS_Greek("CALL","GAMMA",$AG30,$B$1,$B$2,$AH$3,AU$26)</f>
        <v>1.5132702486471092E-2</v>
      </c>
    </row>
    <row r="31" spans="1:47" x14ac:dyDescent="0.2">
      <c r="A31" s="15">
        <v>80</v>
      </c>
      <c r="B31" s="30" cm="1">
        <f t="array" ref="B31">BS_Greek("CALL","GAMMA",$A31,$B$1,$B$2,$B$3,B$6)</f>
        <v>1.8444991272199745E-4</v>
      </c>
      <c r="C31" s="18" cm="1">
        <f t="array" ref="C31">BS_Greek("CALL","GAMMA",$A31,$B$1,$B$2,$B$3,C$6)</f>
        <v>2.9270332354272232E-3</v>
      </c>
      <c r="D31" s="18" cm="1">
        <f t="array" ref="D31">BS_Greek("CALL","GAMMA",$A31,$B$1,$B$2,$B$3,D$6)</f>
        <v>6.7361389316554247E-3</v>
      </c>
      <c r="E31" s="18" cm="1">
        <f t="array" ref="E31">BS_Greek("CALL","GAMMA",$A31,$B$1,$B$2,$B$3,E$6)</f>
        <v>9.7884039294375228E-3</v>
      </c>
      <c r="F31" s="18" cm="1">
        <f t="array" ref="F31">BS_Greek("CALL","GAMMA",$A31,$B$1,$B$2,$B$3,F$6)</f>
        <v>1.1937780047109169E-2</v>
      </c>
      <c r="G31" s="18" cm="1">
        <f t="array" ref="G31">BS_Greek("CALL","GAMMA",$A31,$B$1,$B$2,$B$3,G$6)</f>
        <v>1.3395159432299537E-2</v>
      </c>
      <c r="H31" s="18" cm="1">
        <f t="array" ref="H31">BS_Greek("CALL","GAMMA",$A31,$B$1,$B$2,$B$3,H$6)</f>
        <v>1.4366321033900606E-2</v>
      </c>
      <c r="I31" s="18" cm="1">
        <f t="array" ref="I31">BS_Greek("CALL","GAMMA",$A31,$B$1,$B$2,$B$3,I$6)</f>
        <v>1.5001364182628535E-2</v>
      </c>
      <c r="J31" s="18" cm="1">
        <f t="array" ref="J31">BS_Greek("CALL","GAMMA",$A31,$B$1,$B$2,$B$3,J$6)</f>
        <v>1.5403132263133369E-2</v>
      </c>
      <c r="K31" s="18" cm="1">
        <f t="array" ref="K31">BS_Greek("CALL","GAMMA",$A31,$B$1,$B$2,$B$3,K$6)</f>
        <v>1.5641421674019225E-2</v>
      </c>
      <c r="L31" s="18" cm="1">
        <f t="array" ref="L31">BS_Greek("CALL","GAMMA",$A31,$B$1,$B$2,$B$3,L$6)</f>
        <v>1.4928999083209112E-2</v>
      </c>
      <c r="M31" s="18" cm="1">
        <f t="array" ref="M31">BS_Greek("CALL","GAMMA",$A31,$B$1,$B$2,$B$3,M$6)</f>
        <v>1.337060343987685E-2</v>
      </c>
      <c r="N31" s="18" cm="1">
        <f t="array" ref="N31">BS_Greek("CALL","GAMMA",$A31,$B$1,$B$2,$B$3,N$6)</f>
        <v>1.2059289097501428E-2</v>
      </c>
      <c r="O31" s="31" cm="1">
        <f t="array" ref="O31">BS_Greek("CALL","GAMMA",$A31,$B$1,$B$2,$B$3,O$6)</f>
        <v>1.1002627628314172E-2</v>
      </c>
      <c r="Q31" s="15">
        <v>80</v>
      </c>
      <c r="R31" s="30" cm="1">
        <f t="array" ref="R31">BS_Greek("CALL","GAMMA",$Q31,$B$1,$B$2,$R$3,R$6)</f>
        <v>3.7827836741325771E-3</v>
      </c>
      <c r="S31" s="18" cm="1">
        <f t="array" ref="S31">BS_Greek("CALL","GAMMA",$Q31,$B$1,$B$2,$R$3,S$6)</f>
        <v>1.0647723775453425E-2</v>
      </c>
      <c r="T31" s="18" cm="1">
        <f t="array" ref="T31">BS_Greek("CALL","GAMMA",$Q31,$B$1,$B$2,$R$3,T$6)</f>
        <v>1.3762943653982109E-2</v>
      </c>
      <c r="U31" s="18" cm="1">
        <f t="array" ref="U31">BS_Greek("CALL","GAMMA",$Q31,$B$1,$B$2,$R$3,U$6)</f>
        <v>1.4983978051139484E-2</v>
      </c>
      <c r="V31" s="18" cm="1">
        <f t="array" ref="V31">BS_Greek("CALL","GAMMA",$Q31,$B$1,$B$2,$R$3,V$6)</f>
        <v>1.5364246918448026E-2</v>
      </c>
      <c r="W31" s="18" cm="1">
        <f t="array" ref="W31">BS_Greek("CALL","GAMMA",$Q31,$B$1,$B$2,$R$3,W$6)</f>
        <v>1.5354539900425004E-2</v>
      </c>
      <c r="X31" s="18" cm="1">
        <f t="array" ref="X31">BS_Greek("CALL","GAMMA",$Q31,$B$1,$B$2,$R$3,X$6)</f>
        <v>1.5157858484034765E-2</v>
      </c>
      <c r="Y31" s="18" cm="1">
        <f t="array" ref="Y31">BS_Greek("CALL","GAMMA",$Q31,$B$1,$B$2,$R$3,Y$6)</f>
        <v>1.4871858249720593E-2</v>
      </c>
      <c r="Z31" s="18" cm="1">
        <f t="array" ref="Z31">BS_Greek("CALL","GAMMA",$Q31,$B$1,$B$2,$R$3,Z$6)</f>
        <v>1.4546046008012571E-2</v>
      </c>
      <c r="AA31" s="18" cm="1">
        <f t="array" ref="AA31">BS_Greek("CALL","GAMMA",$Q31,$B$1,$B$2,$R$3,AA$6)</f>
        <v>1.4206432265572271E-2</v>
      </c>
      <c r="AB31" s="18" cm="1">
        <f t="array" ref="AB31">BS_Greek("CALL","GAMMA",$Q31,$B$1,$B$2,$R$3,AB$6)</f>
        <v>1.1343327721716878E-2</v>
      </c>
      <c r="AC31" s="18" cm="1">
        <f t="array" ref="AC31">BS_Greek("CALL","GAMMA",$Q31,$B$1,$B$2,$R$3,AC$6)</f>
        <v>9.5371649510801199E-3</v>
      </c>
      <c r="AD31" s="18" cm="1">
        <f t="array" ref="AD31">BS_Greek("CALL","GAMMA",$Q31,$B$1,$B$2,$R$3,AD$6)</f>
        <v>8.3111834375704362E-3</v>
      </c>
      <c r="AE31" s="31" cm="1">
        <f t="array" ref="AE31">BS_Greek("CALL","GAMMA",$Q31,$B$1,$B$2,$R$3,AE$6)</f>
        <v>7.4116721863495584E-3</v>
      </c>
      <c r="AG31" s="15">
        <v>80</v>
      </c>
      <c r="AH31" s="30" cm="1">
        <f t="array" ref="AH31">BS_Greek("CALL","GAMMA",$AG31,$B$1,$B$2,$AH$3,AH$26)</f>
        <v>3.3905822708430672E-12</v>
      </c>
      <c r="AI31" s="18" cm="1">
        <f t="array" ref="AI31">BS_Greek("CALL","GAMMA",$AG31,$B$1,$B$2,$AH$3,AI$26)</f>
        <v>6.1021351588952594E-7</v>
      </c>
      <c r="AJ31" s="18" cm="1">
        <f t="array" ref="AJ31">BS_Greek("CALL","GAMMA",$AG31,$B$1,$B$2,$AH$3,AJ$26)</f>
        <v>3.155135271549592E-5</v>
      </c>
      <c r="AK31" s="18" cm="1">
        <f t="array" ref="AK31">BS_Greek("CALL","GAMMA",$AG31,$B$1,$B$2,$AH$3,AK$26)</f>
        <v>2.1731776002153875E-4</v>
      </c>
      <c r="AL31" s="18" cm="1">
        <f t="array" ref="AL31">BS_Greek("CALL","GAMMA",$AG31,$B$1,$B$2,$AH$3,AL$26)</f>
        <v>6.7417515498728673E-4</v>
      </c>
      <c r="AM31" s="18" cm="1">
        <f t="array" ref="AM31">BS_Greek("CALL","GAMMA",$AG31,$B$1,$B$2,$AH$3,AM$26)</f>
        <v>1.4096380488958426E-3</v>
      </c>
      <c r="AN31" s="18" cm="1">
        <f t="array" ref="AN31">BS_Greek("CALL","GAMMA",$AG31,$B$1,$B$2,$AH$3,AN$26)</f>
        <v>2.3582196949555518E-3</v>
      </c>
      <c r="AO31" s="18" cm="1">
        <f t="array" ref="AO31">BS_Greek("CALL","GAMMA",$AG31,$B$1,$B$2,$AH$3,AO$26)</f>
        <v>3.4369932223750682E-3</v>
      </c>
      <c r="AP31" s="18" cm="1">
        <f t="array" ref="AP31">BS_Greek("CALL","GAMMA",$AG31,$B$1,$B$2,$AH$3,AP$26)</f>
        <v>4.5738968285542487E-3</v>
      </c>
      <c r="AQ31" s="18" cm="1">
        <f t="array" ref="AQ31">BS_Greek("CALL","GAMMA",$AG31,$B$1,$B$2,$AH$3,AQ$26)</f>
        <v>5.7155372876400061E-3</v>
      </c>
      <c r="AR31" s="18" cm="1">
        <f t="array" ref="AR31">BS_Greek("CALL","GAMMA",$AG31,$B$1,$B$2,$AH$3,AR$26)</f>
        <v>1.3876417664915324E-2</v>
      </c>
      <c r="AS31" s="18" cm="1">
        <f t="array" ref="AS31">BS_Greek("CALL","GAMMA",$AG31,$B$1,$B$2,$AH$3,AS$26)</f>
        <v>1.6964964604488354E-2</v>
      </c>
      <c r="AT31" s="18" cm="1">
        <f t="array" ref="AT31">BS_Greek("CALL","GAMMA",$AG31,$B$1,$B$2,$AH$3,AT$26)</f>
        <v>1.7877273947675215E-2</v>
      </c>
      <c r="AU31" s="31" cm="1">
        <f t="array" ref="AU31">BS_Greek("CALL","GAMMA",$AG31,$B$1,$B$2,$AH$3,AU$26)</f>
        <v>1.7906989830010486E-2</v>
      </c>
    </row>
    <row r="32" spans="1:47" x14ac:dyDescent="0.2">
      <c r="A32" s="15">
        <v>85</v>
      </c>
      <c r="B32" s="30" cm="1">
        <f t="array" ref="B32">BS_Greek("CALL","GAMMA",$A32,$B$1,$B$2,$B$3,B$6)</f>
        <v>3.0836372935947143E-3</v>
      </c>
      <c r="C32" s="18" cm="1">
        <f t="array" ref="C32">BS_Greek("CALL","GAMMA",$A32,$B$1,$B$2,$B$3,C$6)</f>
        <v>1.134964427745312E-2</v>
      </c>
      <c r="D32" s="18" cm="1">
        <f t="array" ref="D32">BS_Greek("CALL","GAMMA",$A32,$B$1,$B$2,$B$3,D$6)</f>
        <v>1.6048048164004222E-2</v>
      </c>
      <c r="E32" s="18" cm="1">
        <f t="array" ref="E32">BS_Greek("CALL","GAMMA",$A32,$B$1,$B$2,$B$3,E$6)</f>
        <v>1.8278954822369093E-2</v>
      </c>
      <c r="F32" s="18" cm="1">
        <f t="array" ref="F32">BS_Greek("CALL","GAMMA",$A32,$B$1,$B$2,$B$3,F$6)</f>
        <v>1.926193999623425E-2</v>
      </c>
      <c r="G32" s="18" cm="1">
        <f t="array" ref="G32">BS_Greek("CALL","GAMMA",$A32,$B$1,$B$2,$B$3,G$6)</f>
        <v>1.9607203543702156E-2</v>
      </c>
      <c r="H32" s="18" cm="1">
        <f t="array" ref="H32">BS_Greek("CALL","GAMMA",$A32,$B$1,$B$2,$B$3,H$6)</f>
        <v>1.9615204928584505E-2</v>
      </c>
      <c r="I32" s="18" cm="1">
        <f t="array" ref="I32">BS_Greek("CALL","GAMMA",$A32,$B$1,$B$2,$B$3,I$6)</f>
        <v>1.944073459830415E-2</v>
      </c>
      <c r="J32" s="18" cm="1">
        <f t="array" ref="J32">BS_Greek("CALL","GAMMA",$A32,$B$1,$B$2,$B$3,J$6)</f>
        <v>1.9167361944162006E-2</v>
      </c>
      <c r="K32" s="18" cm="1">
        <f t="array" ref="K32">BS_Greek("CALL","GAMMA",$A32,$B$1,$B$2,$B$3,K$6)</f>
        <v>1.8841983940109525E-2</v>
      </c>
      <c r="L32" s="18" cm="1">
        <f t="array" ref="L32">BS_Greek("CALL","GAMMA",$A32,$B$1,$B$2,$B$3,L$6)</f>
        <v>1.5538821309956895E-2</v>
      </c>
      <c r="M32" s="18" cm="1">
        <f t="array" ref="M32">BS_Greek("CALL","GAMMA",$A32,$B$1,$B$2,$B$3,M$6)</f>
        <v>1.3255131727717093E-2</v>
      </c>
      <c r="N32" s="18" cm="1">
        <f t="array" ref="N32">BS_Greek("CALL","GAMMA",$A32,$B$1,$B$2,$B$3,N$6)</f>
        <v>1.1667493720574828E-2</v>
      </c>
      <c r="O32" s="31" cm="1">
        <f t="array" ref="O32">BS_Greek("CALL","GAMMA",$A32,$B$1,$B$2,$B$3,O$6)</f>
        <v>1.0490736571836448E-2</v>
      </c>
      <c r="Q32" s="15">
        <v>85</v>
      </c>
      <c r="R32" s="30" cm="1">
        <f t="array" ref="R32">BS_Greek("CALL","GAMMA",$Q32,$B$1,$B$2,$R$3,R$6)</f>
        <v>1.257501258451457E-2</v>
      </c>
      <c r="S32" s="18" cm="1">
        <f t="array" ref="S32">BS_Greek("CALL","GAMMA",$Q32,$B$1,$B$2,$R$3,S$6)</f>
        <v>1.8488250396356997E-2</v>
      </c>
      <c r="T32" s="18" cm="1">
        <f t="array" ref="T32">BS_Greek("CALL","GAMMA",$Q32,$B$1,$B$2,$R$3,T$6)</f>
        <v>1.9245583173855801E-2</v>
      </c>
      <c r="U32" s="18" cm="1">
        <f t="array" ref="U32">BS_Greek("CALL","GAMMA",$Q32,$B$1,$B$2,$R$3,U$6)</f>
        <v>1.8803436356655608E-2</v>
      </c>
      <c r="V32" s="18" cm="1">
        <f t="array" ref="V32">BS_Greek("CALL","GAMMA",$Q32,$B$1,$B$2,$R$3,V$6)</f>
        <v>1.8068228988525177E-2</v>
      </c>
      <c r="W32" s="18" cm="1">
        <f t="array" ref="W32">BS_Greek("CALL","GAMMA",$Q32,$B$1,$B$2,$R$3,W$6)</f>
        <v>1.7291682643531966E-2</v>
      </c>
      <c r="X32" s="18" cm="1">
        <f t="array" ref="X32">BS_Greek("CALL","GAMMA",$Q32,$B$1,$B$2,$R$3,X$6)</f>
        <v>1.655034187397918E-2</v>
      </c>
      <c r="Y32" s="18" cm="1">
        <f t="array" ref="Y32">BS_Greek("CALL","GAMMA",$Q32,$B$1,$B$2,$R$3,Y$6)</f>
        <v>1.5865759347980533E-2</v>
      </c>
      <c r="Z32" s="18" cm="1">
        <f t="array" ref="Z32">BS_Greek("CALL","GAMMA",$Q32,$B$1,$B$2,$R$3,Z$6)</f>
        <v>1.524072549459882E-2</v>
      </c>
      <c r="AA32" s="18" cm="1">
        <f t="array" ref="AA32">BS_Greek("CALL","GAMMA",$Q32,$B$1,$B$2,$R$3,AA$6)</f>
        <v>1.4671609392337213E-2</v>
      </c>
      <c r="AB32" s="18" cm="1">
        <f t="array" ref="AB32">BS_Greek("CALL","GAMMA",$Q32,$B$1,$B$2,$R$3,AB$6)</f>
        <v>1.0978106060139997E-2</v>
      </c>
      <c r="AC32" s="18" cm="1">
        <f t="array" ref="AC32">BS_Greek("CALL","GAMMA",$Q32,$B$1,$B$2,$R$3,AC$6)</f>
        <v>9.0324238181826739E-3</v>
      </c>
      <c r="AD32" s="18" cm="1">
        <f t="array" ref="AD32">BS_Greek("CALL","GAMMA",$Q32,$B$1,$B$2,$R$3,AD$6)</f>
        <v>7.7865829825335148E-3</v>
      </c>
      <c r="AE32" s="31" cm="1">
        <f t="array" ref="AE32">BS_Greek("CALL","GAMMA",$Q32,$B$1,$B$2,$R$3,AE$6)</f>
        <v>6.8988971767481675E-3</v>
      </c>
      <c r="AG32" s="15">
        <v>85</v>
      </c>
      <c r="AH32" s="30" cm="1">
        <f t="array" ref="AH32">BS_Greek("CALL","GAMMA",$AG32,$B$1,$B$2,$AH$3,AH$26)</f>
        <v>3.4793158250122273E-7</v>
      </c>
      <c r="AI32" s="18" cm="1">
        <f t="array" ref="AI32">BS_Greek("CALL","GAMMA",$AG32,$B$1,$B$2,$AH$3,AI$26)</f>
        <v>1.8120927891742718E-4</v>
      </c>
      <c r="AJ32" s="18" cm="1">
        <f t="array" ref="AJ32">BS_Greek("CALL","GAMMA",$AG32,$B$1,$B$2,$AH$3,AJ$26)</f>
        <v>1.3351896003566924E-3</v>
      </c>
      <c r="AK32" s="18" cm="1">
        <f t="array" ref="AK32">BS_Greek("CALL","GAMMA",$AG32,$B$1,$B$2,$AH$3,AK$26)</f>
        <v>3.4716293491663342E-3</v>
      </c>
      <c r="AL32" s="18" cm="1">
        <f t="array" ref="AL32">BS_Greek("CALL","GAMMA",$AG32,$B$1,$B$2,$AH$3,AL$26)</f>
        <v>6.0028678035568012E-3</v>
      </c>
      <c r="AM32" s="18" cm="1">
        <f t="array" ref="AM32">BS_Greek("CALL","GAMMA",$AG32,$B$1,$B$2,$AH$3,AM$26)</f>
        <v>8.5007827825346501E-3</v>
      </c>
      <c r="AN32" s="18" cm="1">
        <f t="array" ref="AN32">BS_Greek("CALL","GAMMA",$AG32,$B$1,$B$2,$AH$3,AN$26)</f>
        <v>1.0765981199439559E-2</v>
      </c>
      <c r="AO32" s="18" cm="1">
        <f t="array" ref="AO32">BS_Greek("CALL","GAMMA",$AG32,$B$1,$B$2,$AH$3,AO$26)</f>
        <v>1.2734636942227625E-2</v>
      </c>
      <c r="AP32" s="18" cm="1">
        <f t="array" ref="AP32">BS_Greek("CALL","GAMMA",$AG32,$B$1,$B$2,$AH$3,AP$26)</f>
        <v>1.4407206646598534E-2</v>
      </c>
      <c r="AQ32" s="18" cm="1">
        <f t="array" ref="AQ32">BS_Greek("CALL","GAMMA",$AG32,$B$1,$B$2,$AH$3,AQ$26)</f>
        <v>1.5810256172317044E-2</v>
      </c>
      <c r="AR32" s="18" cm="1">
        <f t="array" ref="AR32">BS_Greek("CALL","GAMMA",$AG32,$B$1,$B$2,$AH$3,AR$26)</f>
        <v>2.139474487152776E-2</v>
      </c>
      <c r="AS32" s="18" cm="1">
        <f t="array" ref="AS32">BS_Greek("CALL","GAMMA",$AG32,$B$1,$B$2,$AH$3,AS$26)</f>
        <v>2.1526099405862077E-2</v>
      </c>
      <c r="AT32" s="18" cm="1">
        <f t="array" ref="AT32">BS_Greek("CALL","GAMMA",$AG32,$B$1,$B$2,$AH$3,AT$26)</f>
        <v>2.0578086869191908E-2</v>
      </c>
      <c r="AU32" s="31" cm="1">
        <f t="array" ref="AU32">BS_Greek("CALL","GAMMA",$AG32,$B$1,$B$2,$AH$3,AU$26)</f>
        <v>1.9442006249843848E-2</v>
      </c>
    </row>
    <row r="33" spans="1:47" x14ac:dyDescent="0.2">
      <c r="A33" s="15">
        <v>90</v>
      </c>
      <c r="B33" s="30" cm="1">
        <f t="array" ref="B33">BS_Greek("CALL","GAMMA",$A33,$B$1,$B$2,$B$3,B$6)</f>
        <v>1.8916378586336526E-2</v>
      </c>
      <c r="C33" s="18" cm="1">
        <f t="array" ref="C33">BS_Greek("CALL","GAMMA",$A33,$B$1,$B$2,$B$3,C$6)</f>
        <v>2.6739234389615493E-2</v>
      </c>
      <c r="D33" s="18" cm="1">
        <f t="array" ref="D33">BS_Greek("CALL","GAMMA",$A33,$B$1,$B$2,$B$3,D$6)</f>
        <v>2.7482291431425856E-2</v>
      </c>
      <c r="E33" s="18" cm="1">
        <f t="array" ref="E33">BS_Greek("CALL","GAMMA",$A33,$B$1,$B$2,$B$3,E$6)</f>
        <v>2.6687880405210137E-2</v>
      </c>
      <c r="F33" s="18" cm="1">
        <f t="array" ref="F33">BS_Greek("CALL","GAMMA",$A33,$B$1,$B$2,$B$3,F$6)</f>
        <v>2.5556533759819557E-2</v>
      </c>
      <c r="G33" s="18" cm="1">
        <f t="array" ref="G33">BS_Greek("CALL","GAMMA",$A33,$B$1,$B$2,$B$3,G$6)</f>
        <v>2.4406774147524606E-2</v>
      </c>
      <c r="H33" s="18" cm="1">
        <f t="array" ref="H33">BS_Greek("CALL","GAMMA",$A33,$B$1,$B$2,$B$3,H$6)</f>
        <v>2.3329031963279279E-2</v>
      </c>
      <c r="I33" s="18" cm="1">
        <f t="array" ref="I33">BS_Greek("CALL","GAMMA",$A33,$B$1,$B$2,$B$3,I$6)</f>
        <v>2.2344641814505347E-2</v>
      </c>
      <c r="J33" s="18" cm="1">
        <f t="array" ref="J33">BS_Greek("CALL","GAMMA",$A33,$B$1,$B$2,$B$3,J$6)</f>
        <v>2.1452524339852529E-2</v>
      </c>
      <c r="K33" s="18" cm="1">
        <f t="array" ref="K33">BS_Greek("CALL","GAMMA",$A33,$B$1,$B$2,$B$3,K$6)</f>
        <v>2.0644622964645625E-2</v>
      </c>
      <c r="L33" s="18" cm="1">
        <f t="array" ref="L33">BS_Greek("CALL","GAMMA",$A33,$B$1,$B$2,$B$3,L$6)</f>
        <v>1.5471684475151491E-2</v>
      </c>
      <c r="M33" s="18" cm="1">
        <f t="array" ref="M33">BS_Greek("CALL","GAMMA",$A33,$B$1,$B$2,$B$3,M$6)</f>
        <v>1.2783505889003444E-2</v>
      </c>
      <c r="N33" s="18" cm="1">
        <f t="array" ref="N33">BS_Greek("CALL","GAMMA",$A33,$B$1,$B$2,$B$3,N$6)</f>
        <v>1.1074310697636872E-2</v>
      </c>
      <c r="O33" s="31" cm="1">
        <f t="array" ref="O33">BS_Greek("CALL","GAMMA",$A33,$B$1,$B$2,$B$3,O$6)</f>
        <v>9.8625457284395677E-3</v>
      </c>
      <c r="Q33" s="15">
        <v>90</v>
      </c>
      <c r="R33" s="30" cm="1">
        <f t="array" ref="R33">BS_Greek("CALL","GAMMA",$Q33,$B$1,$B$2,$R$3,R$6)</f>
        <v>2.6849994493107553E-2</v>
      </c>
      <c r="S33" s="18" cm="1">
        <f t="array" ref="S33">BS_Greek("CALL","GAMMA",$Q33,$B$1,$B$2,$R$3,S$6)</f>
        <v>2.5799834788109946E-2</v>
      </c>
      <c r="T33" s="18" cm="1">
        <f t="array" ref="T33">BS_Greek("CALL","GAMMA",$Q33,$B$1,$B$2,$R$3,T$6)</f>
        <v>2.3306691732956811E-2</v>
      </c>
      <c r="U33" s="18" cm="1">
        <f t="array" ref="U33">BS_Greek("CALL","GAMMA",$Q33,$B$1,$B$2,$R$3,U$6)</f>
        <v>2.1212946857819121E-2</v>
      </c>
      <c r="V33" s="18" cm="1">
        <f t="array" ref="V33">BS_Greek("CALL","GAMMA",$Q33,$B$1,$B$2,$R$3,V$6)</f>
        <v>1.9534751872486739E-2</v>
      </c>
      <c r="W33" s="18" cm="1">
        <f t="array" ref="W33">BS_Greek("CALL","GAMMA",$Q33,$B$1,$B$2,$R$3,W$6)</f>
        <v>1.8172524320191754E-2</v>
      </c>
      <c r="X33" s="18" cm="1">
        <f t="array" ref="X33">BS_Greek("CALL","GAMMA",$Q33,$B$1,$B$2,$R$3,X$6)</f>
        <v>1.7044687194816176E-2</v>
      </c>
      <c r="Y33" s="18" cm="1">
        <f t="array" ref="Y33">BS_Greek("CALL","GAMMA",$Q33,$B$1,$B$2,$R$3,Y$6)</f>
        <v>1.6093332217008621E-2</v>
      </c>
      <c r="Z33" s="18" cm="1">
        <f t="array" ref="Z33">BS_Greek("CALL","GAMMA",$Q33,$B$1,$B$2,$R$3,Z$6)</f>
        <v>1.5277763824001957E-2</v>
      </c>
      <c r="AA33" s="18" cm="1">
        <f t="array" ref="AA33">BS_Greek("CALL","GAMMA",$Q33,$B$1,$B$2,$R$3,AA$6)</f>
        <v>1.4568912566910484E-2</v>
      </c>
      <c r="AB33" s="18" cm="1">
        <f t="array" ref="AB33">BS_Greek("CALL","GAMMA",$Q33,$B$1,$B$2,$R$3,AB$6)</f>
        <v>1.0447330574272131E-2</v>
      </c>
      <c r="AC33" s="18" cm="1">
        <f t="array" ref="AC33">BS_Greek("CALL","GAMMA",$Q33,$B$1,$B$2,$R$3,AC$6)</f>
        <v>8.4747143075524257E-3</v>
      </c>
      <c r="AD33" s="18" cm="1">
        <f t="array" ref="AD33">BS_Greek("CALL","GAMMA",$Q33,$B$1,$B$2,$R$3,AD$6)</f>
        <v>7.2541928646975579E-3</v>
      </c>
      <c r="AE33" s="31" cm="1">
        <f t="array" ref="AE33">BS_Greek("CALL","GAMMA",$Q33,$B$1,$B$2,$R$3,AE$6)</f>
        <v>6.3999223842824441E-3</v>
      </c>
      <c r="AG33" s="15">
        <v>90</v>
      </c>
      <c r="AH33" s="30" cm="1">
        <f t="array" ref="AH33">BS_Greek("CALL","GAMMA",$AG33,$B$1,$B$2,$AH$3,AH$26)</f>
        <v>6.3723381042931433E-4</v>
      </c>
      <c r="AI33" s="18" cm="1">
        <f t="array" ref="AI33">BS_Greek("CALL","GAMMA",$AG33,$B$1,$B$2,$AH$3,AI$26)</f>
        <v>7.2202698909513219E-3</v>
      </c>
      <c r="AJ33" s="18" cm="1">
        <f t="array" ref="AJ33">BS_Greek("CALL","GAMMA",$AG33,$B$1,$B$2,$AH$3,AJ$26)</f>
        <v>1.4851555899595281E-2</v>
      </c>
      <c r="AK33" s="18" cm="1">
        <f t="array" ref="AK33">BS_Greek("CALL","GAMMA",$AG33,$B$1,$B$2,$AH$3,AK$26)</f>
        <v>2.0402828136932078E-2</v>
      </c>
      <c r="AL33" s="18" cm="1">
        <f t="array" ref="AL33">BS_Greek("CALL","GAMMA",$AG33,$B$1,$B$2,$AH$3,AL$26)</f>
        <v>2.4058724750173604E-2</v>
      </c>
      <c r="AM33" s="18" cm="1">
        <f t="array" ref="AM33">BS_Greek("CALL","GAMMA",$AG33,$B$1,$B$2,$AH$3,AM$26)</f>
        <v>2.6396354113062126E-2</v>
      </c>
      <c r="AN33" s="18" cm="1">
        <f t="array" ref="AN33">BS_Greek("CALL","GAMMA",$AG33,$B$1,$B$2,$AH$3,AN$26)</f>
        <v>2.7859621858699932E-2</v>
      </c>
      <c r="AO33" s="18" cm="1">
        <f t="array" ref="AO33">BS_Greek("CALL","GAMMA",$AG33,$B$1,$B$2,$AH$3,AO$26)</f>
        <v>2.8743231871235127E-2</v>
      </c>
      <c r="AP33" s="18" cm="1">
        <f t="array" ref="AP33">BS_Greek("CALL","GAMMA",$AG33,$B$1,$B$2,$AH$3,AP$26)</f>
        <v>2.9238167534758403E-2</v>
      </c>
      <c r="AQ33" s="18" cm="1">
        <f t="array" ref="AQ33">BS_Greek("CALL","GAMMA",$AG33,$B$1,$B$2,$AH$3,AQ$26)</f>
        <v>2.9469063817634214E-2</v>
      </c>
      <c r="AR33" s="18" cm="1">
        <f t="array" ref="AR33">BS_Greek("CALL","GAMMA",$AG33,$B$1,$B$2,$AH$3,AR$26)</f>
        <v>2.7195143108108635E-2</v>
      </c>
      <c r="AS33" s="18" cm="1">
        <f t="array" ref="AS33">BS_Greek("CALL","GAMMA",$AG33,$B$1,$B$2,$AH$3,AS$26)</f>
        <v>2.4084363839664263E-2</v>
      </c>
      <c r="AT33" s="18" cm="1">
        <f t="array" ref="AT33">BS_Greek("CALL","GAMMA",$AG33,$B$1,$B$2,$AH$3,AT$26)</f>
        <v>2.1600690529166151E-2</v>
      </c>
      <c r="AU33" s="31" cm="1">
        <f t="array" ref="AU33">BS_Greek("CALL","GAMMA",$AG33,$B$1,$B$2,$AH$3,AU$26)</f>
        <v>1.9641714650531644E-2</v>
      </c>
    </row>
    <row r="34" spans="1:47" x14ac:dyDescent="0.2">
      <c r="A34" s="15">
        <v>95</v>
      </c>
      <c r="B34" s="30" cm="1">
        <f t="array" ref="B34">BS_Greek("CALL","GAMMA",$A34,$B$1,$B$2,$B$3,B$6)</f>
        <v>4.9607400575778247E-2</v>
      </c>
      <c r="C34" s="18" cm="1">
        <f t="array" ref="C34">BS_Greek("CALL","GAMMA",$A34,$B$1,$B$2,$B$3,C$6)</f>
        <v>4.1300684164172589E-2</v>
      </c>
      <c r="D34" s="18" cm="1">
        <f t="array" ref="D34">BS_Greek("CALL","GAMMA",$A34,$B$1,$B$2,$B$3,D$6)</f>
        <v>3.5581792279001205E-2</v>
      </c>
      <c r="E34" s="18" cm="1">
        <f t="array" ref="E34">BS_Greek("CALL","GAMMA",$A34,$B$1,$B$2,$B$3,E$6)</f>
        <v>3.1635322258043573E-2</v>
      </c>
      <c r="F34" s="18" cm="1">
        <f t="array" ref="F34">BS_Greek("CALL","GAMMA",$A34,$B$1,$B$2,$B$3,F$6)</f>
        <v>2.8732281352043247E-2</v>
      </c>
      <c r="G34" s="18" cm="1">
        <f t="array" ref="G34">BS_Greek("CALL","GAMMA",$A34,$B$1,$B$2,$B$3,G$6)</f>
        <v>2.6488164394297603E-2</v>
      </c>
      <c r="H34" s="18" cm="1">
        <f t="array" ref="H34">BS_Greek("CALL","GAMMA",$A34,$B$1,$B$2,$B$3,H$6)</f>
        <v>2.4688265009858643E-2</v>
      </c>
      <c r="I34" s="18" cm="1">
        <f t="array" ref="I34">BS_Greek("CALL","GAMMA",$A34,$B$1,$B$2,$B$3,I$6)</f>
        <v>2.3203661883923712E-2</v>
      </c>
      <c r="J34" s="18" cm="1">
        <f t="array" ref="J34">BS_Greek("CALL","GAMMA",$A34,$B$1,$B$2,$B$3,J$6)</f>
        <v>2.1952066922098782E-2</v>
      </c>
      <c r="K34" s="18" cm="1">
        <f t="array" ref="K34">BS_Greek("CALL","GAMMA",$A34,$B$1,$B$2,$B$3,K$6)</f>
        <v>2.087829727981377E-2</v>
      </c>
      <c r="L34" s="18" cm="1">
        <f t="array" ref="L34">BS_Greek("CALL","GAMMA",$A34,$B$1,$B$2,$B$3,L$6)</f>
        <v>1.4840061535306965E-2</v>
      </c>
      <c r="M34" s="18" cm="1">
        <f t="array" ref="M34">BS_Greek("CALL","GAMMA",$A34,$B$1,$B$2,$B$3,M$6)</f>
        <v>1.2047161650680642E-2</v>
      </c>
      <c r="N34" s="18" cm="1">
        <f t="array" ref="N34">BS_Greek("CALL","GAMMA",$A34,$B$1,$B$2,$B$3,N$6)</f>
        <v>1.034474514620942E-2</v>
      </c>
      <c r="O34" s="31" cm="1">
        <f t="array" ref="O34">BS_Greek("CALL","GAMMA",$A34,$B$1,$B$2,$B$3,O$6)</f>
        <v>9.1641696406864256E-3</v>
      </c>
      <c r="Q34" s="15">
        <v>95</v>
      </c>
      <c r="R34" s="30" cm="1">
        <f t="array" ref="R34">BS_Greek("CALL","GAMMA",$Q34,$B$1,$B$2,$R$3,R$6)</f>
        <v>3.9397555493342631E-2</v>
      </c>
      <c r="S34" s="18" cm="1">
        <f t="array" ref="S34">BS_Greek("CALL","GAMMA",$Q34,$B$1,$B$2,$R$3,S$6)</f>
        <v>2.9920175402764981E-2</v>
      </c>
      <c r="T34" s="18" cm="1">
        <f t="array" ref="T34">BS_Greek("CALL","GAMMA",$Q34,$B$1,$B$2,$R$3,T$6)</f>
        <v>2.4990132225163459E-2</v>
      </c>
      <c r="U34" s="18" cm="1">
        <f t="array" ref="U34">BS_Greek("CALL","GAMMA",$Q34,$B$1,$B$2,$R$3,U$6)</f>
        <v>2.187052870331763E-2</v>
      </c>
      <c r="V34" s="18" cm="1">
        <f t="array" ref="V34">BS_Greek("CALL","GAMMA",$Q34,$B$1,$B$2,$R$3,V$6)</f>
        <v>1.9671994336736279E-2</v>
      </c>
      <c r="W34" s="18" cm="1">
        <f t="array" ref="W34">BS_Greek("CALL","GAMMA",$Q34,$B$1,$B$2,$R$3,W$6)</f>
        <v>1.8015399304984771E-2</v>
      </c>
      <c r="X34" s="18" cm="1">
        <f t="array" ref="X34">BS_Greek("CALL","GAMMA",$Q34,$B$1,$B$2,$R$3,X$6)</f>
        <v>1.6709061466729097E-2</v>
      </c>
      <c r="Y34" s="18" cm="1">
        <f t="array" ref="Y34">BS_Greek("CALL","GAMMA",$Q34,$B$1,$B$2,$R$3,Y$6)</f>
        <v>1.5644431582997612E-2</v>
      </c>
      <c r="Z34" s="18" cm="1">
        <f t="array" ref="Z34">BS_Greek("CALL","GAMMA",$Q34,$B$1,$B$2,$R$3,Z$6)</f>
        <v>1.4754868041798959E-2</v>
      </c>
      <c r="AA34" s="18" cm="1">
        <f t="array" ref="AA34">BS_Greek("CALL","GAMMA",$Q34,$B$1,$B$2,$R$3,AA$6)</f>
        <v>1.3996906305568678E-2</v>
      </c>
      <c r="AB34" s="18" cm="1">
        <f t="array" ref="AB34">BS_Greek("CALL","GAMMA",$Q34,$B$1,$B$2,$R$3,AB$6)</f>
        <v>9.8037554378220936E-3</v>
      </c>
      <c r="AC34" s="18" cm="1">
        <f t="array" ref="AC34">BS_Greek("CALL","GAMMA",$Q34,$B$1,$B$2,$R$3,AC$6)</f>
        <v>7.8905317151781781E-3</v>
      </c>
      <c r="AD34" s="18" cm="1">
        <f t="array" ref="AD34">BS_Greek("CALL","GAMMA",$Q34,$B$1,$B$2,$R$3,AD$6)</f>
        <v>6.7277111439822531E-3</v>
      </c>
      <c r="AE34" s="31" cm="1">
        <f t="array" ref="AE34">BS_Greek("CALL","GAMMA",$Q34,$B$1,$B$2,$R$3,AE$6)</f>
        <v>5.9214922774464777E-3</v>
      </c>
      <c r="AG34" s="15">
        <v>95</v>
      </c>
      <c r="AH34" s="30" cm="1">
        <f t="array" ref="AH34">BS_Greek("CALL","GAMMA",$AG34,$B$1,$B$2,$AH$3,AH$26)</f>
        <v>3.8441261874572016E-2</v>
      </c>
      <c r="AI34" s="18" cm="1">
        <f t="array" ref="AI34">BS_Greek("CALL","GAMMA",$AG34,$B$1,$B$2,$AH$3,AI$26)</f>
        <v>5.2414503254015782E-2</v>
      </c>
      <c r="AJ34" s="18" cm="1">
        <f t="array" ref="AJ34">BS_Greek("CALL","GAMMA",$AG34,$B$1,$B$2,$AH$3,AJ$26)</f>
        <v>5.3227540948401576E-2</v>
      </c>
      <c r="AK34" s="18" cm="1">
        <f t="array" ref="AK34">BS_Greek("CALL","GAMMA",$AG34,$B$1,$B$2,$AH$3,AK$26)</f>
        <v>5.1379281037838453E-2</v>
      </c>
      <c r="AL34" s="18" cm="1">
        <f t="array" ref="AL34">BS_Greek("CALL","GAMMA",$AG34,$B$1,$B$2,$AH$3,AL$26)</f>
        <v>4.9024161779533067E-2</v>
      </c>
      <c r="AM34" s="18" cm="1">
        <f t="array" ref="AM34">BS_Greek("CALL","GAMMA",$AG34,$B$1,$B$2,$AH$3,AM$26)</f>
        <v>4.670622857015766E-2</v>
      </c>
      <c r="AN34" s="18" cm="1">
        <f t="array" ref="AN34">BS_Greek("CALL","GAMMA",$AG34,$B$1,$B$2,$AH$3,AN$26)</f>
        <v>4.4567221413124185E-2</v>
      </c>
      <c r="AO34" s="18" cm="1">
        <f t="array" ref="AO34">BS_Greek("CALL","GAMMA",$AG34,$B$1,$B$2,$AH$3,AO$26)</f>
        <v>4.2631739576590874E-2</v>
      </c>
      <c r="AP34" s="18" cm="1">
        <f t="array" ref="AP34">BS_Greek("CALL","GAMMA",$AG34,$B$1,$B$2,$AH$3,AP$26)</f>
        <v>4.0888684659269085E-2</v>
      </c>
      <c r="AQ34" s="18" cm="1">
        <f t="array" ref="AQ34">BS_Greek("CALL","GAMMA",$AG34,$B$1,$B$2,$AH$3,AQ$26)</f>
        <v>3.931730631905752E-2</v>
      </c>
      <c r="AR34" s="18" cm="1">
        <f t="array" ref="AR34">BS_Greek("CALL","GAMMA",$AG34,$B$1,$B$2,$AH$3,AR$26)</f>
        <v>2.9359502161316497E-2</v>
      </c>
      <c r="AS34" s="18" cm="1">
        <f t="array" ref="AS34">BS_Greek("CALL","GAMMA",$AG34,$B$1,$B$2,$AH$3,AS$26)</f>
        <v>2.422920467390802E-2</v>
      </c>
      <c r="AT34" s="18" cm="1">
        <f t="array" ref="AT34">BS_Greek("CALL","GAMMA",$AG34,$B$1,$B$2,$AH$3,AT$26)</f>
        <v>2.0977075164115507E-2</v>
      </c>
      <c r="AU34" s="31" cm="1">
        <f t="array" ref="AU34">BS_Greek("CALL","GAMMA",$AG34,$B$1,$B$2,$AH$3,AU$26)</f>
        <v>1.8675003380643759E-2</v>
      </c>
    </row>
    <row r="35" spans="1:47" x14ac:dyDescent="0.2">
      <c r="A35" s="15">
        <v>100</v>
      </c>
      <c r="B35" s="30" cm="1">
        <f t="array" ref="B35">BS_Greek("CALL","GAMMA",$A35,$B$1,$B$2,$B$3,B$6)</f>
        <v>6.3007389850102583E-2</v>
      </c>
      <c r="C35" s="18" cm="1">
        <f t="array" ref="C35">BS_Greek("CALL","GAMMA",$A35,$B$1,$B$2,$B$3,C$6)</f>
        <v>4.4502858739261318E-2</v>
      </c>
      <c r="D35" s="18" cm="1">
        <f t="array" ref="D35">BS_Greek("CALL","GAMMA",$A35,$B$1,$B$2,$B$3,D$6)</f>
        <v>3.6295576501642057E-2</v>
      </c>
      <c r="E35" s="18" cm="1">
        <f t="array" ref="E35">BS_Greek("CALL","GAMMA",$A35,$B$1,$B$2,$B$3,E$6)</f>
        <v>3.1397549176385632E-2</v>
      </c>
      <c r="F35" s="18" cm="1">
        <f t="array" ref="F35">BS_Greek("CALL","GAMMA",$A35,$B$1,$B$2,$B$3,F$6)</f>
        <v>2.8051246304186251E-2</v>
      </c>
      <c r="G35" s="18" cm="1">
        <f t="array" ref="G35">BS_Greek("CALL","GAMMA",$A35,$B$1,$B$2,$B$3,G$6)</f>
        <v>2.55783754134996E-2</v>
      </c>
      <c r="H35" s="18" cm="1">
        <f t="array" ref="H35">BS_Greek("CALL","GAMMA",$A35,$B$1,$B$2,$B$3,H$6)</f>
        <v>2.3654347961507349E-2</v>
      </c>
      <c r="I35" s="18" cm="1">
        <f t="array" ref="I35">BS_Greek("CALL","GAMMA",$A35,$B$1,$B$2,$B$3,I$6)</f>
        <v>2.2101737998123483E-2</v>
      </c>
      <c r="J35" s="18" cm="1">
        <f t="array" ref="J35">BS_Greek("CALL","GAMMA",$A35,$B$1,$B$2,$B$3,J$6)</f>
        <v>2.0814289167512139E-2</v>
      </c>
      <c r="K35" s="18" cm="1">
        <f t="array" ref="K35">BS_Greek("CALL","GAMMA",$A35,$B$1,$B$2,$B$3,K$6)</f>
        <v>1.9723966545394447E-2</v>
      </c>
      <c r="L35" s="18" cm="1">
        <f t="array" ref="L35">BS_Greek("CALL","GAMMA",$A35,$B$1,$B$2,$B$3,L$6)</f>
        <v>1.3790926583135299E-2</v>
      </c>
      <c r="M35" s="18" cm="1">
        <f t="array" ref="M35">BS_Greek("CALL","GAMMA",$A35,$B$1,$B$2,$B$3,M$6)</f>
        <v>1.1134276551152787E-2</v>
      </c>
      <c r="N35" s="18" cm="1">
        <f t="array" ref="N35">BS_Greek("CALL","GAMMA",$A35,$B$1,$B$2,$B$3,N$6)</f>
        <v>9.5346953865131021E-3</v>
      </c>
      <c r="O35" s="31" cm="1">
        <f t="array" ref="O35">BS_Greek("CALL","GAMMA",$A35,$B$1,$B$2,$B$3,O$6)</f>
        <v>8.4326874401380626E-3</v>
      </c>
      <c r="Q35" s="15">
        <v>100</v>
      </c>
      <c r="R35" s="30" cm="1">
        <f t="array" ref="R35">BS_Greek("CALL","GAMMA",$Q35,$B$1,$B$2,$R$3,R$6)</f>
        <v>4.1981596977461712E-2</v>
      </c>
      <c r="S35" s="18" cm="1">
        <f t="array" ref="S35">BS_Greek("CALL","GAMMA",$Q35,$B$1,$B$2,$R$3,S$6)</f>
        <v>2.9635625719445866E-2</v>
      </c>
      <c r="T35" s="18" cm="1">
        <f t="array" ref="T35">BS_Greek("CALL","GAMMA",$Q35,$B$1,$B$2,$R$3,T$6)</f>
        <v>2.4156756171112039E-2</v>
      </c>
      <c r="U35" s="18" cm="1">
        <f t="array" ref="U35">BS_Greek("CALL","GAMMA",$Q35,$B$1,$B$2,$R$3,U$6)</f>
        <v>2.0885236208200961E-2</v>
      </c>
      <c r="V35" s="18" cm="1">
        <f t="array" ref="V35">BS_Greek("CALL","GAMMA",$Q35,$B$1,$B$2,$R$3,V$6)</f>
        <v>1.8648956198551999E-2</v>
      </c>
      <c r="W35" s="18" cm="1">
        <f t="array" ref="W35">BS_Greek("CALL","GAMMA",$Q35,$B$1,$B$2,$R$3,W$6)</f>
        <v>1.6995504070964784E-2</v>
      </c>
      <c r="X35" s="18" cm="1">
        <f t="array" ref="X35">BS_Greek("CALL","GAMMA",$Q35,$B$1,$B$2,$R$3,X$6)</f>
        <v>1.5708358311106813E-2</v>
      </c>
      <c r="Y35" s="18" cm="1">
        <f t="array" ref="Y35">BS_Greek("CALL","GAMMA",$Q35,$B$1,$B$2,$R$3,Y$6)</f>
        <v>1.4669150678135829E-2</v>
      </c>
      <c r="Z35" s="18" cm="1">
        <f t="array" ref="Z35">BS_Greek("CALL","GAMMA",$Q35,$B$1,$B$2,$R$3,Z$6)</f>
        <v>1.3806984978133097E-2</v>
      </c>
      <c r="AA35" s="18" cm="1">
        <f t="array" ref="AA35">BS_Greek("CALL","GAMMA",$Q35,$B$1,$B$2,$R$3,AA$6)</f>
        <v>1.307646184852442E-2</v>
      </c>
      <c r="AB35" s="18" cm="1">
        <f t="array" ref="AB35">BS_Greek("CALL","GAMMA",$Q35,$B$1,$B$2,$R$3,AB$6)</f>
        <v>9.092361475410371E-3</v>
      </c>
      <c r="AC35" s="18" cm="1">
        <f t="array" ref="AC35">BS_Greek("CALL","GAMMA",$Q35,$B$1,$B$2,$R$3,AC$6)</f>
        <v>7.300162098009451E-3</v>
      </c>
      <c r="AD35" s="18" cm="1">
        <f t="array" ref="AD35">BS_Greek("CALL","GAMMA",$Q35,$B$1,$B$2,$R$3,AD$6)</f>
        <v>6.2167667801221425E-3</v>
      </c>
      <c r="AE35" s="31" cm="1">
        <f t="array" ref="AE35">BS_Greek("CALL","GAMMA",$Q35,$B$1,$B$2,$R$3,AE$6)</f>
        <v>5.4677797056007175E-3</v>
      </c>
      <c r="AG35" s="15">
        <v>100</v>
      </c>
      <c r="AH35" s="30" cm="1">
        <f t="array" ref="AH35">BS_Greek("CALL","GAMMA",$AG35,$B$1,$B$2,$AH$3,AH$26)</f>
        <v>0.12601477970020517</v>
      </c>
      <c r="AI35" s="18" cm="1">
        <f t="array" ref="AI35">BS_Greek("CALL","GAMMA",$AG35,$B$1,$B$2,$AH$3,AI$26)</f>
        <v>8.9005717478522636E-2</v>
      </c>
      <c r="AJ35" s="18" cm="1">
        <f t="array" ref="AJ35">BS_Greek("CALL","GAMMA",$AG35,$B$1,$B$2,$AH$3,AJ$26)</f>
        <v>7.2591153003284115E-2</v>
      </c>
      <c r="AK35" s="18" cm="1">
        <f t="array" ref="AK35">BS_Greek("CALL","GAMMA",$AG35,$B$1,$B$2,$AH$3,AK$26)</f>
        <v>6.2795098352771264E-2</v>
      </c>
      <c r="AL35" s="18" cm="1">
        <f t="array" ref="AL35">BS_Greek("CALL","GAMMA",$AG35,$B$1,$B$2,$AH$3,AL$26)</f>
        <v>5.6102492608372502E-2</v>
      </c>
      <c r="AM35" s="18" cm="1">
        <f t="array" ref="AM35">BS_Greek("CALL","GAMMA",$AG35,$B$1,$B$2,$AH$3,AM$26)</f>
        <v>5.1156750826999199E-2</v>
      </c>
      <c r="AN35" s="18" cm="1">
        <f t="array" ref="AN35">BS_Greek("CALL","GAMMA",$AG35,$B$1,$B$2,$AH$3,AN$26)</f>
        <v>4.7308695923014697E-2</v>
      </c>
      <c r="AO35" s="18" cm="1">
        <f t="array" ref="AO35">BS_Greek("CALL","GAMMA",$AG35,$B$1,$B$2,$AH$3,AO$26)</f>
        <v>4.4203475996246966E-2</v>
      </c>
      <c r="AP35" s="18" cm="1">
        <f t="array" ref="AP35">BS_Greek("CALL","GAMMA",$AG35,$B$1,$B$2,$AH$3,AP$26)</f>
        <v>4.1628578335024279E-2</v>
      </c>
      <c r="AQ35" s="18" cm="1">
        <f t="array" ref="AQ35">BS_Greek("CALL","GAMMA",$AG35,$B$1,$B$2,$AH$3,AQ$26)</f>
        <v>3.9447933090788895E-2</v>
      </c>
      <c r="AR35" s="18" cm="1">
        <f t="array" ref="AR35">BS_Greek("CALL","GAMMA",$AG35,$B$1,$B$2,$AH$3,AR$26)</f>
        <v>2.7581853166270598E-2</v>
      </c>
      <c r="AS35" s="18" cm="1">
        <f t="array" ref="AS35">BS_Greek("CALL","GAMMA",$AG35,$B$1,$B$2,$AH$3,AS$26)</f>
        <v>2.2268553102305574E-2</v>
      </c>
      <c r="AT35" s="18" cm="1">
        <f t="array" ref="AT35">BS_Greek("CALL","GAMMA",$AG35,$B$1,$B$2,$AH$3,AT$26)</f>
        <v>1.9069390773026208E-2</v>
      </c>
      <c r="AU35" s="31" cm="1">
        <f t="array" ref="AU35">BS_Greek("CALL","GAMMA",$AG35,$B$1,$B$2,$AH$3,AU$26)</f>
        <v>1.6865374880276125E-2</v>
      </c>
    </row>
    <row r="36" spans="1:47" x14ac:dyDescent="0.2">
      <c r="A36" s="15">
        <v>105</v>
      </c>
      <c r="B36" s="30" cm="1">
        <f t="array" ref="B36">BS_Greek("CALL","GAMMA",$A36,$B$1,$B$2,$B$3,B$6)</f>
        <v>4.2961708392642108E-2</v>
      </c>
      <c r="C36" s="18" cm="1">
        <f t="array" ref="C36">BS_Greek("CALL","GAMMA",$A36,$B$1,$B$2,$B$3,C$6)</f>
        <v>3.5212130286942131E-2</v>
      </c>
      <c r="D36" s="18" cm="1">
        <f t="array" ref="D36">BS_Greek("CALL","GAMMA",$A36,$B$1,$B$2,$B$3,D$6)</f>
        <v>3.0178399358531966E-2</v>
      </c>
      <c r="E36" s="18" cm="1">
        <f t="array" ref="E36">BS_Greek("CALL","GAMMA",$A36,$B$1,$B$2,$B$3,E$6)</f>
        <v>2.6761306237360671E-2</v>
      </c>
      <c r="F36" s="18" cm="1">
        <f t="array" ref="F36">BS_Greek("CALL","GAMMA",$A36,$B$1,$B$2,$B$3,F$6)</f>
        <v>2.4267506445708336E-2</v>
      </c>
      <c r="G36" s="18" cm="1">
        <f t="array" ref="G36">BS_Greek("CALL","GAMMA",$A36,$B$1,$B$2,$B$3,G$6)</f>
        <v>2.2348767206295847E-2</v>
      </c>
      <c r="H36" s="18" cm="1">
        <f t="array" ref="H36">BS_Greek("CALL","GAMMA",$A36,$B$1,$B$2,$B$3,H$6)</f>
        <v>2.0814619144845083E-2</v>
      </c>
      <c r="I36" s="18" cm="1">
        <f t="array" ref="I36">BS_Greek("CALL","GAMMA",$A36,$B$1,$B$2,$B$3,I$6)</f>
        <v>1.9552017122180458E-2</v>
      </c>
      <c r="J36" s="18" cm="1">
        <f t="array" ref="J36">BS_Greek("CALL","GAMMA",$A36,$B$1,$B$2,$B$3,J$6)</f>
        <v>1.8489346824041981E-2</v>
      </c>
      <c r="K36" s="18" cm="1">
        <f t="array" ref="K36">BS_Greek("CALL","GAMMA",$A36,$B$1,$B$2,$B$3,K$6)</f>
        <v>1.7578836087368842E-2</v>
      </c>
      <c r="L36" s="18" cm="1">
        <f t="array" ref="L36">BS_Greek("CALL","GAMMA",$A36,$B$1,$B$2,$B$3,L$6)</f>
        <v>1.2475292570391814E-2</v>
      </c>
      <c r="M36" s="18" cm="1">
        <f t="array" ref="M36">BS_Greek("CALL","GAMMA",$A36,$B$1,$B$2,$B$3,M$6)</f>
        <v>1.0122157910866229E-2</v>
      </c>
      <c r="N36" s="18" cm="1">
        <f t="array" ref="N36">BS_Greek("CALL","GAMMA",$A36,$B$1,$B$2,$B$3,N$6)</f>
        <v>8.6895009017126795E-3</v>
      </c>
      <c r="O36" s="31" cm="1">
        <f t="array" ref="O36">BS_Greek("CALL","GAMMA",$A36,$B$1,$B$2,$B$3,O$6)</f>
        <v>7.6966219777363509E-3</v>
      </c>
      <c r="Q36" s="15">
        <v>105</v>
      </c>
      <c r="R36" s="30" cm="1">
        <f t="array" ref="R36">BS_Greek("CALL","GAMMA",$Q36,$B$1,$B$2,$R$3,R$6)</f>
        <v>3.4000529020197345E-2</v>
      </c>
      <c r="S36" s="18" cm="1">
        <f t="array" ref="S36">BS_Greek("CALL","GAMMA",$Q36,$B$1,$B$2,$R$3,S$6)</f>
        <v>2.5642378317564649E-2</v>
      </c>
      <c r="T36" s="18" cm="1">
        <f t="array" ref="T36">BS_Greek("CALL","GAMMA",$Q36,$B$1,$B$2,$R$3,T$6)</f>
        <v>2.1367578691690262E-2</v>
      </c>
      <c r="U36" s="18" cm="1">
        <f t="array" ref="U36">BS_Greek("CALL","GAMMA",$Q36,$B$1,$B$2,$R$3,U$6)</f>
        <v>1.8678514542129085E-2</v>
      </c>
      <c r="V36" s="18" cm="1">
        <f t="array" ref="V36">BS_Greek("CALL","GAMMA",$Q36,$B$1,$B$2,$R$3,V$6)</f>
        <v>1.6789169768697553E-2</v>
      </c>
      <c r="W36" s="18" cm="1">
        <f t="array" ref="W36">BS_Greek("CALL","GAMMA",$Q36,$B$1,$B$2,$R$3,W$6)</f>
        <v>1.5368208376167368E-2</v>
      </c>
      <c r="X36" s="18" cm="1">
        <f t="array" ref="X36">BS_Greek("CALL","GAMMA",$Q36,$B$1,$B$2,$R$3,X$6)</f>
        <v>1.4249101786859474E-2</v>
      </c>
      <c r="Y36" s="18" cm="1">
        <f t="array" ref="Y36">BS_Greek("CALL","GAMMA",$Q36,$B$1,$B$2,$R$3,Y$6)</f>
        <v>1.3337894677823488E-2</v>
      </c>
      <c r="Z36" s="18" cm="1">
        <f t="array" ref="Z36">BS_Greek("CALL","GAMMA",$Q36,$B$1,$B$2,$R$3,Z$6)</f>
        <v>1.2577052515957669E-2</v>
      </c>
      <c r="AA36" s="18" cm="1">
        <f t="array" ref="AA36">BS_Greek("CALL","GAMMA",$Q36,$B$1,$B$2,$R$3,AA$6)</f>
        <v>1.1929120878360653E-2</v>
      </c>
      <c r="AB36" s="18" cm="1">
        <f t="array" ref="AB36">BS_Greek("CALL","GAMMA",$Q36,$B$1,$B$2,$R$3,AB$6)</f>
        <v>8.3496184427614955E-3</v>
      </c>
      <c r="AC36" s="18" cm="1">
        <f t="array" ref="AC36">BS_Greek("CALL","GAMMA",$Q36,$B$1,$B$2,$R$3,AC$6)</f>
        <v>6.7186139847336453E-3</v>
      </c>
      <c r="AD36" s="18" cm="1">
        <f t="array" ref="AD36">BS_Greek("CALL","GAMMA",$Q36,$B$1,$B$2,$R$3,AD$6)</f>
        <v>5.7278335105389279E-3</v>
      </c>
      <c r="AE36" s="31" cm="1">
        <f t="array" ref="AE36">BS_Greek("CALL","GAMMA",$Q36,$B$1,$B$2,$R$3,AE$6)</f>
        <v>5.0410846970877594E-3</v>
      </c>
      <c r="AG36" s="15">
        <v>105</v>
      </c>
      <c r="AH36" s="30" cm="1">
        <f t="array" ref="AH36">BS_Greek("CALL","GAMMA",$AG36,$B$1,$B$2,$AH$3,AH$26)</f>
        <v>3.3926069444668285E-2</v>
      </c>
      <c r="AI36" s="18" cm="1">
        <f t="array" ref="AI36">BS_Greek("CALL","GAMMA",$AG36,$B$1,$B$2,$AH$3,AI$26)</f>
        <v>4.3449753071981678E-2</v>
      </c>
      <c r="AJ36" s="18" cm="1">
        <f t="array" ref="AJ36">BS_Greek("CALL","GAMMA",$AG36,$B$1,$B$2,$AH$3,AJ$26)</f>
        <v>4.3212117686085308E-2</v>
      </c>
      <c r="AK36" s="18" cm="1">
        <f t="array" ref="AK36">BS_Greek("CALL","GAMMA",$AG36,$B$1,$B$2,$AH$3,AK$26)</f>
        <v>4.1278492158452369E-2</v>
      </c>
      <c r="AL36" s="18" cm="1">
        <f t="array" ref="AL36">BS_Greek("CALL","GAMMA",$AG36,$B$1,$B$2,$AH$3,AL$26)</f>
        <v>3.9140464152421513E-2</v>
      </c>
      <c r="AM36" s="18" cm="1">
        <f t="array" ref="AM36">BS_Greek("CALL","GAMMA",$AG36,$B$1,$B$2,$AH$3,AM$26)</f>
        <v>3.7134472308525492E-2</v>
      </c>
      <c r="AN36" s="18" cm="1">
        <f t="array" ref="AN36">BS_Greek("CALL","GAMMA",$AG36,$B$1,$B$2,$AH$3,AN$26)</f>
        <v>3.5328302741473978E-2</v>
      </c>
      <c r="AO36" s="18" cm="1">
        <f t="array" ref="AO36">BS_Greek("CALL","GAMMA",$AG36,$B$1,$B$2,$AH$3,AO$26)</f>
        <v>3.3718545937390328E-2</v>
      </c>
      <c r="AP36" s="18" cm="1">
        <f t="array" ref="AP36">BS_Greek("CALL","GAMMA",$AG36,$B$1,$B$2,$AH$3,AP$26)</f>
        <v>3.2283704705699044E-2</v>
      </c>
      <c r="AQ36" s="18" cm="1">
        <f t="array" ref="AQ36">BS_Greek("CALL","GAMMA",$AG36,$B$1,$B$2,$AH$3,AQ$26)</f>
        <v>3.0999845988993836E-2</v>
      </c>
      <c r="AR36" s="18" cm="1">
        <f t="array" ref="AR36">BS_Greek("CALL","GAMMA",$AG36,$B$1,$B$2,$AH$3,AR$26)</f>
        <v>2.3004058320651034E-2</v>
      </c>
      <c r="AS36" s="18" cm="1">
        <f t="array" ref="AS36">BS_Greek("CALL","GAMMA",$AG36,$B$1,$B$2,$AH$3,AS$26)</f>
        <v>1.8944723118837964E-2</v>
      </c>
      <c r="AT36" s="18" cm="1">
        <f t="array" ref="AT36">BS_Greek("CALL","GAMMA",$AG36,$B$1,$B$2,$AH$3,AT$26)</f>
        <v>1.6384783361470954E-2</v>
      </c>
      <c r="AU36" s="31" cm="1">
        <f t="array" ref="AU36">BS_Greek("CALL","GAMMA",$AG36,$B$1,$B$2,$AH$3,AU$26)</f>
        <v>1.457754724330231E-2</v>
      </c>
    </row>
    <row r="37" spans="1:47" x14ac:dyDescent="0.2">
      <c r="A37" s="15">
        <v>110</v>
      </c>
      <c r="B37" s="30" cm="1">
        <f t="array" ref="B37">BS_Greek("CALL","GAMMA",$A37,$B$1,$B$2,$B$3,B$6)</f>
        <v>1.7132125878144413E-2</v>
      </c>
      <c r="C37" s="18" cm="1">
        <f t="array" ref="C37">BS_Greek("CALL","GAMMA",$A37,$B$1,$B$2,$B$3,C$6)</f>
        <v>2.1349081451222499E-2</v>
      </c>
      <c r="D37" s="18" cm="1">
        <f t="array" ref="D37">BS_Greek("CALL","GAMMA",$A37,$B$1,$B$2,$B$3,D$6)</f>
        <v>2.1039503593612036E-2</v>
      </c>
      <c r="E37" s="18" cm="1">
        <f t="array" ref="E37">BS_Greek("CALL","GAMMA",$A37,$B$1,$B$2,$B$3,E$6)</f>
        <v>2.0006577096239694E-2</v>
      </c>
      <c r="F37" s="18" cm="1">
        <f t="array" ref="F37">BS_Greek("CALL","GAMMA",$A37,$B$1,$B$2,$B$3,F$6)</f>
        <v>1.8918485039079759E-2</v>
      </c>
      <c r="G37" s="18" cm="1">
        <f t="array" ref="G37">BS_Greek("CALL","GAMMA",$A37,$B$1,$B$2,$B$3,G$6)</f>
        <v>1.7916173218194175E-2</v>
      </c>
      <c r="H37" s="18" cm="1">
        <f t="array" ref="H37">BS_Greek("CALL","GAMMA",$A37,$B$1,$B$2,$B$3,H$6)</f>
        <v>1.7022556226213847E-2</v>
      </c>
      <c r="I37" s="18" cm="1">
        <f t="array" ref="I37">BS_Greek("CALL","GAMMA",$A37,$B$1,$B$2,$B$3,I$6)</f>
        <v>1.6231040004613291E-2</v>
      </c>
      <c r="J37" s="18" cm="1">
        <f t="array" ref="J37">BS_Greek("CALL","GAMMA",$A37,$B$1,$B$2,$B$3,J$6)</f>
        <v>1.5528543194402064E-2</v>
      </c>
      <c r="K37" s="18" cm="1">
        <f t="array" ref="K37">BS_Greek("CALL","GAMMA",$A37,$B$1,$B$2,$B$3,K$6)</f>
        <v>1.4901938093572724E-2</v>
      </c>
      <c r="L37" s="18" cm="1">
        <f t="array" ref="L37">BS_Greek("CALL","GAMMA",$A37,$B$1,$B$2,$B$3,L$6)</f>
        <v>1.1028059378052653E-2</v>
      </c>
      <c r="M37" s="18" cm="1">
        <f t="array" ref="M37">BS_Greek("CALL","GAMMA",$A37,$B$1,$B$2,$B$3,M$6)</f>
        <v>9.0737477955800411E-3</v>
      </c>
      <c r="N37" s="18" cm="1">
        <f t="array" ref="N37">BS_Greek("CALL","GAMMA",$A37,$B$1,$B$2,$B$3,N$6)</f>
        <v>7.8440625463605997E-3</v>
      </c>
      <c r="O37" s="31" cm="1">
        <f t="array" ref="O37">BS_Greek("CALL","GAMMA",$A37,$B$1,$B$2,$B$3,O$6)</f>
        <v>6.9769553505238452E-3</v>
      </c>
      <c r="Q37" s="15">
        <v>110</v>
      </c>
      <c r="R37" s="30" cm="1">
        <f t="array" ref="R37">BS_Greek("CALL","GAMMA",$Q37,$B$1,$B$2,$R$3,R$6)</f>
        <v>2.1736822486638243E-2</v>
      </c>
      <c r="S37" s="18" cm="1">
        <f t="array" ref="S37">BS_Greek("CALL","GAMMA",$Q37,$B$1,$B$2,$R$3,S$6)</f>
        <v>1.9748701502398162E-2</v>
      </c>
      <c r="T37" s="18" cm="1">
        <f t="array" ref="T37">BS_Greek("CALL","GAMMA",$Q37,$B$1,$B$2,$R$3,T$6)</f>
        <v>1.7510243021562299E-2</v>
      </c>
      <c r="U37" s="18" cm="1">
        <f t="array" ref="U37">BS_Greek("CALL","GAMMA",$Q37,$B$1,$B$2,$R$3,U$6)</f>
        <v>1.5789104753624824E-2</v>
      </c>
      <c r="V37" s="18" cm="1">
        <f t="array" ref="V37">BS_Greek("CALL","GAMMA",$Q37,$B$1,$B$2,$R$3,V$6)</f>
        <v>1.4458770943216178E-2</v>
      </c>
      <c r="W37" s="18" cm="1">
        <f t="array" ref="W37">BS_Greek("CALL","GAMMA",$Q37,$B$1,$B$2,$R$3,W$6)</f>
        <v>1.3400367884206782E-2</v>
      </c>
      <c r="X37" s="18" cm="1">
        <f t="array" ref="X37">BS_Greek("CALL","GAMMA",$Q37,$B$1,$B$2,$R$3,X$6)</f>
        <v>1.2535218696786308E-2</v>
      </c>
      <c r="Y37" s="18" cm="1">
        <f t="array" ref="Y37">BS_Greek("CALL","GAMMA",$Q37,$B$1,$B$2,$R$3,Y$6)</f>
        <v>1.1811904293602779E-2</v>
      </c>
      <c r="Z37" s="18" cm="1">
        <f t="array" ref="Z37">BS_Greek("CALL","GAMMA",$Q37,$B$1,$B$2,$R$3,Z$6)</f>
        <v>1.1195871235951031E-2</v>
      </c>
      <c r="AA37" s="18" cm="1">
        <f t="array" ref="AA37">BS_Greek("CALL","GAMMA",$Q37,$B$1,$B$2,$R$3,AA$6)</f>
        <v>1.0663126660408759E-2</v>
      </c>
      <c r="AB37" s="18" cm="1">
        <f t="array" ref="AB37">BS_Greek("CALL","GAMMA",$Q37,$B$1,$B$2,$R$3,AB$6)</f>
        <v>7.603783522576131E-3</v>
      </c>
      <c r="AC37" s="18" cm="1">
        <f t="array" ref="AC37">BS_Greek("CALL","GAMMA",$Q37,$B$1,$B$2,$R$3,AC$6)</f>
        <v>6.1565649557768741E-3</v>
      </c>
      <c r="AD37" s="18" cm="1">
        <f t="array" ref="AD37">BS_Greek("CALL","GAMMA",$Q37,$B$1,$B$2,$R$3,AD$6)</f>
        <v>5.2649832426331956E-3</v>
      </c>
      <c r="AE37" s="31" cm="1">
        <f t="array" ref="AE37">BS_Greek("CALL","GAMMA",$Q37,$B$1,$B$2,$R$3,AE$6)</f>
        <v>4.6423651796184996E-3</v>
      </c>
      <c r="AG37" s="15">
        <v>110</v>
      </c>
      <c r="AH37" s="30" cm="1">
        <f t="array" ref="AH37">BS_Greek("CALL","GAMMA",$AG37,$B$1,$B$2,$AH$3,AH$26)</f>
        <v>1.0577125055269184E-3</v>
      </c>
      <c r="AI37" s="18" cm="1">
        <f t="array" ref="AI37">BS_Greek("CALL","GAMMA",$AG37,$B$1,$B$2,$AH$3,AI$26)</f>
        <v>7.2385257929532482E-3</v>
      </c>
      <c r="AJ37" s="18" cm="1">
        <f t="array" ref="AJ37">BS_Greek("CALL","GAMMA",$AG37,$B$1,$B$2,$AH$3,AJ$26)</f>
        <v>1.2585716288856257E-2</v>
      </c>
      <c r="AK37" s="18" cm="1">
        <f t="array" ref="AK37">BS_Greek("CALL","GAMMA",$AG37,$B$1,$B$2,$AH$3,AK$26)</f>
        <v>1.5896481134192911E-2</v>
      </c>
      <c r="AL37" s="18" cm="1">
        <f t="array" ref="AL37">BS_Greek("CALL","GAMMA",$AG37,$B$1,$B$2,$AH$3,AL$26)</f>
        <v>1.7823213843019738E-2</v>
      </c>
      <c r="AM37" s="18" cm="1">
        <f t="array" ref="AM37">BS_Greek("CALL","GAMMA",$AG37,$B$1,$B$2,$AH$3,AM$26)</f>
        <v>1.8908593172743498E-2</v>
      </c>
      <c r="AN37" s="18" cm="1">
        <f t="array" ref="AN37">BS_Greek("CALL","GAMMA",$AG37,$B$1,$B$2,$AH$3,AN$26)</f>
        <v>1.9483332622964509E-2</v>
      </c>
      <c r="AO37" s="18" cm="1">
        <f t="array" ref="AO37">BS_Greek("CALL","GAMMA",$AG37,$B$1,$B$2,$AH$3,AO$26)</f>
        <v>1.9742547542846395E-2</v>
      </c>
      <c r="AP37" s="18" cm="1">
        <f t="array" ref="AP37">BS_Greek("CALL","GAMMA",$AG37,$B$1,$B$2,$AH$3,AP$26)</f>
        <v>1.9803191408745979E-2</v>
      </c>
      <c r="AQ37" s="18" cm="1">
        <f t="array" ref="AQ37">BS_Greek("CALL","GAMMA",$AG37,$B$1,$B$2,$AH$3,AQ$26)</f>
        <v>1.9737190221859435E-2</v>
      </c>
      <c r="AR37" s="18" cm="1">
        <f t="array" ref="AR37">BS_Greek("CALL","GAMMA",$AG37,$B$1,$B$2,$AH$3,AR$26)</f>
        <v>1.7318613598151577E-2</v>
      </c>
      <c r="AS37" s="18" cm="1">
        <f t="array" ref="AS37">BS_Greek("CALL","GAMMA",$AG37,$B$1,$B$2,$AH$3,AS$26)</f>
        <v>1.5081963394812057E-2</v>
      </c>
      <c r="AT37" s="18" cm="1">
        <f t="array" ref="AT37">BS_Greek("CALL","GAMMA",$AG37,$B$1,$B$2,$AH$3,AT$26)</f>
        <v>1.3413459498534529E-2</v>
      </c>
      <c r="AU37" s="31" cm="1">
        <f t="array" ref="AU37">BS_Greek("CALL","GAMMA",$AG37,$B$1,$B$2,$AH$3,AU$26)</f>
        <v>1.2135644435772964E-2</v>
      </c>
    </row>
    <row r="38" spans="1:47" x14ac:dyDescent="0.2">
      <c r="A38" s="15">
        <v>115</v>
      </c>
      <c r="B38" s="30" cm="1">
        <f t="array" ref="B38">BS_Greek("CALL","GAMMA",$A38,$B$1,$B$2,$B$3,B$6)</f>
        <v>4.293033327812704E-3</v>
      </c>
      <c r="C38" s="18" cm="1">
        <f t="array" ref="C38">BS_Greek("CALL","GAMMA",$A38,$B$1,$B$2,$B$3,C$6)</f>
        <v>1.0279303406877476E-2</v>
      </c>
      <c r="D38" s="18" cm="1">
        <f t="array" ref="D38">BS_Greek("CALL","GAMMA",$A38,$B$1,$B$2,$B$3,D$6)</f>
        <v>1.259400347775148E-2</v>
      </c>
      <c r="E38" s="18" cm="1">
        <f t="array" ref="E38">BS_Greek("CALL","GAMMA",$A38,$B$1,$B$2,$B$3,E$6)</f>
        <v>1.3352820984703351E-2</v>
      </c>
      <c r="F38" s="18" cm="1">
        <f t="array" ref="F38">BS_Greek("CALL","GAMMA",$A38,$B$1,$B$2,$B$3,F$6)</f>
        <v>1.3478753756809105E-2</v>
      </c>
      <c r="G38" s="18" cm="1">
        <f t="array" ref="G38">BS_Greek("CALL","GAMMA",$A38,$B$1,$B$2,$B$3,G$6)</f>
        <v>1.3332678349343829E-2</v>
      </c>
      <c r="H38" s="18" cm="1">
        <f t="array" ref="H38">BS_Greek("CALL","GAMMA",$A38,$B$1,$B$2,$B$3,H$6)</f>
        <v>1.306782132810054E-2</v>
      </c>
      <c r="I38" s="18" cm="1">
        <f t="array" ref="I38">BS_Greek("CALL","GAMMA",$A38,$B$1,$B$2,$B$3,I$6)</f>
        <v>1.2754236173725023E-2</v>
      </c>
      <c r="J38" s="18" cm="1">
        <f t="array" ref="J38">BS_Greek("CALL","GAMMA",$A38,$B$1,$B$2,$B$3,J$6)</f>
        <v>1.2425602990436633E-2</v>
      </c>
      <c r="K38" s="18" cm="1">
        <f t="array" ref="K38">BS_Greek("CALL","GAMMA",$A38,$B$1,$B$2,$B$3,K$6)</f>
        <v>1.2098525266351955E-2</v>
      </c>
      <c r="L38" s="18" cm="1">
        <f t="array" ref="L38">BS_Greek("CALL","GAMMA",$A38,$B$1,$B$2,$B$3,L$6)</f>
        <v>9.5576676672171155E-3</v>
      </c>
      <c r="M38" s="18" cm="1">
        <f t="array" ref="M38">BS_Greek("CALL","GAMMA",$A38,$B$1,$B$2,$B$3,M$6)</f>
        <v>8.0369990403848408E-3</v>
      </c>
      <c r="N38" s="18" cm="1">
        <f t="array" ref="N38">BS_Greek("CALL","GAMMA",$A38,$B$1,$B$2,$B$3,N$6)</f>
        <v>7.0238536178371452E-3</v>
      </c>
      <c r="O38" s="31" cm="1">
        <f t="array" ref="O38">BS_Greek("CALL","GAMMA",$A38,$B$1,$B$2,$B$3,O$6)</f>
        <v>6.2883493733863092E-3</v>
      </c>
      <c r="Q38" s="15">
        <v>115</v>
      </c>
      <c r="R38" s="30" cm="1">
        <f t="array" ref="R38">BS_Greek("CALL","GAMMA",$Q38,$B$1,$B$2,$R$3,R$6)</f>
        <v>1.1323389096223548E-2</v>
      </c>
      <c r="S38" s="18" cm="1">
        <f t="array" ref="S38">BS_Greek("CALL","GAMMA",$Q38,$B$1,$B$2,$R$3,S$6)</f>
        <v>1.3752363931184041E-2</v>
      </c>
      <c r="T38" s="18" cm="1">
        <f t="array" ref="T38">BS_Greek("CALL","GAMMA",$Q38,$B$1,$B$2,$R$3,T$6)</f>
        <v>1.3432302518922605E-2</v>
      </c>
      <c r="U38" s="18" cm="1">
        <f t="array" ref="U38">BS_Greek("CALL","GAMMA",$Q38,$B$1,$B$2,$R$3,U$6)</f>
        <v>1.2712341075815795E-2</v>
      </c>
      <c r="V38" s="18" cm="1">
        <f t="array" ref="V38">BS_Greek("CALL","GAMMA",$Q38,$B$1,$B$2,$R$3,V$6)</f>
        <v>1.1984095247208171E-2</v>
      </c>
      <c r="W38" s="18" cm="1">
        <f t="array" ref="W38">BS_Greek("CALL","GAMMA",$Q38,$B$1,$B$2,$R$3,W$6)</f>
        <v>1.1323860006353008E-2</v>
      </c>
      <c r="X38" s="18" cm="1">
        <f t="array" ref="X38">BS_Greek("CALL","GAMMA",$Q38,$B$1,$B$2,$R$3,X$6)</f>
        <v>1.0740202466580619E-2</v>
      </c>
      <c r="Y38" s="18" cm="1">
        <f t="array" ref="Y38">BS_Greek("CALL","GAMMA",$Q38,$B$1,$B$2,$R$3,Y$6)</f>
        <v>1.0225923975723967E-2</v>
      </c>
      <c r="Z38" s="18" cm="1">
        <f t="array" ref="Z38">BS_Greek("CALL","GAMMA",$Q38,$B$1,$B$2,$R$3,Z$6)</f>
        <v>9.7710707636894829E-3</v>
      </c>
      <c r="AA38" s="18" cm="1">
        <f t="array" ref="AA38">BS_Greek("CALL","GAMMA",$Q38,$B$1,$B$2,$R$3,AA$6)</f>
        <v>9.366344559542529E-3</v>
      </c>
      <c r="AB38" s="18" cm="1">
        <f t="array" ref="AB38">BS_Greek("CALL","GAMMA",$Q38,$B$1,$B$2,$R$3,AB$6)</f>
        <v>6.8757669831697619E-3</v>
      </c>
      <c r="AC38" s="18" cm="1">
        <f t="array" ref="AC38">BS_Greek("CALL","GAMMA",$Q38,$B$1,$B$2,$R$3,AC$6)</f>
        <v>5.6212360131347814E-3</v>
      </c>
      <c r="AD38" s="18" cm="1">
        <f t="array" ref="AD38">BS_Greek("CALL","GAMMA",$Q38,$B$1,$B$2,$R$3,AD$6)</f>
        <v>4.8304914892427558E-3</v>
      </c>
      <c r="AE38" s="31" cm="1">
        <f t="array" ref="AE38">BS_Greek("CALL","GAMMA",$Q38,$B$1,$B$2,$R$3,AE$6)</f>
        <v>4.2716357498546308E-3</v>
      </c>
      <c r="AG38" s="15">
        <v>115</v>
      </c>
      <c r="AH38" s="30" cm="1">
        <f t="array" ref="AH38">BS_Greek("CALL","GAMMA",$AG38,$B$1,$B$2,$AH$3,AH$26)</f>
        <v>5.0939285700327113E-6</v>
      </c>
      <c r="AI38" s="18" cm="1">
        <f t="array" ref="AI38">BS_Greek("CALL","GAMMA",$AG38,$B$1,$B$2,$AH$3,AI$26)</f>
        <v>4.751834300064429E-4</v>
      </c>
      <c r="AJ38" s="18" cm="1">
        <f t="array" ref="AJ38">BS_Greek("CALL","GAMMA",$AG38,$B$1,$B$2,$AH$3,AJ$26)</f>
        <v>1.9736239926009679E-3</v>
      </c>
      <c r="AK38" s="18" cm="1">
        <f t="array" ref="AK38">BS_Greek("CALL","GAMMA",$AG38,$B$1,$B$2,$AH$3,AK$26)</f>
        <v>3.852788206715317E-3</v>
      </c>
      <c r="AL38" s="18" cm="1">
        <f t="array" ref="AL38">BS_Greek("CALL","GAMMA",$AG38,$B$1,$B$2,$AH$3,AL$26)</f>
        <v>5.6093527215653801E-3</v>
      </c>
      <c r="AM38" s="18" cm="1">
        <f t="array" ref="AM38">BS_Greek("CALL","GAMMA",$AG38,$B$1,$B$2,$AH$3,AM$26)</f>
        <v>7.0830615084530816E-3</v>
      </c>
      <c r="AN38" s="18" cm="1">
        <f t="array" ref="AN38">BS_Greek("CALL","GAMMA",$AG38,$B$1,$B$2,$AH$3,AN$26)</f>
        <v>8.2651375479295131E-3</v>
      </c>
      <c r="AO38" s="18" cm="1">
        <f t="array" ref="AO38">BS_Greek("CALL","GAMMA",$AG38,$B$1,$B$2,$AH$3,AO$26)</f>
        <v>9.19409140342148E-3</v>
      </c>
      <c r="AP38" s="18" cm="1">
        <f t="array" ref="AP38">BS_Greek("CALL","GAMMA",$AG38,$B$1,$B$2,$AH$3,AP$26)</f>
        <v>9.9164315716425786E-3</v>
      </c>
      <c r="AQ38" s="18" cm="1">
        <f t="array" ref="AQ38">BS_Greek("CALL","GAMMA",$AG38,$B$1,$B$2,$AH$3,AQ$26)</f>
        <v>1.0474112849205516E-2</v>
      </c>
      <c r="AR38" s="18" cm="1">
        <f t="array" ref="AR38">BS_Greek("CALL","GAMMA",$AG38,$B$1,$B$2,$AH$3,AR$26)</f>
        <v>1.1934318929118741E-2</v>
      </c>
      <c r="AS38" s="18" cm="1">
        <f t="array" ref="AS38">BS_Greek("CALL","GAMMA",$AG38,$B$1,$B$2,$AH$3,AS$26)</f>
        <v>1.1338612960202374E-2</v>
      </c>
      <c r="AT38" s="18" cm="1">
        <f t="array" ref="AT38">BS_Greek("CALL","GAMMA",$AG38,$B$1,$B$2,$AH$3,AT$26)</f>
        <v>1.053298866360371E-2</v>
      </c>
      <c r="AU38" s="31" cm="1">
        <f t="array" ref="AU38">BS_Greek("CALL","GAMMA",$AG38,$B$1,$B$2,$AH$3,AU$26)</f>
        <v>9.7818031211006854E-3</v>
      </c>
    </row>
    <row r="39" spans="1:47" x14ac:dyDescent="0.2">
      <c r="A39" s="15">
        <v>120</v>
      </c>
      <c r="B39" s="30" cm="1">
        <f t="array" ref="B39">BS_Greek("CALL","GAMMA",$A39,$B$1,$B$2,$B$3,B$6)</f>
        <v>7.1823787351586244E-4</v>
      </c>
      <c r="C39" s="18" cm="1">
        <f t="array" ref="C39">BS_Greek("CALL","GAMMA",$A39,$B$1,$B$2,$B$3,C$6)</f>
        <v>4.0508179535475647E-3</v>
      </c>
      <c r="D39" s="18" cm="1">
        <f t="array" ref="D39">BS_Greek("CALL","GAMMA",$A39,$B$1,$B$2,$B$3,D$6)</f>
        <v>6.6034037139998071E-3</v>
      </c>
      <c r="E39" s="18" cm="1">
        <f t="array" ref="E39">BS_Greek("CALL","GAMMA",$A39,$B$1,$B$2,$B$3,E$6)</f>
        <v>8.0758746095868535E-3</v>
      </c>
      <c r="F39" s="18" cm="1">
        <f t="array" ref="F39">BS_Greek("CALL","GAMMA",$A39,$B$1,$B$2,$B$3,F$6)</f>
        <v>8.881243547387634E-3</v>
      </c>
      <c r="G39" s="18" cm="1">
        <f t="array" ref="G39">BS_Greek("CALL","GAMMA",$A39,$B$1,$B$2,$B$3,G$6)</f>
        <v>9.3013597568778455E-3</v>
      </c>
      <c r="H39" s="18" cm="1">
        <f t="array" ref="H39">BS_Greek("CALL","GAMMA",$A39,$B$1,$B$2,$B$3,H$6)</f>
        <v>9.496205086649636E-3</v>
      </c>
      <c r="I39" s="18" cm="1">
        <f t="array" ref="I39">BS_Greek("CALL","GAMMA",$A39,$B$1,$B$2,$B$3,I$6)</f>
        <v>9.5562993383245896E-3</v>
      </c>
      <c r="J39" s="18" cm="1">
        <f t="array" ref="J39">BS_Greek("CALL","GAMMA",$A39,$B$1,$B$2,$B$3,J$6)</f>
        <v>9.5342861100476337E-3</v>
      </c>
      <c r="K39" s="18" cm="1">
        <f t="array" ref="K39">BS_Greek("CALL","GAMMA",$A39,$B$1,$B$2,$B$3,K$6)</f>
        <v>9.46175015661453E-3</v>
      </c>
      <c r="L39" s="18" cm="1">
        <f t="array" ref="L39">BS_Greek("CALL","GAMMA",$A39,$B$1,$B$2,$B$3,L$6)</f>
        <v>8.1432630811320347E-3</v>
      </c>
      <c r="M39" s="18" cm="1">
        <f t="array" ref="M39">BS_Greek("CALL","GAMMA",$A39,$B$1,$B$2,$B$3,M$6)</f>
        <v>7.0460051549628569E-3</v>
      </c>
      <c r="N39" s="18" cm="1">
        <f t="array" ref="N39">BS_Greek("CALL","GAMMA",$A39,$B$1,$B$2,$B$3,N$6)</f>
        <v>6.2463417557349936E-3</v>
      </c>
      <c r="O39" s="31" cm="1">
        <f t="array" ref="O39">BS_Greek("CALL","GAMMA",$A39,$B$1,$B$2,$B$3,O$6)</f>
        <v>5.6403714114604637E-3</v>
      </c>
      <c r="Q39" s="15">
        <v>120</v>
      </c>
      <c r="R39" s="30" cm="1">
        <f t="array" ref="R39">BS_Greek("CALL","GAMMA",$Q39,$B$1,$B$2,$R$3,R$6)</f>
        <v>4.9370130845059271E-3</v>
      </c>
      <c r="S39" s="18" cm="1">
        <f t="array" ref="S39">BS_Greek("CALL","GAMMA",$Q39,$B$1,$B$2,$R$3,S$6)</f>
        <v>8.7746917760978451E-3</v>
      </c>
      <c r="T39" s="18" cm="1">
        <f t="array" ref="T39">BS_Greek("CALL","GAMMA",$Q39,$B$1,$B$2,$R$3,T$6)</f>
        <v>9.7303217208305603E-3</v>
      </c>
      <c r="U39" s="18" cm="1">
        <f t="array" ref="U39">BS_Greek("CALL","GAMMA",$Q39,$B$1,$B$2,$R$3,U$6)</f>
        <v>9.8121320272589446E-3</v>
      </c>
      <c r="V39" s="18" cm="1">
        <f t="array" ref="V39">BS_Greek("CALL","GAMMA",$Q39,$B$1,$B$2,$R$3,V$6)</f>
        <v>9.6090347795308416E-3</v>
      </c>
      <c r="W39" s="18" cm="1">
        <f t="array" ref="W39">BS_Greek("CALL","GAMMA",$Q39,$B$1,$B$2,$R$3,W$6)</f>
        <v>9.3130824817801022E-3</v>
      </c>
      <c r="X39" s="18" cm="1">
        <f t="array" ref="X39">BS_Greek("CALL","GAMMA",$Q39,$B$1,$B$2,$R$3,X$6)</f>
        <v>8.9946864621100794E-3</v>
      </c>
      <c r="Y39" s="18" cm="1">
        <f t="array" ref="Y39">BS_Greek("CALL","GAMMA",$Q39,$B$1,$B$2,$R$3,Y$6)</f>
        <v>8.6812461969082502E-3</v>
      </c>
      <c r="Z39" s="18" cm="1">
        <f t="array" ref="Z39">BS_Greek("CALL","GAMMA",$Q39,$B$1,$B$2,$R$3,Z$6)</f>
        <v>8.3833035199653554E-3</v>
      </c>
      <c r="AA39" s="18" cm="1">
        <f t="array" ref="AA39">BS_Greek("CALL","GAMMA",$Q39,$B$1,$B$2,$R$3,AA$6)</f>
        <v>8.1043460458643246E-3</v>
      </c>
      <c r="AB39" s="18" cm="1">
        <f t="array" ref="AB39">BS_Greek("CALL","GAMMA",$Q39,$B$1,$B$2,$R$3,AB$6)</f>
        <v>6.1802445927498393E-3</v>
      </c>
      <c r="AC39" s="18" cm="1">
        <f t="array" ref="AC39">BS_Greek("CALL","GAMMA",$Q39,$B$1,$B$2,$R$3,AC$6)</f>
        <v>5.1171548019673793E-3</v>
      </c>
      <c r="AD39" s="18" cm="1">
        <f t="array" ref="AD39">BS_Greek("CALL","GAMMA",$Q39,$B$1,$B$2,$R$3,AD$6)</f>
        <v>4.4253147744497462E-3</v>
      </c>
      <c r="AE39" s="31" cm="1">
        <f t="array" ref="AE39">BS_Greek("CALL","GAMMA",$Q39,$B$1,$B$2,$R$3,AE$6)</f>
        <v>3.928264530213923E-3</v>
      </c>
      <c r="AG39" s="15">
        <v>120</v>
      </c>
      <c r="AH39" s="30" cm="1">
        <f t="array" ref="AH39">BS_Greek("CALL","GAMMA",$AG39,$B$1,$B$2,$AH$3,AH$26)</f>
        <v>4.8333065983836836E-9</v>
      </c>
      <c r="AI39" s="18" cm="1">
        <f t="array" ref="AI39">BS_Greek("CALL","GAMMA",$AG39,$B$1,$B$2,$AH$3,AI$26)</f>
        <v>1.3878827508435486E-5</v>
      </c>
      <c r="AJ39" s="18" cm="1">
        <f t="array" ref="AJ39">BS_Greek("CALL","GAMMA",$AG39,$B$1,$B$2,$AH$3,AJ$26)</f>
        <v>1.8065746203269184E-4</v>
      </c>
      <c r="AK39" s="18" cm="1">
        <f t="array" ref="AK39">BS_Greek("CALL","GAMMA",$AG39,$B$1,$B$2,$AH$3,AK$26)</f>
        <v>6.2433347878451618E-4</v>
      </c>
      <c r="AL39" s="18" cm="1">
        <f t="array" ref="AL39">BS_Greek("CALL","GAMMA",$AG39,$B$1,$B$2,$AH$3,AL$26)</f>
        <v>1.280513723504407E-3</v>
      </c>
      <c r="AM39" s="18" cm="1">
        <f t="array" ref="AM39">BS_Greek("CALL","GAMMA",$AG39,$B$1,$B$2,$AH$3,AM$26)</f>
        <v>2.0319475824949755E-3</v>
      </c>
      <c r="AN39" s="18" cm="1">
        <f t="array" ref="AN39">BS_Greek("CALL","GAMMA",$AG39,$B$1,$B$2,$AH$3,AN$26)</f>
        <v>2.7913416838140051E-3</v>
      </c>
      <c r="AO39" s="18" cm="1">
        <f t="array" ref="AO39">BS_Greek("CALL","GAMMA",$AG39,$B$1,$B$2,$AH$3,AO$26)</f>
        <v>3.5093388466936421E-3</v>
      </c>
      <c r="AP39" s="18" cm="1">
        <f t="array" ref="AP39">BS_Greek("CALL","GAMMA",$AG39,$B$1,$B$2,$AH$3,AP$26)</f>
        <v>4.1630686520652089E-3</v>
      </c>
      <c r="AQ39" s="18" cm="1">
        <f t="array" ref="AQ39">BS_Greek("CALL","GAMMA",$AG39,$B$1,$B$2,$AH$3,AQ$26)</f>
        <v>4.7451367772989445E-3</v>
      </c>
      <c r="AR39" s="18" cm="1">
        <f t="array" ref="AR39">BS_Greek("CALL","GAMMA",$AG39,$B$1,$B$2,$AH$3,AR$26)</f>
        <v>7.6165645282489083E-3</v>
      </c>
      <c r="AS39" s="18" cm="1">
        <f t="array" ref="AS39">BS_Greek("CALL","GAMMA",$AG39,$B$1,$B$2,$AH$3,AS$26)</f>
        <v>8.1120649104783824E-3</v>
      </c>
      <c r="AT39" s="18" cm="1">
        <f t="array" ref="AT39">BS_Greek("CALL","GAMMA",$AG39,$B$1,$B$2,$AH$3,AT$26)</f>
        <v>7.9786259054980633E-3</v>
      </c>
      <c r="AU39" s="31" cm="1">
        <f t="array" ref="AU39">BS_Greek("CALL","GAMMA",$AG39,$B$1,$B$2,$AH$3,AU$26)</f>
        <v>7.6679346587994893E-3</v>
      </c>
    </row>
    <row r="40" spans="1:47" x14ac:dyDescent="0.2">
      <c r="A40" s="15">
        <v>125</v>
      </c>
      <c r="B40" s="30" cm="1">
        <f t="array" ref="B40">BS_Greek("CALL","GAMMA",$A40,$B$1,$B$2,$B$3,B$6)</f>
        <v>8.446823286585097E-5</v>
      </c>
      <c r="C40" s="18" cm="1">
        <f t="array" ref="C40">BS_Greek("CALL","GAMMA",$A40,$B$1,$B$2,$B$3,C$6)</f>
        <v>1.3404252747399995E-3</v>
      </c>
      <c r="D40" s="18" cm="1">
        <f t="array" ref="D40">BS_Greek("CALL","GAMMA",$A40,$B$1,$B$2,$B$3,D$6)</f>
        <v>3.0847927412867735E-3</v>
      </c>
      <c r="E40" s="18" cm="1">
        <f t="array" ref="E40">BS_Greek("CALL","GAMMA",$A40,$B$1,$B$2,$B$3,E$6)</f>
        <v>4.4825674910614196E-3</v>
      </c>
      <c r="F40" s="18" cm="1">
        <f t="array" ref="F40">BS_Greek("CALL","GAMMA",$A40,$B$1,$B$2,$B$3,F$6)</f>
        <v>5.4668672380470719E-3</v>
      </c>
      <c r="G40" s="18" cm="1">
        <f t="array" ref="G40">BS_Greek("CALL","GAMMA",$A40,$B$1,$B$2,$B$3,G$6)</f>
        <v>6.1342693499021788E-3</v>
      </c>
      <c r="H40" s="18" cm="1">
        <f t="array" ref="H40">BS_Greek("CALL","GAMMA",$A40,$B$1,$B$2,$B$3,H$6)</f>
        <v>6.5790096216856199E-3</v>
      </c>
      <c r="I40" s="18" cm="1">
        <f t="array" ref="I40">BS_Greek("CALL","GAMMA",$A40,$B$1,$B$2,$B$3,I$6)</f>
        <v>6.8698255498420117E-3</v>
      </c>
      <c r="J40" s="18" cm="1">
        <f t="array" ref="J40">BS_Greek("CALL","GAMMA",$A40,$B$1,$B$2,$B$3,J$6)</f>
        <v>7.0538139252298493E-3</v>
      </c>
      <c r="K40" s="18" cm="1">
        <f t="array" ref="K40">BS_Greek("CALL","GAMMA",$A40,$B$1,$B$2,$B$3,K$6)</f>
        <v>7.162937779782763E-3</v>
      </c>
      <c r="L40" s="18" cm="1">
        <f t="array" ref="L40">BS_Greek("CALL","GAMMA",$A40,$B$1,$B$2,$B$3,L$6)</f>
        <v>6.8366861897907437E-3</v>
      </c>
      <c r="M40" s="18" cm="1">
        <f t="array" ref="M40">BS_Greek("CALL","GAMMA",$A40,$B$1,$B$2,$B$3,M$6)</f>
        <v>6.1230240136718652E-3</v>
      </c>
      <c r="N40" s="18" cm="1">
        <f t="array" ref="N40">BS_Greek("CALL","GAMMA",$A40,$B$1,$B$2,$B$3,N$6)</f>
        <v>5.5225119093422646E-3</v>
      </c>
      <c r="O40" s="31" cm="1">
        <f t="array" ref="O40">BS_Greek("CALL","GAMMA",$A40,$B$1,$B$2,$B$3,O$6)</f>
        <v>5.0386172534840892E-3</v>
      </c>
      <c r="Q40" s="15">
        <v>125</v>
      </c>
      <c r="R40" s="30" cm="1">
        <f t="array" ref="R40">BS_Greek("CALL","GAMMA",$Q40,$B$1,$B$2,$R$3,R$6)</f>
        <v>1.843087308399202E-3</v>
      </c>
      <c r="S40" s="18" cm="1">
        <f t="array" ref="S40">BS_Greek("CALL","GAMMA",$Q40,$B$1,$B$2,$R$3,S$6)</f>
        <v>5.1878950118337819E-3</v>
      </c>
      <c r="T40" s="18" cm="1">
        <f t="array" ref="T40">BS_Greek("CALL","GAMMA",$Q40,$B$1,$B$2,$R$3,T$6)</f>
        <v>6.705724926415333E-3</v>
      </c>
      <c r="U40" s="18" cm="1">
        <f t="array" ref="U40">BS_Greek("CALL","GAMMA",$Q40,$B$1,$B$2,$R$3,U$6)</f>
        <v>7.3006500382870026E-3</v>
      </c>
      <c r="V40" s="18" cm="1">
        <f t="array" ref="V40">BS_Greek("CALL","GAMMA",$Q40,$B$1,$B$2,$R$3,V$6)</f>
        <v>7.4859286012427398E-3</v>
      </c>
      <c r="W40" s="18" cm="1">
        <f t="array" ref="W40">BS_Greek("CALL","GAMMA",$Q40,$B$1,$B$2,$R$3,W$6)</f>
        <v>7.4811990466972442E-3</v>
      </c>
      <c r="X40" s="18" cm="1">
        <f t="array" ref="X40">BS_Greek("CALL","GAMMA",$Q40,$B$1,$B$2,$R$3,X$6)</f>
        <v>7.3853698760191306E-3</v>
      </c>
      <c r="Y40" s="18" cm="1">
        <f t="array" ref="Y40">BS_Greek("CALL","GAMMA",$Q40,$B$1,$B$2,$R$3,Y$6)</f>
        <v>7.2460218594597317E-3</v>
      </c>
      <c r="Z40" s="18" cm="1">
        <f t="array" ref="Z40">BS_Greek("CALL","GAMMA",$Q40,$B$1,$B$2,$R$3,Z$6)</f>
        <v>7.0872762215001793E-3</v>
      </c>
      <c r="AA40" s="18" cm="1">
        <f t="array" ref="AA40">BS_Greek("CALL","GAMMA",$Q40,$B$1,$B$2,$R$3,AA$6)</f>
        <v>6.921806072432455E-3</v>
      </c>
      <c r="AB40" s="18" cm="1">
        <f t="array" ref="AB40">BS_Greek("CALL","GAMMA",$Q40,$B$1,$B$2,$R$3,AB$6)</f>
        <v>5.5268144202571517E-3</v>
      </c>
      <c r="AC40" s="18" cm="1">
        <f t="array" ref="AC40">BS_Greek("CALL","GAMMA",$Q40,$B$1,$B$2,$R$3,AC$6)</f>
        <v>4.6467969605679983E-3</v>
      </c>
      <c r="AD40" s="18" cm="1">
        <f t="array" ref="AD40">BS_Greek("CALL","GAMMA",$Q40,$B$1,$B$2,$R$3,AD$6)</f>
        <v>4.0494614630788676E-3</v>
      </c>
      <c r="AE40" s="31" cm="1">
        <f t="array" ref="AE40">BS_Greek("CALL","GAMMA",$Q40,$B$1,$B$2,$R$3,AE$6)</f>
        <v>3.6111922111984628E-3</v>
      </c>
      <c r="AG40" s="15">
        <v>125</v>
      </c>
      <c r="AH40" s="30" cm="1">
        <f t="array" ref="AH40">BS_Greek("CALL","GAMMA",$AG40,$B$1,$B$2,$AH$3,AH$26)</f>
        <v>1.1110259985098477E-12</v>
      </c>
      <c r="AI40" s="18" cm="1">
        <f t="array" ref="AI40">BS_Greek("CALL","GAMMA",$AG40,$B$1,$B$2,$AH$3,AI$26)</f>
        <v>1.9995476488667823E-7</v>
      </c>
      <c r="AJ40" s="18" cm="1">
        <f t="array" ref="AJ40">BS_Greek("CALL","GAMMA",$AG40,$B$1,$B$2,$AH$3,AJ$26)</f>
        <v>1.0338747257813659E-5</v>
      </c>
      <c r="AK40" s="18" cm="1">
        <f t="array" ref="AK40">BS_Greek("CALL","GAMMA",$AG40,$B$1,$B$2,$AH$3,AK$26)</f>
        <v>7.121068360385758E-5</v>
      </c>
      <c r="AL40" s="18" cm="1">
        <f t="array" ref="AL40">BS_Greek("CALL","GAMMA",$AG40,$B$1,$B$2,$AH$3,AL$26)</f>
        <v>2.2091371478623337E-4</v>
      </c>
      <c r="AM40" s="18" cm="1">
        <f t="array" ref="AM40">BS_Greek("CALL","GAMMA",$AG40,$B$1,$B$2,$AH$3,AM$26)</f>
        <v>4.6191019586218839E-4</v>
      </c>
      <c r="AN40" s="18" cm="1">
        <f t="array" ref="AN40">BS_Greek("CALL","GAMMA",$AG40,$B$1,$B$2,$AH$3,AN$26)</f>
        <v>7.7274142964303336E-4</v>
      </c>
      <c r="AO40" s="18" cm="1">
        <f t="array" ref="AO40">BS_Greek("CALL","GAMMA",$AG40,$B$1,$B$2,$AH$3,AO$26)</f>
        <v>1.1262339391078598E-3</v>
      </c>
      <c r="AP40" s="18" cm="1">
        <f t="array" ref="AP40">BS_Greek("CALL","GAMMA",$AG40,$B$1,$B$2,$AH$3,AP$26)</f>
        <v>1.4987745127806543E-3</v>
      </c>
      <c r="AQ40" s="18" cm="1">
        <f t="array" ref="AQ40">BS_Greek("CALL","GAMMA",$AG40,$B$1,$B$2,$AH$3,AQ$26)</f>
        <v>1.8728672584138739E-3</v>
      </c>
      <c r="AR40" s="18" cm="1">
        <f t="array" ref="AR40">BS_Greek("CALL","GAMMA",$AG40,$B$1,$B$2,$AH$3,AR$26)</f>
        <v>4.5470245404394495E-3</v>
      </c>
      <c r="AS40" s="18" cm="1">
        <f t="array" ref="AS40">BS_Greek("CALL","GAMMA",$AG40,$B$1,$B$2,$AH$3,AS$26)</f>
        <v>5.5590796015987428E-3</v>
      </c>
      <c r="AT40" s="18" cm="1">
        <f t="array" ref="AT40">BS_Greek("CALL","GAMMA",$AG40,$B$1,$B$2,$AH$3,AT$26)</f>
        <v>5.8580251271742132E-3</v>
      </c>
      <c r="AU40" s="31" cm="1">
        <f t="array" ref="AU40">BS_Greek("CALL","GAMMA",$AG40,$B$1,$B$2,$AH$3,AU$26)</f>
        <v>5.8677624274978352E-3</v>
      </c>
    </row>
    <row r="41" spans="1:47" x14ac:dyDescent="0.2">
      <c r="A41" s="15">
        <v>130</v>
      </c>
      <c r="B41" s="30" cm="1">
        <f t="array" ref="B41">BS_Greek("CALL","GAMMA",$A41,$B$1,$B$2,$B$3,B$6)</f>
        <v>7.2972234478141031E-6</v>
      </c>
      <c r="C41" s="18" cm="1">
        <f t="array" ref="C41">BS_Greek("CALL","GAMMA",$A41,$B$1,$B$2,$B$3,C$6)</f>
        <v>3.806891985019321E-4</v>
      </c>
      <c r="D41" s="18" cm="1">
        <f t="array" ref="D41">BS_Greek("CALL","GAMMA",$A41,$B$1,$B$2,$B$3,D$6)</f>
        <v>1.3026922814580184E-3</v>
      </c>
      <c r="E41" s="18" cm="1">
        <f t="array" ref="E41">BS_Greek("CALL","GAMMA",$A41,$B$1,$B$2,$B$3,E$6)</f>
        <v>2.3082701661092642E-3</v>
      </c>
      <c r="F41" s="18" cm="1">
        <f t="array" ref="F41">BS_Greek("CALL","GAMMA",$A41,$B$1,$B$2,$B$3,F$6)</f>
        <v>3.1709157235184286E-3</v>
      </c>
      <c r="G41" s="18" cm="1">
        <f t="array" ref="G41">BS_Greek("CALL","GAMMA",$A41,$B$1,$B$2,$B$3,G$6)</f>
        <v>3.8518254155354287E-3</v>
      </c>
      <c r="H41" s="18" cm="1">
        <f t="array" ref="H41">BS_Greek("CALL","GAMMA",$A41,$B$1,$B$2,$B$3,H$6)</f>
        <v>4.3719665660242636E-3</v>
      </c>
      <c r="I41" s="18" cm="1">
        <f t="array" ref="I41">BS_Greek("CALL","GAMMA",$A41,$B$1,$B$2,$B$3,I$6)</f>
        <v>4.763448098667143E-3</v>
      </c>
      <c r="J41" s="18" cm="1">
        <f t="array" ref="J41">BS_Greek("CALL","GAMMA",$A41,$B$1,$B$2,$B$3,J$6)</f>
        <v>5.0554177985015743E-3</v>
      </c>
      <c r="K41" s="18" cm="1">
        <f t="array" ref="K41">BS_Greek("CALL","GAMMA",$A41,$B$1,$B$2,$B$3,K$6)</f>
        <v>5.2712072632879253E-3</v>
      </c>
      <c r="L41" s="18" cm="1">
        <f t="array" ref="L41">BS_Greek("CALL","GAMMA",$A41,$B$1,$B$2,$B$3,L$6)</f>
        <v>5.6669702285113378E-3</v>
      </c>
      <c r="M41" s="18" cm="1">
        <f t="array" ref="M41">BS_Greek("CALL","GAMMA",$A41,$B$1,$B$2,$B$3,M$6)</f>
        <v>5.2808038728821578E-3</v>
      </c>
      <c r="N41" s="18" cm="1">
        <f t="array" ref="N41">BS_Greek("CALL","GAMMA",$A41,$B$1,$B$2,$B$3,N$6)</f>
        <v>4.8583089812879602E-3</v>
      </c>
      <c r="O41" s="31" cm="1">
        <f t="array" ref="O41">BS_Greek("CALL","GAMMA",$A41,$B$1,$B$2,$B$3,O$6)</f>
        <v>4.4856819490140852E-3</v>
      </c>
      <c r="Q41" s="15">
        <v>130</v>
      </c>
      <c r="R41" s="30" cm="1">
        <f t="array" ref="R41">BS_Greek("CALL","GAMMA",$Q41,$B$1,$B$2,$R$3,R$6)</f>
        <v>6.0071558236562614E-4</v>
      </c>
      <c r="S41" s="18" cm="1">
        <f t="array" ref="S41">BS_Greek("CALL","GAMMA",$Q41,$B$1,$B$2,$R$3,S$6)</f>
        <v>2.8696661309163176E-3</v>
      </c>
      <c r="T41" s="18" cm="1">
        <f t="array" ref="T41">BS_Greek("CALL","GAMMA",$Q41,$B$1,$B$2,$R$3,T$6)</f>
        <v>4.4244401962093699E-3</v>
      </c>
      <c r="U41" s="18" cm="1">
        <f t="array" ref="U41">BS_Greek("CALL","GAMMA",$Q41,$B$1,$B$2,$R$3,U$6)</f>
        <v>5.2609033868653296E-3</v>
      </c>
      <c r="V41" s="18" cm="1">
        <f t="array" ref="V41">BS_Greek("CALL","GAMMA",$Q41,$B$1,$B$2,$R$3,V$6)</f>
        <v>5.6874317310270685E-3</v>
      </c>
      <c r="W41" s="18" cm="1">
        <f t="array" ref="W41">BS_Greek("CALL","GAMMA",$Q41,$B$1,$B$2,$R$3,W$6)</f>
        <v>5.8878427994134399E-3</v>
      </c>
      <c r="X41" s="18" cm="1">
        <f t="array" ref="X41">BS_Greek("CALL","GAMMA",$Q41,$B$1,$B$2,$R$3,X$6)</f>
        <v>5.9606848610583791E-3</v>
      </c>
      <c r="Y41" s="18" cm="1">
        <f t="array" ref="Y41">BS_Greek("CALL","GAMMA",$Q41,$B$1,$B$2,$R$3,Y$6)</f>
        <v>5.9597458042224306E-3</v>
      </c>
      <c r="Z41" s="18" cm="1">
        <f t="array" ref="Z41">BS_Greek("CALL","GAMMA",$Q41,$B$1,$B$2,$R$3,Z$6)</f>
        <v>5.91545955769436E-3</v>
      </c>
      <c r="AA41" s="18" cm="1">
        <f t="array" ref="AA41">BS_Greek("CALL","GAMMA",$Q41,$B$1,$B$2,$R$3,AA$6)</f>
        <v>5.8456577452828994E-3</v>
      </c>
      <c r="AB41" s="18" cm="1">
        <f t="array" ref="AB41">BS_Greek("CALL","GAMMA",$Q41,$B$1,$B$2,$R$3,AB$6)</f>
        <v>4.9210815203458427E-3</v>
      </c>
      <c r="AC41" s="18" cm="1">
        <f t="array" ref="AC41">BS_Greek("CALL","GAMMA",$Q41,$B$1,$B$2,$R$3,AC$6)</f>
        <v>4.2111102732515686E-3</v>
      </c>
      <c r="AD41" s="18" cm="1">
        <f t="array" ref="AD41">BS_Greek("CALL","GAMMA",$Q41,$B$1,$B$2,$R$3,AD$6)</f>
        <v>3.7022761379487913E-3</v>
      </c>
      <c r="AE41" s="31" cm="1">
        <f t="array" ref="AE41">BS_Greek("CALL","GAMMA",$Q41,$B$1,$B$2,$R$3,AE$6)</f>
        <v>3.3190921842812552E-3</v>
      </c>
      <c r="AG41" s="15">
        <v>130</v>
      </c>
      <c r="AH41" s="30" cm="1">
        <f t="array" ref="AH41">BS_Greek("CALL","GAMMA",$AG41,$B$1,$B$2,$AH$3,AH$26)</f>
        <v>7.382971539826821E-17</v>
      </c>
      <c r="AI41" s="18" cm="1">
        <f t="array" ref="AI41">BS_Greek("CALL","GAMMA",$AG41,$B$1,$B$2,$AH$3,AI$26)</f>
        <v>1.5520066218442016E-9</v>
      </c>
      <c r="AJ41" s="18" cm="1">
        <f t="array" ref="AJ41">BS_Greek("CALL","GAMMA",$AG41,$B$1,$B$2,$AH$3,AJ$26)</f>
        <v>3.9226661156427301E-7</v>
      </c>
      <c r="AK41" s="18" cm="1">
        <f t="array" ref="AK41">BS_Greek("CALL","GAMMA",$AG41,$B$1,$B$2,$AH$3,AK$26)</f>
        <v>5.9735759091088044E-6</v>
      </c>
      <c r="AL41" s="18" cm="1">
        <f t="array" ref="AL41">BS_Greek("CALL","GAMMA",$AG41,$B$1,$B$2,$AH$3,AL$26)</f>
        <v>2.9830284442140866E-5</v>
      </c>
      <c r="AM41" s="18" cm="1">
        <f t="array" ref="AM41">BS_Greek("CALL","GAMMA",$AG41,$B$1,$B$2,$AH$3,AM$26)</f>
        <v>8.5668780985105099E-5</v>
      </c>
      <c r="AN41" s="18" cm="1">
        <f t="array" ref="AN41">BS_Greek("CALL","GAMMA",$AG41,$B$1,$B$2,$AH$3,AN$26)</f>
        <v>1.797833489515302E-4</v>
      </c>
      <c r="AO41" s="18" cm="1">
        <f t="array" ref="AO41">BS_Greek("CALL","GAMMA",$AG41,$B$1,$B$2,$AH$3,AO$26)</f>
        <v>3.105857690040662E-4</v>
      </c>
      <c r="AP41" s="18" cm="1">
        <f t="array" ref="AP41">BS_Greek("CALL","GAMMA",$AG41,$B$1,$B$2,$AH$3,AP$26)</f>
        <v>4.7175720539731353E-4</v>
      </c>
      <c r="AQ41" s="18" cm="1">
        <f t="array" ref="AQ41">BS_Greek("CALL","GAMMA",$AG41,$B$1,$B$2,$AH$3,AQ$26)</f>
        <v>6.5528870342850616E-4</v>
      </c>
      <c r="AR41" s="18" cm="1">
        <f t="array" ref="AR41">BS_Greek("CALL","GAMMA",$AG41,$B$1,$B$2,$AH$3,AR$26)</f>
        <v>2.5609344709387875E-3</v>
      </c>
      <c r="AS41" s="18" cm="1">
        <f t="array" ref="AS41">BS_Greek("CALL","GAMMA",$AG41,$B$1,$B$2,$AH$3,AS$26)</f>
        <v>3.6693507025244649E-3</v>
      </c>
      <c r="AT41" s="18" cm="1">
        <f t="array" ref="AT41">BS_Greek("CALL","GAMMA",$AG41,$B$1,$B$2,$AH$3,AT$26)</f>
        <v>4.1859606357164706E-3</v>
      </c>
      <c r="AU41" s="31" cm="1">
        <f t="array" ref="AU41">BS_Greek("CALL","GAMMA",$AG41,$B$1,$B$2,$AH$3,AU$26)</f>
        <v>4.3973494544828021E-3</v>
      </c>
    </row>
    <row r="42" spans="1:47" x14ac:dyDescent="0.2">
      <c r="A42" s="15">
        <v>135</v>
      </c>
      <c r="B42" s="30" cm="1">
        <f t="array" ref="B42">BS_Greek("CALL","GAMMA",$A42,$B$1,$B$2,$B$3,B$6)</f>
        <v>4.8093577566927397E-7</v>
      </c>
      <c r="C42" s="18" cm="1">
        <f t="array" ref="C42">BS_Greek("CALL","GAMMA",$A42,$B$1,$B$2,$B$3,C$6)</f>
        <v>9.4556994587265296E-5</v>
      </c>
      <c r="D42" s="18" cm="1">
        <f t="array" ref="D42">BS_Greek("CALL","GAMMA",$A42,$B$1,$B$2,$B$3,D$6)</f>
        <v>5.0353481185787989E-4</v>
      </c>
      <c r="E42" s="18" cm="1">
        <f t="array" ref="E42">BS_Greek("CALL","GAMMA",$A42,$B$1,$B$2,$B$3,E$6)</f>
        <v>1.1130292486590081E-3</v>
      </c>
      <c r="F42" s="18" cm="1">
        <f t="array" ref="F42">BS_Greek("CALL","GAMMA",$A42,$B$1,$B$2,$B$3,F$6)</f>
        <v>1.7459186523562449E-3</v>
      </c>
      <c r="G42" s="18" cm="1">
        <f t="array" ref="G42">BS_Greek("CALL","GAMMA",$A42,$B$1,$B$2,$B$3,G$6)</f>
        <v>2.3169614647433373E-3</v>
      </c>
      <c r="H42" s="18" cm="1">
        <f t="array" ref="H42">BS_Greek("CALL","GAMMA",$A42,$B$1,$B$2,$B$3,H$6)</f>
        <v>2.8013465758306819E-3</v>
      </c>
      <c r="I42" s="18" cm="1">
        <f t="array" ref="I42">BS_Greek("CALL","GAMMA",$A42,$B$1,$B$2,$B$3,I$6)</f>
        <v>3.2002933770762325E-3</v>
      </c>
      <c r="J42" s="18" cm="1">
        <f t="array" ref="J42">BS_Greek("CALL","GAMMA",$A42,$B$1,$B$2,$B$3,J$6)</f>
        <v>3.5239585209983202E-3</v>
      </c>
      <c r="K42" s="18" cm="1">
        <f t="array" ref="K42">BS_Greek("CALL","GAMMA",$A42,$B$1,$B$2,$B$3,K$6)</f>
        <v>3.7843224261389784E-3</v>
      </c>
      <c r="L42" s="18" cm="1">
        <f t="array" ref="L42">BS_Greek("CALL","GAMMA",$A42,$B$1,$B$2,$B$3,L$6)</f>
        <v>4.6456697775222461E-3</v>
      </c>
      <c r="M42" s="18" cm="1">
        <f t="array" ref="M42">BS_Greek("CALL","GAMMA",$A42,$B$1,$B$2,$B$3,M$6)</f>
        <v>4.5248469998567702E-3</v>
      </c>
      <c r="N42" s="18" cm="1">
        <f t="array" ref="N42">BS_Greek("CALL","GAMMA",$A42,$B$1,$B$2,$B$3,N$6)</f>
        <v>4.2559078918170063E-3</v>
      </c>
      <c r="O42" s="31" cm="1">
        <f t="array" ref="O42">BS_Greek("CALL","GAMMA",$A42,$B$1,$B$2,$B$3,O$6)</f>
        <v>3.9819655859202495E-3</v>
      </c>
      <c r="Q42" s="15">
        <v>135</v>
      </c>
      <c r="R42" s="30" cm="1">
        <f t="array" ref="R42">BS_Greek("CALL","GAMMA",$Q42,$B$1,$B$2,$R$3,R$6)</f>
        <v>1.738160868120766E-4</v>
      </c>
      <c r="S42" s="18" cm="1">
        <f t="array" ref="S42">BS_Greek("CALL","GAMMA",$Q42,$B$1,$B$2,$R$3,S$6)</f>
        <v>1.4974023713320017E-3</v>
      </c>
      <c r="T42" s="18" cm="1">
        <f t="array" ref="T42">BS_Greek("CALL","GAMMA",$Q42,$B$1,$B$2,$R$3,T$6)</f>
        <v>2.8101370337925164E-3</v>
      </c>
      <c r="U42" s="18" cm="1">
        <f t="array" ref="U42">BS_Greek("CALL","GAMMA",$Q42,$B$1,$B$2,$R$3,U$6)</f>
        <v>3.686468334203065E-3</v>
      </c>
      <c r="V42" s="18" cm="1">
        <f t="array" ref="V42">BS_Greek("CALL","GAMMA",$Q42,$B$1,$B$2,$R$3,V$6)</f>
        <v>4.2274159872265245E-3</v>
      </c>
      <c r="W42" s="18" cm="1">
        <f t="array" ref="W42">BS_Greek("CALL","GAMMA",$Q42,$B$1,$B$2,$R$3,W$6)</f>
        <v>4.5518443181372789E-3</v>
      </c>
      <c r="X42" s="18" cm="1">
        <f t="array" ref="X42">BS_Greek("CALL","GAMMA",$Q42,$B$1,$B$2,$R$3,X$6)</f>
        <v>4.7393843504899558E-3</v>
      </c>
      <c r="Y42" s="18" cm="1">
        <f t="array" ref="Y42">BS_Greek("CALL","GAMMA",$Q42,$B$1,$B$2,$R$3,Y$6)</f>
        <v>4.8394882133299885E-3</v>
      </c>
      <c r="Z42" s="18" cm="1">
        <f t="array" ref="Z42">BS_Greek("CALL","GAMMA",$Q42,$B$1,$B$2,$R$3,Z$6)</f>
        <v>4.882853467973125E-3</v>
      </c>
      <c r="AA42" s="18" cm="1">
        <f t="array" ref="AA42">BS_Greek("CALL","GAMMA",$Q42,$B$1,$B$2,$R$3,AA$6)</f>
        <v>4.8888801197403868E-3</v>
      </c>
      <c r="AB42" s="18" cm="1">
        <f t="array" ref="AB42">BS_Greek("CALL","GAMMA",$Q42,$B$1,$B$2,$R$3,AB$6)</f>
        <v>4.3656123603575455E-3</v>
      </c>
      <c r="AC42" s="18" cm="1">
        <f t="array" ref="AC42">BS_Greek("CALL","GAMMA",$Q42,$B$1,$B$2,$R$3,AC$6)</f>
        <v>3.8099337821083396E-3</v>
      </c>
      <c r="AD42" s="18" cm="1">
        <f t="array" ref="AD42">BS_Greek("CALL","GAMMA",$Q42,$B$1,$B$2,$R$3,AD$6)</f>
        <v>3.3826551294348179E-3</v>
      </c>
      <c r="AE42" s="31" cm="1">
        <f t="array" ref="AE42">BS_Greek("CALL","GAMMA",$Q42,$B$1,$B$2,$R$3,AE$6)</f>
        <v>3.0504863785204561E-3</v>
      </c>
      <c r="AG42" s="15">
        <v>135</v>
      </c>
      <c r="AH42" s="30" cm="1">
        <f t="array" ref="AH42">BS_Greek("CALL","GAMMA",$AG42,$B$1,$B$2,$AH$3,AH$26)</f>
        <v>1.6508431991277696E-21</v>
      </c>
      <c r="AI42" s="18" cm="1">
        <f t="array" ref="AI42">BS_Greek("CALL","GAMMA",$AG42,$B$1,$B$2,$AH$3,AI$26)</f>
        <v>7.0007225305255781E-12</v>
      </c>
      <c r="AJ42" s="18" cm="1">
        <f t="array" ref="AJ42">BS_Greek("CALL","GAMMA",$AG42,$B$1,$B$2,$AH$3,AJ$26)</f>
        <v>1.0377407251949232E-8</v>
      </c>
      <c r="AK42" s="18" cm="1">
        <f t="array" ref="AK42">BS_Greek("CALL","GAMMA",$AG42,$B$1,$B$2,$AH$3,AK$26)</f>
        <v>3.8271106091862608E-7</v>
      </c>
      <c r="AL42" s="18" cm="1">
        <f t="array" ref="AL42">BS_Greek("CALL","GAMMA",$AG42,$B$1,$B$2,$AH$3,AL$26)</f>
        <v>3.249162919518064E-6</v>
      </c>
      <c r="AM42" s="18" cm="1">
        <f t="array" ref="AM42">BS_Greek("CALL","GAMMA",$AG42,$B$1,$B$2,$AH$3,AM$26)</f>
        <v>1.3291938562945938E-5</v>
      </c>
      <c r="AN42" s="18" cm="1">
        <f t="array" ref="AN42">BS_Greek("CALL","GAMMA",$AG42,$B$1,$B$2,$AH$3,AN$26)</f>
        <v>3.5914215033327016E-5</v>
      </c>
      <c r="AO42" s="18" cm="1">
        <f t="array" ref="AO42">BS_Greek("CALL","GAMMA",$AG42,$B$1,$B$2,$AH$3,AO$26)</f>
        <v>7.4991466396696723E-5</v>
      </c>
      <c r="AP42" s="18" cm="1">
        <f t="array" ref="AP42">BS_Greek("CALL","GAMMA",$AG42,$B$1,$B$2,$AH$3,AP$26)</f>
        <v>1.3199891273585568E-4</v>
      </c>
      <c r="AQ42" s="18" cm="1">
        <f t="array" ref="AQ42">BS_Greek("CALL","GAMMA",$AG42,$B$1,$B$2,$AH$3,AQ$26)</f>
        <v>2.063011779914903E-4</v>
      </c>
      <c r="AR42" s="18" cm="1">
        <f t="array" ref="AR42">BS_Greek("CALL","GAMMA",$AG42,$B$1,$B$2,$AH$3,AR$26)</f>
        <v>1.3707080362701776E-3</v>
      </c>
      <c r="AS42" s="18" cm="1">
        <f t="array" ref="AS42">BS_Greek("CALL","GAMMA",$AG42,$B$1,$B$2,$AH$3,AS$26)</f>
        <v>2.3440212104340022E-3</v>
      </c>
      <c r="AT42" s="18" cm="1">
        <f t="array" ref="AT42">BS_Greek("CALL","GAMMA",$AG42,$B$1,$B$2,$AH$3,AT$26)</f>
        <v>2.9213283025393976E-3</v>
      </c>
      <c r="AU42" s="31" cm="1">
        <f t="array" ref="AU42">BS_Greek("CALL","GAMMA",$AG42,$B$1,$B$2,$AH$3,AU$26)</f>
        <v>3.2361150487909911E-3</v>
      </c>
    </row>
    <row r="43" spans="1:47" x14ac:dyDescent="0.2">
      <c r="A43" s="15">
        <v>140</v>
      </c>
      <c r="B43" s="32" cm="1">
        <f t="array" ref="B43">BS_Greek("CALL","GAMMA",$A43,$B$1,$B$2,$B$3,B$6)</f>
        <v>2.4984119686305784E-8</v>
      </c>
      <c r="C43" s="33" cm="1">
        <f t="array" ref="C43">BS_Greek("CALL","GAMMA",$A43,$B$1,$B$2,$B$3,C$6)</f>
        <v>2.0876714879530862E-5</v>
      </c>
      <c r="D43" s="33" cm="1">
        <f t="array" ref="D43">BS_Greek("CALL","GAMMA",$A43,$B$1,$B$2,$B$3,D$6)</f>
        <v>1.800784918926651E-4</v>
      </c>
      <c r="E43" s="33" cm="1">
        <f t="array" ref="E43">BS_Greek("CALL","GAMMA",$A43,$B$1,$B$2,$B$3,E$6)</f>
        <v>5.0660659975445036E-4</v>
      </c>
      <c r="F43" s="33" cm="1">
        <f t="array" ref="F43">BS_Greek("CALL","GAMMA",$A43,$B$1,$B$2,$B$3,F$6)</f>
        <v>9.1839058774420643E-4</v>
      </c>
      <c r="G43" s="33" cm="1">
        <f t="array" ref="G43">BS_Greek("CALL","GAMMA",$A43,$B$1,$B$2,$B$3,G$6)</f>
        <v>1.3421930911671856E-3</v>
      </c>
      <c r="H43" s="33" cm="1">
        <f t="array" ref="H43">BS_Greek("CALL","GAMMA",$A43,$B$1,$B$2,$B$3,H$6)</f>
        <v>1.7385470025647579E-3</v>
      </c>
      <c r="I43" s="33" cm="1">
        <f t="array" ref="I43">BS_Greek("CALL","GAMMA",$A43,$B$1,$B$2,$B$3,I$6)</f>
        <v>2.0914714572423769E-3</v>
      </c>
      <c r="J43" s="33" cm="1">
        <f t="array" ref="J43">BS_Greek("CALL","GAMMA",$A43,$B$1,$B$2,$B$3,J$6)</f>
        <v>2.3974428180687469E-3</v>
      </c>
      <c r="K43" s="33" cm="1">
        <f t="array" ref="K43">BS_Greek("CALL","GAMMA",$A43,$B$1,$B$2,$B$3,K$6)</f>
        <v>2.6587031941631982E-3</v>
      </c>
      <c r="L43" s="33" cm="1">
        <f t="array" ref="L43">BS_Greek("CALL","GAMMA",$A43,$B$1,$B$2,$B$3,L$6)</f>
        <v>3.7719785580502146E-3</v>
      </c>
      <c r="M43" s="33" cm="1">
        <f t="array" ref="M43">BS_Greek("CALL","GAMMA",$A43,$B$1,$B$2,$B$3,M$6)</f>
        <v>3.8554152638824216E-3</v>
      </c>
      <c r="N43" s="33" cm="1">
        <f t="array" ref="N43">BS_Greek("CALL","GAMMA",$A43,$B$1,$B$2,$B$3,N$6)</f>
        <v>3.7147763845488601E-3</v>
      </c>
      <c r="O43" s="34" cm="1">
        <f t="array" ref="O43">BS_Greek("CALL","GAMMA",$A43,$B$1,$B$2,$B$3,O$6)</f>
        <v>3.5263212434632849E-3</v>
      </c>
      <c r="Q43" s="15">
        <v>140</v>
      </c>
      <c r="R43" s="32" cm="1">
        <f t="array" ref="R43">BS_Greek("CALL","GAMMA",$Q43,$B$1,$B$2,$R$3,R$6)</f>
        <v>4.5297412812204583E-5</v>
      </c>
      <c r="S43" s="33" cm="1">
        <f t="array" ref="S43">BS_Greek("CALL","GAMMA",$Q43,$B$1,$B$2,$R$3,S$6)</f>
        <v>7.4234719458286542E-4</v>
      </c>
      <c r="T43" s="33" cm="1">
        <f t="array" ref="T43">BS_Greek("CALL","GAMMA",$Q43,$B$1,$B$2,$R$3,T$6)</f>
        <v>1.7261999326371306E-3</v>
      </c>
      <c r="U43" s="33" cm="1">
        <f t="array" ref="U43">BS_Greek("CALL","GAMMA",$Q43,$B$1,$B$2,$R$3,U$6)</f>
        <v>2.5207026945741873E-3</v>
      </c>
      <c r="V43" s="33" cm="1">
        <f t="array" ref="V43">BS_Greek("CALL","GAMMA",$Q43,$B$1,$B$2,$R$3,V$6)</f>
        <v>3.08258184226789E-3</v>
      </c>
      <c r="W43" s="33" cm="1">
        <f t="array" ref="W43">BS_Greek("CALL","GAMMA",$Q43,$B$1,$B$2,$R$3,W$6)</f>
        <v>3.4645436604697206E-3</v>
      </c>
      <c r="X43" s="33" cm="1">
        <f t="array" ref="X43">BS_Greek("CALL","GAMMA",$Q43,$B$1,$B$2,$R$3,X$6)</f>
        <v>3.7194597267081689E-3</v>
      </c>
      <c r="Y43" s="33" cm="1">
        <f t="array" ref="Y43">BS_Greek("CALL","GAMMA",$Q43,$B$1,$B$2,$R$3,Y$6)</f>
        <v>3.8862598492258598E-3</v>
      </c>
      <c r="Z43" s="33" cm="1">
        <f t="array" ref="Z43">BS_Greek("CALL","GAMMA",$Q43,$B$1,$B$2,$R$3,Z$6)</f>
        <v>3.991756222193033E-3</v>
      </c>
      <c r="AA43" s="33" cm="1">
        <f t="array" ref="AA43">BS_Greek("CALL","GAMMA",$Q43,$B$1,$B$2,$R$3,AA$6)</f>
        <v>4.054208161540623E-3</v>
      </c>
      <c r="AB43" s="33" cm="1">
        <f t="array" ref="AB43">BS_Greek("CALL","GAMMA",$Q43,$B$1,$B$2,$R$3,AB$6)</f>
        <v>3.860738073303574E-3</v>
      </c>
      <c r="AC43" s="33" cm="1">
        <f t="array" ref="AC43">BS_Greek("CALL","GAMMA",$Q43,$B$1,$B$2,$R$3,AC$6)</f>
        <v>3.4423268142812495E-3</v>
      </c>
      <c r="AD43" s="33" cm="1">
        <f t="array" ref="AD43">BS_Greek("CALL","GAMMA",$Q43,$B$1,$B$2,$R$3,AD$6)</f>
        <v>3.089207972330324E-3</v>
      </c>
      <c r="AE43" s="34" cm="1">
        <f t="array" ref="AE43">BS_Greek("CALL","GAMMA",$Q43,$B$1,$B$2,$R$3,AE$6)</f>
        <v>2.8038279821686937E-3</v>
      </c>
      <c r="AG43" s="15">
        <v>140</v>
      </c>
      <c r="AH43" s="32" cm="1">
        <f t="array" ref="AH43">BS_Greek("CALL","GAMMA",$AG43,$B$1,$B$2,$AH$3,AH$26)</f>
        <v>1.4160803501951788E-26</v>
      </c>
      <c r="AI43" s="33" cm="1">
        <f t="array" ref="AI43">BS_Greek("CALL","GAMMA",$AG43,$B$1,$B$2,$AH$3,AI$26)</f>
        <v>1.9592554647687471E-14</v>
      </c>
      <c r="AJ43" s="33" cm="1">
        <f t="array" ref="AJ43">BS_Greek("CALL","GAMMA",$AG43,$B$1,$B$2,$AH$3,AJ$26)</f>
        <v>1.9993666289338756E-10</v>
      </c>
      <c r="AK43" s="33" cm="1">
        <f t="array" ref="AK43">BS_Greek("CALL","GAMMA",$AG43,$B$1,$B$2,$AH$3,AK$26)</f>
        <v>1.9346494359707465E-8</v>
      </c>
      <c r="AL43" s="33" cm="1">
        <f t="array" ref="AL43">BS_Greek("CALL","GAMMA",$AG43,$B$1,$B$2,$AH$3,AL$26)</f>
        <v>2.9299443269233378E-7</v>
      </c>
      <c r="AM43" s="33" cm="1">
        <f t="array" ref="AM43">BS_Greek("CALL","GAMMA",$AG43,$B$1,$B$2,$AH$3,AM$26)</f>
        <v>1.762979573893959E-6</v>
      </c>
      <c r="AN43" s="33" cm="1">
        <f t="array" ref="AN43">BS_Greek("CALL","GAMMA",$AG43,$B$1,$B$2,$AH$3,AN$26)</f>
        <v>6.275075552985542E-6</v>
      </c>
      <c r="AO43" s="33" cm="1">
        <f t="array" ref="AO43">BS_Greek("CALL","GAMMA",$AG43,$B$1,$B$2,$AH$3,AO$26)</f>
        <v>1.6111450652008537E-5</v>
      </c>
      <c r="AP43" s="33" cm="1">
        <f t="array" ref="AP43">BS_Greek("CALL","GAMMA",$AG43,$B$1,$B$2,$AH$3,AP$26)</f>
        <v>3.3305383198972805E-5</v>
      </c>
      <c r="AQ43" s="33" cm="1">
        <f t="array" ref="AQ43">BS_Greek("CALL","GAMMA",$AG43,$B$1,$B$2,$AH$3,AQ$26)</f>
        <v>5.9197424706742854E-5</v>
      </c>
      <c r="AR43" s="33" cm="1">
        <f t="array" ref="AR43">BS_Greek("CALL","GAMMA",$AG43,$B$1,$B$2,$AH$3,AR$26)</f>
        <v>7.016211594893701E-4</v>
      </c>
      <c r="AS43" s="33" cm="1">
        <f t="array" ref="AS43">BS_Greek("CALL","GAMMA",$AG43,$B$1,$B$2,$AH$3,AS$26)</f>
        <v>1.4551400495073856E-3</v>
      </c>
      <c r="AT43" s="33" cm="1">
        <f t="array" ref="AT43">BS_Greek("CALL","GAMMA",$AG43,$B$1,$B$2,$AH$3,AT$26)</f>
        <v>1.9971762450752021E-3</v>
      </c>
      <c r="AU43" s="34" cm="1">
        <f t="array" ref="AU43">BS_Greek("CALL","GAMMA",$AG43,$B$1,$B$2,$AH$3,AU$26)</f>
        <v>2.3442052804045392E-3</v>
      </c>
    </row>
    <row r="45" spans="1:47" x14ac:dyDescent="0.2">
      <c r="A45" s="107" t="s">
        <v>8</v>
      </c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Q45" s="107" t="s">
        <v>9</v>
      </c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G45" s="107" t="s">
        <v>17</v>
      </c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7"/>
      <c r="AU45" s="107"/>
    </row>
    <row r="46" spans="1:47" x14ac:dyDescent="0.2">
      <c r="A46" s="8"/>
      <c r="B46" s="17">
        <v>0.1</v>
      </c>
      <c r="C46" s="17">
        <v>0.2</v>
      </c>
      <c r="D46" s="17">
        <v>0.3</v>
      </c>
      <c r="E46" s="17">
        <v>0.4</v>
      </c>
      <c r="F46" s="17">
        <v>0.5</v>
      </c>
      <c r="G46" s="17">
        <v>0.6</v>
      </c>
      <c r="H46" s="17">
        <v>0.7</v>
      </c>
      <c r="I46" s="17">
        <v>0.8</v>
      </c>
      <c r="J46" s="17">
        <v>0.9</v>
      </c>
      <c r="K46" s="17">
        <v>1</v>
      </c>
      <c r="L46" s="17">
        <v>2</v>
      </c>
      <c r="M46" s="17">
        <v>3</v>
      </c>
      <c r="N46" s="17">
        <v>4</v>
      </c>
      <c r="O46" s="17">
        <v>5</v>
      </c>
      <c r="P46" s="11"/>
      <c r="Q46" s="8"/>
      <c r="R46" s="17">
        <v>0.1</v>
      </c>
      <c r="S46" s="17">
        <v>0.2</v>
      </c>
      <c r="T46" s="17">
        <v>0.3</v>
      </c>
      <c r="U46" s="17">
        <v>0.4</v>
      </c>
      <c r="V46" s="17">
        <v>0.5</v>
      </c>
      <c r="W46" s="17">
        <v>0.6</v>
      </c>
      <c r="X46" s="17">
        <v>0.7</v>
      </c>
      <c r="Y46" s="17">
        <v>0.8</v>
      </c>
      <c r="Z46" s="17">
        <v>0.9</v>
      </c>
      <c r="AA46" s="17">
        <v>1</v>
      </c>
      <c r="AB46" s="17">
        <v>2</v>
      </c>
      <c r="AC46" s="17">
        <v>3</v>
      </c>
      <c r="AD46" s="17">
        <v>4</v>
      </c>
      <c r="AE46" s="17">
        <v>5</v>
      </c>
      <c r="AF46" s="11"/>
      <c r="AG46" s="8"/>
      <c r="AH46" s="17">
        <v>0.1</v>
      </c>
      <c r="AI46" s="17">
        <v>0.2</v>
      </c>
      <c r="AJ46" s="17">
        <v>0.3</v>
      </c>
      <c r="AK46" s="17">
        <v>0.4</v>
      </c>
      <c r="AL46" s="17">
        <v>0.5</v>
      </c>
      <c r="AM46" s="17">
        <v>0.6</v>
      </c>
      <c r="AN46" s="17">
        <v>0.7</v>
      </c>
      <c r="AO46" s="17">
        <v>0.8</v>
      </c>
      <c r="AP46" s="17">
        <v>0.9</v>
      </c>
      <c r="AQ46" s="17">
        <v>1</v>
      </c>
      <c r="AR46" s="17">
        <v>2</v>
      </c>
      <c r="AS46" s="17">
        <v>3</v>
      </c>
      <c r="AT46" s="17">
        <v>4</v>
      </c>
      <c r="AU46" s="17">
        <v>5</v>
      </c>
    </row>
    <row r="47" spans="1:47" x14ac:dyDescent="0.2">
      <c r="A47" s="12">
        <v>60</v>
      </c>
      <c r="B47" s="19" cm="1">
        <f t="array" ref="B47">BS_Greek("CALL","THETA",$A47,$B$1,$B$2,$B$3,B$6)</f>
        <v>-2.0824866053344973E-16</v>
      </c>
      <c r="C47" s="20" cm="1">
        <f t="array" ref="C47">BS_Greek("CALL","THETA",$A47,$B$1,$B$2,$B$3,C$6)</f>
        <v>-1.7867609363612641E-9</v>
      </c>
      <c r="D47" s="20" cm="1">
        <f t="array" ref="D47">BS_Greek("CALL","THETA",$A47,$B$1,$B$2,$B$3,D$6)</f>
        <v>-3.3577670640289775E-7</v>
      </c>
      <c r="E47" s="20" cm="1">
        <f t="array" ref="E47">BS_Greek("CALL","THETA",$A47,$B$1,$B$2,$B$3,E$6)</f>
        <v>-4.4165655198783056E-6</v>
      </c>
      <c r="F47" s="20" cm="1">
        <f t="array" ref="F47">BS_Greek("CALL","THETA",$A47,$B$1,$B$2,$B$3,F$6)</f>
        <v>-2.0225469566983438E-5</v>
      </c>
      <c r="G47" s="20" cm="1">
        <f t="array" ref="G47">BS_Greek("CALL","THETA",$A47,$B$1,$B$2,$B$3,G$6)</f>
        <v>-5.4883488636290314E-5</v>
      </c>
      <c r="H47" s="20" cm="1">
        <f t="array" ref="H47">BS_Greek("CALL","THETA",$A47,$B$1,$B$2,$B$3,H$6)</f>
        <v>-1.1070154935860708E-4</v>
      </c>
      <c r="I47" s="20" cm="1">
        <f t="array" ref="I47">BS_Greek("CALL","THETA",$A47,$B$1,$B$2,$B$3,I$6)</f>
        <v>-1.8577586836861511E-4</v>
      </c>
      <c r="J47" s="20" cm="1">
        <f t="array" ref="J47">BS_Greek("CALL","THETA",$A47,$B$1,$B$2,$B$3,J$6)</f>
        <v>-2.7605758779448086E-4</v>
      </c>
      <c r="K47" s="20" cm="1">
        <f t="array" ref="K47">BS_Greek("CALL","THETA",$A47,$B$1,$B$2,$B$3,K$6)</f>
        <v>-3.769889628874361E-4</v>
      </c>
      <c r="L47" s="20" cm="1">
        <f t="array" ref="L47">BS_Greek("CALL","THETA",$A47,$B$1,$B$2,$B$3,L$6)</f>
        <v>-1.3832148881930423E-3</v>
      </c>
      <c r="M47" s="20" cm="1">
        <f t="array" ref="M47">BS_Greek("CALL","THETA",$A47,$B$1,$B$2,$B$3,M$6)</f>
        <v>-1.9677685366328093E-3</v>
      </c>
      <c r="N47" s="20" cm="1">
        <f t="array" ref="N47">BS_Greek("CALL","THETA",$A47,$B$1,$B$2,$B$3,N$6)</f>
        <v>-2.2561687563191169E-3</v>
      </c>
      <c r="O47" s="21" cm="1">
        <f t="array" ref="O47">BS_Greek("CALL","THETA",$A47,$B$1,$B$2,$B$3,O$6)</f>
        <v>-2.3914141658243899E-3</v>
      </c>
      <c r="P47" s="5"/>
      <c r="Q47" s="12">
        <v>60</v>
      </c>
      <c r="R47" s="19" cm="1">
        <f t="array" ref="R47">BS_Greek("CALL","THETA",$Q47,$B$1,$B$2,$R$3,R$6)</f>
        <v>-2.1549990018490181E-8</v>
      </c>
      <c r="S47" s="20" cm="1">
        <f t="array" ref="S47">BS_Greek("CALL","THETA",$Q47,$B$1,$B$2,$R$3,S$6)</f>
        <v>-2.1461836222321897E-5</v>
      </c>
      <c r="T47" s="20" cm="1">
        <f t="array" ref="T47">BS_Greek("CALL","THETA",$Q47,$B$1,$B$2,$R$3,T$6)</f>
        <v>-1.9662281836474338E-4</v>
      </c>
      <c r="U47" s="20" cm="1">
        <f t="array" ref="U47">BS_Greek("CALL","THETA",$Q47,$B$1,$B$2,$R$3,U$6)</f>
        <v>-5.7074558651204531E-4</v>
      </c>
      <c r="V47" s="20" cm="1">
        <f t="array" ref="V47">BS_Greek("CALL","THETA",$Q47,$B$1,$B$2,$R$3,V$6)</f>
        <v>-1.0552037640840729E-3</v>
      </c>
      <c r="W47" s="20" cm="1">
        <f t="array" ref="W47">BS_Greek("CALL","THETA",$Q47,$B$1,$B$2,$R$3,W$6)</f>
        <v>-1.5635260002588602E-3</v>
      </c>
      <c r="X47" s="20" cm="1">
        <f t="array" ref="X47">BS_Greek("CALL","THETA",$Q47,$B$1,$B$2,$R$3,X$6)</f>
        <v>-2.0463456463499924E-3</v>
      </c>
      <c r="Y47" s="20" cm="1">
        <f t="array" ref="Y47">BS_Greek("CALL","THETA",$Q47,$B$1,$B$2,$R$3,Y$6)</f>
        <v>-2.4820405101908011E-3</v>
      </c>
      <c r="Z47" s="20" cm="1">
        <f t="array" ref="Z47">BS_Greek("CALL","THETA",$Q47,$B$1,$B$2,$R$3,Z$6)</f>
        <v>-2.8643976252613942E-3</v>
      </c>
      <c r="AA47" s="20" cm="1">
        <f t="array" ref="AA47">BS_Greek("CALL","THETA",$Q47,$B$1,$B$2,$R$3,AA$6)</f>
        <v>-3.1946917066473721E-3</v>
      </c>
      <c r="AB47" s="20" cm="1">
        <f t="array" ref="AB47">BS_Greek("CALL","THETA",$Q47,$B$1,$B$2,$R$3,AB$6)</f>
        <v>-4.6813137664605499E-3</v>
      </c>
      <c r="AC47" s="20" cm="1">
        <f t="array" ref="AC47">BS_Greek("CALL","THETA",$Q47,$B$1,$B$2,$R$3,AC$6)</f>
        <v>-4.8647554364029642E-3</v>
      </c>
      <c r="AD47" s="20" cm="1">
        <f t="array" ref="AD47">BS_Greek("CALL","THETA",$Q47,$B$1,$B$2,$R$3,AD$6)</f>
        <v>-4.7392880521538129E-3</v>
      </c>
      <c r="AE47" s="21" cm="1">
        <f t="array" ref="AE47">BS_Greek("CALL","THETA",$Q47,$B$1,$B$2,$R$3,AE$6)</f>
        <v>-4.5351230739948635E-3</v>
      </c>
      <c r="AF47" s="5"/>
      <c r="AG47" s="12">
        <v>60</v>
      </c>
      <c r="AH47" s="19" cm="1">
        <f t="array" ref="AH47">BS_Greek("CALL","THETA",$AG47,$B$1,$B$2,$AH$3,AH$46)</f>
        <v>-4.8607391233108838E-59</v>
      </c>
      <c r="AI47" s="20" cm="1">
        <f t="array" ref="AI47">BS_Greek("CALL","THETA",$AG47,$B$1,$B$2,$AH$3,AI$46)</f>
        <v>-7.394036773880533E-31</v>
      </c>
      <c r="AJ47" s="20" cm="1">
        <f t="array" ref="AJ47">BS_Greek("CALL","THETA",$AG47,$B$1,$B$2,$AH$3,AJ$46)</f>
        <v>-1.6820692697282178E-21</v>
      </c>
      <c r="AK47" s="20" cm="1">
        <f t="array" ref="AK47">BS_Greek("CALL","THETA",$AG47,$B$1,$B$2,$AH$3,AK$46)</f>
        <v>-7.6992724938714478E-17</v>
      </c>
      <c r="AL47" s="20" cm="1">
        <f t="array" ref="AL47">BS_Greek("CALL","THETA",$AG47,$B$1,$B$2,$AH$3,AL$46)</f>
        <v>-4.7020604293671606E-14</v>
      </c>
      <c r="AM47" s="20" cm="1">
        <f t="array" ref="AM47">BS_Greek("CALL","THETA",$AG47,$B$1,$B$2,$AH$3,AM$46)</f>
        <v>-3.3311438102539531E-12</v>
      </c>
      <c r="AN47" s="20" cm="1">
        <f t="array" ref="AN47">BS_Greek("CALL","THETA",$AG47,$B$1,$B$2,$AH$3,AN$46)</f>
        <v>-6.9080303501675939E-11</v>
      </c>
      <c r="AO47" s="20" cm="1">
        <f t="array" ref="AO47">BS_Greek("CALL","THETA",$AG47,$B$1,$B$2,$AH$3,AO$46)</f>
        <v>-6.6573166634795337E-10</v>
      </c>
      <c r="AP47" s="20" cm="1">
        <f t="array" ref="AP47">BS_Greek("CALL","THETA",$AG47,$B$1,$B$2,$AH$3,AP$46)</f>
        <v>-3.8529870723675087E-9</v>
      </c>
      <c r="AQ47" s="20" cm="1">
        <f t="array" ref="AQ47">BS_Greek("CALL","THETA",$AG47,$B$1,$B$2,$AH$3,AQ$46)</f>
        <v>-1.5616486625209436E-8</v>
      </c>
      <c r="AR47" s="20" cm="1">
        <f t="array" ref="AR47">BS_Greek("CALL","THETA",$AG47,$B$1,$B$2,$AH$3,AR$46)</f>
        <v>-7.6971390871607689E-6</v>
      </c>
      <c r="AS47" s="20" cm="1">
        <f t="array" ref="AS47">BS_Greek("CALL","THETA",$AG47,$B$1,$B$2,$AH$3,AS$46)</f>
        <v>-5.6462471820863367E-5</v>
      </c>
      <c r="AT47" s="20" cm="1">
        <f t="array" ref="AT47">BS_Greek("CALL","THETA",$AG47,$B$1,$B$2,$AH$3,AT$46)</f>
        <v>-1.4781744530698417E-4</v>
      </c>
      <c r="AU47" s="21" cm="1">
        <f t="array" ref="AU47">BS_Greek("CALL","THETA",$AG47,$B$1,$B$2,$AH$3,AU$46)</f>
        <v>-2.5828777230125691E-4</v>
      </c>
    </row>
    <row r="48" spans="1:47" x14ac:dyDescent="0.2">
      <c r="A48" s="12">
        <v>65</v>
      </c>
      <c r="B48" s="22" cm="1">
        <f t="array" ref="B48">BS_Greek("CALL","THETA",$A48,$B$1,$B$2,$B$3,B$6)</f>
        <v>-2.6248667904048782E-12</v>
      </c>
      <c r="C48" s="14" cm="1">
        <f t="array" ref="C48">BS_Greek("CALL","THETA",$A48,$B$1,$B$2,$B$3,C$6)</f>
        <v>-2.0280984836933173E-7</v>
      </c>
      <c r="D48" s="14" cm="1">
        <f t="array" ref="D48">BS_Greek("CALL","THETA",$A48,$B$1,$B$2,$B$3,D$6)</f>
        <v>-7.9321511715336071E-6</v>
      </c>
      <c r="E48" s="14" cm="1">
        <f t="array" ref="E48">BS_Greek("CALL","THETA",$A48,$B$1,$B$2,$B$3,E$6)</f>
        <v>-4.7608365958502972E-5</v>
      </c>
      <c r="F48" s="14" cm="1">
        <f t="array" ref="F48">BS_Greek("CALL","THETA",$A48,$B$1,$B$2,$B$3,F$6)</f>
        <v>-1.3618275715220169E-4</v>
      </c>
      <c r="G48" s="14" cm="1">
        <f t="array" ref="G48">BS_Greek("CALL","THETA",$A48,$B$1,$B$2,$B$3,G$6)</f>
        <v>-2.7006423463393574E-4</v>
      </c>
      <c r="H48" s="14" cm="1">
        <f t="array" ref="H48">BS_Greek("CALL","THETA",$A48,$B$1,$B$2,$B$3,H$6)</f>
        <v>-4.3544627319080459E-4</v>
      </c>
      <c r="I48" s="14" cm="1">
        <f t="array" ref="I48">BS_Greek("CALL","THETA",$A48,$B$1,$B$2,$B$3,I$6)</f>
        <v>-6.1782905440109861E-4</v>
      </c>
      <c r="J48" s="14" cm="1">
        <f t="array" ref="J48">BS_Greek("CALL","THETA",$A48,$B$1,$B$2,$B$3,J$6)</f>
        <v>-8.05754417427621E-4</v>
      </c>
      <c r="K48" s="14" cm="1">
        <f t="array" ref="K48">BS_Greek("CALL","THETA",$A48,$B$1,$B$2,$B$3,K$6)</f>
        <v>-9.9131500388700139E-4</v>
      </c>
      <c r="L48" s="14" cm="1">
        <f t="array" ref="L48">BS_Greek("CALL","THETA",$A48,$B$1,$B$2,$B$3,L$6)</f>
        <v>-2.2764255882806923E-3</v>
      </c>
      <c r="M48" s="14" cm="1">
        <f t="array" ref="M48">BS_Greek("CALL","THETA",$A48,$B$1,$B$2,$B$3,M$6)</f>
        <v>-2.7721439412935855E-3</v>
      </c>
      <c r="N48" s="14" cm="1">
        <f t="array" ref="N48">BS_Greek("CALL","THETA",$A48,$B$1,$B$2,$B$3,N$6)</f>
        <v>-2.941578372976773E-3</v>
      </c>
      <c r="O48" s="23" cm="1">
        <f t="array" ref="O48">BS_Greek("CALL","THETA",$A48,$B$1,$B$2,$B$3,O$6)</f>
        <v>-2.9767508290865787E-3</v>
      </c>
      <c r="P48" s="5"/>
      <c r="Q48" s="12">
        <v>65</v>
      </c>
      <c r="R48" s="22" cm="1">
        <f t="array" ref="R48">BS_Greek("CALL","THETA",$Q48,$B$1,$B$2,$R$3,R$6)</f>
        <v>-1.464552122579643E-6</v>
      </c>
      <c r="S48" s="14" cm="1">
        <f t="array" ref="S48">BS_Greek("CALL","THETA",$Q48,$B$1,$B$2,$R$3,S$6)</f>
        <v>-1.7985278900348094E-4</v>
      </c>
      <c r="T48" s="14" cm="1">
        <f t="array" ref="T48">BS_Greek("CALL","THETA",$Q48,$B$1,$B$2,$R$3,T$6)</f>
        <v>-8.2033851045462854E-4</v>
      </c>
      <c r="U48" s="14" cm="1">
        <f t="array" ref="U48">BS_Greek("CALL","THETA",$Q48,$B$1,$B$2,$R$3,U$6)</f>
        <v>-1.6804353520095856E-3</v>
      </c>
      <c r="V48" s="14" cm="1">
        <f t="array" ref="V48">BS_Greek("CALL","THETA",$Q48,$B$1,$B$2,$R$3,V$6)</f>
        <v>-2.5207520927682334E-3</v>
      </c>
      <c r="W48" s="14" cm="1">
        <f t="array" ref="W48">BS_Greek("CALL","THETA",$Q48,$B$1,$B$2,$R$3,W$6)</f>
        <v>-3.2494106581974483E-3</v>
      </c>
      <c r="X48" s="14" cm="1">
        <f t="array" ref="X48">BS_Greek("CALL","THETA",$Q48,$B$1,$B$2,$R$3,X$6)</f>
        <v>-3.850254074906865E-3</v>
      </c>
      <c r="Y48" s="14" cm="1">
        <f t="array" ref="Y48">BS_Greek("CALL","THETA",$Q48,$B$1,$B$2,$R$3,Y$6)</f>
        <v>-4.3345416160164426E-3</v>
      </c>
      <c r="Z48" s="14" cm="1">
        <f t="array" ref="Z48">BS_Greek("CALL","THETA",$Q48,$B$1,$B$2,$R$3,Z$6)</f>
        <v>-4.7206112946230226E-3</v>
      </c>
      <c r="AA48" s="14" cm="1">
        <f t="array" ref="AA48">BS_Greek("CALL","THETA",$Q48,$B$1,$B$2,$R$3,AA$6)</f>
        <v>-5.026524094306325E-3</v>
      </c>
      <c r="AB48" s="14" cm="1">
        <f t="array" ref="AB48">BS_Greek("CALL","THETA",$Q48,$B$1,$B$2,$R$3,AB$6)</f>
        <v>-5.9813696060692558E-3</v>
      </c>
      <c r="AC48" s="14" cm="1">
        <f t="array" ref="AC48">BS_Greek("CALL","THETA",$Q48,$B$1,$B$2,$R$3,AC$6)</f>
        <v>-5.8003146846059223E-3</v>
      </c>
      <c r="AD48" s="14" cm="1">
        <f t="array" ref="AD48">BS_Greek("CALL","THETA",$Q48,$B$1,$B$2,$R$3,AD$6)</f>
        <v>-5.4588780490776694E-3</v>
      </c>
      <c r="AE48" s="23" cm="1">
        <f t="array" ref="AE48">BS_Greek("CALL","THETA",$Q48,$B$1,$B$2,$R$3,AE$6)</f>
        <v>-5.1165889558534737E-3</v>
      </c>
      <c r="AF48" s="5"/>
      <c r="AG48" s="12">
        <v>65</v>
      </c>
      <c r="AH48" s="22" cm="1">
        <f t="array" ref="AH48">BS_Greek("CALL","THETA",$AG48,$B$1,$B$2,$AH$3,AH$46)</f>
        <v>-1.08587626406211E-42</v>
      </c>
      <c r="AI48" s="14" cm="1">
        <f t="array" ref="AI48">BS_Greek("CALL","THETA",$AG48,$B$1,$B$2,$AH$3,AI$46)</f>
        <v>-1.084394209613217E-22</v>
      </c>
      <c r="AJ48" s="14" cm="1">
        <f t="array" ref="AJ48">BS_Greek("CALL","THETA",$AG48,$B$1,$B$2,$AH$3,AJ$46)</f>
        <v>-4.6211580497308818E-16</v>
      </c>
      <c r="AK48" s="14" cm="1">
        <f t="array" ref="AK48">BS_Greek("CALL","THETA",$AG48,$B$1,$B$2,$AH$3,AK$46)</f>
        <v>-9.1578871538016226E-13</v>
      </c>
      <c r="AL48" s="14" cm="1">
        <f t="array" ref="AL48">BS_Greek("CALL","THETA",$AG48,$B$1,$B$2,$AH$3,AL$46)</f>
        <v>-8.503599422603399E-11</v>
      </c>
      <c r="AM48" s="14" cm="1">
        <f t="array" ref="AM48">BS_Greek("CALL","THETA",$AG48,$B$1,$B$2,$AH$3,AM$46)</f>
        <v>-1.7164793217520013E-9</v>
      </c>
      <c r="AN48" s="14" cm="1">
        <f t="array" ref="AN48">BS_Greek("CALL","THETA",$AG48,$B$1,$B$2,$AH$3,AN$46)</f>
        <v>-1.45208142927398E-8</v>
      </c>
      <c r="AO48" s="14" cm="1">
        <f t="array" ref="AO48">BS_Greek("CALL","THETA",$AG48,$B$1,$B$2,$AH$3,AO$46)</f>
        <v>-7.1439472848684185E-8</v>
      </c>
      <c r="AP48" s="14" cm="1">
        <f t="array" ref="AP48">BS_Greek("CALL","THETA",$AG48,$B$1,$B$2,$AH$3,AP$46)</f>
        <v>-2.4511925227671841E-7</v>
      </c>
      <c r="AQ48" s="14" cm="1">
        <f t="array" ref="AQ48">BS_Greek("CALL","THETA",$AG48,$B$1,$B$2,$AH$3,AQ$46)</f>
        <v>-6.5397235258806203E-7</v>
      </c>
      <c r="AR48" s="14" cm="1">
        <f t="array" ref="AR48">BS_Greek("CALL","THETA",$AG48,$B$1,$B$2,$AH$3,AR$46)</f>
        <v>-4.9218966358370517E-5</v>
      </c>
      <c r="AS48" s="14" cm="1">
        <f t="array" ref="AS48">BS_Greek("CALL","THETA",$AG48,$B$1,$B$2,$AH$3,AS$46)</f>
        <v>-1.9342981188610103E-4</v>
      </c>
      <c r="AT48" s="14" cm="1">
        <f t="array" ref="AT48">BS_Greek("CALL","THETA",$AG48,$B$1,$B$2,$AH$3,AT$46)</f>
        <v>-3.7114411583880649E-4</v>
      </c>
      <c r="AU48" s="23" cm="1">
        <f t="array" ref="AU48">BS_Greek("CALL","THETA",$AG48,$B$1,$B$2,$AH$3,AU$46)</f>
        <v>-5.3865140524796259E-4</v>
      </c>
    </row>
    <row r="49" spans="1:47" x14ac:dyDescent="0.2">
      <c r="A49" s="12">
        <v>70</v>
      </c>
      <c r="B49" s="22" cm="1">
        <f t="array" ref="B49">BS_Greek("CALL","THETA",$A49,$B$1,$B$2,$B$3,B$6)</f>
        <v>-3.9404830525703291E-9</v>
      </c>
      <c r="C49" s="14" cm="1">
        <f t="array" ref="C49">BS_Greek("CALL","THETA",$A49,$B$1,$B$2,$B$3,C$6)</f>
        <v>-7.9406924481039188E-6</v>
      </c>
      <c r="D49" s="14" cm="1">
        <f t="array" ref="D49">BS_Greek("CALL","THETA",$A49,$B$1,$B$2,$B$3,D$6)</f>
        <v>-9.2140485212822363E-5</v>
      </c>
      <c r="E49" s="14" cm="1">
        <f t="array" ref="E49">BS_Greek("CALL","THETA",$A49,$B$1,$B$2,$B$3,E$6)</f>
        <v>-3.0130195547792748E-4</v>
      </c>
      <c r="F49" s="14" cm="1">
        <f t="array" ref="F49">BS_Greek("CALL","THETA",$A49,$B$1,$B$2,$B$3,F$6)</f>
        <v>-5.9878975718341467E-4</v>
      </c>
      <c r="G49" s="14" cm="1">
        <f t="array" ref="G49">BS_Greek("CALL","THETA",$A49,$B$1,$B$2,$B$3,G$6)</f>
        <v>-9.3160424169297287E-4</v>
      </c>
      <c r="H49" s="14" cm="1">
        <f t="array" ref="H49">BS_Greek("CALL","THETA",$A49,$B$1,$B$2,$B$3,H$6)</f>
        <v>-1.2631773869274511E-3</v>
      </c>
      <c r="I49" s="14" cm="1">
        <f t="array" ref="I49">BS_Greek("CALL","THETA",$A49,$B$1,$B$2,$B$3,I$6)</f>
        <v>-1.5740008656708259E-3</v>
      </c>
      <c r="J49" s="14" cm="1">
        <f t="array" ref="J49">BS_Greek("CALL","THETA",$A49,$B$1,$B$2,$B$3,J$6)</f>
        <v>-1.8556840243722011E-3</v>
      </c>
      <c r="K49" s="14" cm="1">
        <f t="array" ref="K49">BS_Greek("CALL","THETA",$A49,$B$1,$B$2,$B$3,K$6)</f>
        <v>-2.1060358663825911E-3</v>
      </c>
      <c r="L49" s="14" cm="1">
        <f t="array" ref="L49">BS_Greek("CALL","THETA",$A49,$B$1,$B$2,$B$3,L$6)</f>
        <v>-3.3666522687759771E-3</v>
      </c>
      <c r="M49" s="14" cm="1">
        <f t="array" ref="M49">BS_Greek("CALL","THETA",$A49,$B$1,$B$2,$B$3,M$6)</f>
        <v>-3.635864637664292E-3</v>
      </c>
      <c r="N49" s="14" cm="1">
        <f t="array" ref="N49">BS_Greek("CALL","THETA",$A49,$B$1,$B$2,$B$3,N$6)</f>
        <v>-3.6341149755855307E-3</v>
      </c>
      <c r="O49" s="23" cm="1">
        <f t="array" ref="O49">BS_Greek("CALL","THETA",$A49,$B$1,$B$2,$B$3,O$6)</f>
        <v>-3.5482817080170629E-3</v>
      </c>
      <c r="P49" s="5"/>
      <c r="Q49" s="12">
        <v>70</v>
      </c>
      <c r="R49" s="22" cm="1">
        <f t="array" ref="R49">BS_Greek("CALL","THETA",$Q49,$B$1,$B$2,$R$3,R$6)</f>
        <v>-3.8599251798747767E-5</v>
      </c>
      <c r="S49" s="14" cm="1">
        <f t="array" ref="S49">BS_Greek("CALL","THETA",$Q49,$B$1,$B$2,$R$3,S$6)</f>
        <v>-9.3767928080001135E-4</v>
      </c>
      <c r="T49" s="14" cm="1">
        <f t="array" ref="T49">BS_Greek("CALL","THETA",$Q49,$B$1,$B$2,$R$3,T$6)</f>
        <v>-2.4927261695394526E-3</v>
      </c>
      <c r="U49" s="14" cm="1">
        <f t="array" ref="U49">BS_Greek("CALL","THETA",$Q49,$B$1,$B$2,$R$3,U$6)</f>
        <v>-3.8989224445752516E-3</v>
      </c>
      <c r="V49" s="14" cm="1">
        <f t="array" ref="V49">BS_Greek("CALL","THETA",$Q49,$B$1,$B$2,$R$3,V$6)</f>
        <v>-4.9750887751915203E-3</v>
      </c>
      <c r="W49" s="14" cm="1">
        <f t="array" ref="W49">BS_Greek("CALL","THETA",$Q49,$B$1,$B$2,$R$3,W$6)</f>
        <v>-5.757969787493899E-3</v>
      </c>
      <c r="X49" s="14" cm="1">
        <f t="array" ref="X49">BS_Greek("CALL","THETA",$Q49,$B$1,$B$2,$R$3,X$6)</f>
        <v>-6.3174464964430178E-3</v>
      </c>
      <c r="Y49" s="14" cm="1">
        <f t="array" ref="Y49">BS_Greek("CALL","THETA",$Q49,$B$1,$B$2,$R$3,Y$6)</f>
        <v>-6.713524727213779E-3</v>
      </c>
      <c r="Z49" s="14" cm="1">
        <f t="array" ref="Z49">BS_Greek("CALL","THETA",$Q49,$B$1,$B$2,$R$3,Z$6)</f>
        <v>-6.9909687558181227E-3</v>
      </c>
      <c r="AA49" s="14" cm="1">
        <f t="array" ref="AA49">BS_Greek("CALL","THETA",$Q49,$B$1,$B$2,$R$3,AA$6)</f>
        <v>-7.1819210348500759E-3</v>
      </c>
      <c r="AB49" s="14" cm="1">
        <f t="array" ref="AB49">BS_Greek("CALL","THETA",$Q49,$B$1,$B$2,$R$3,AB$6)</f>
        <v>-7.2754572296498624E-3</v>
      </c>
      <c r="AC49" s="14" cm="1">
        <f t="array" ref="AC49">BS_Greek("CALL","THETA",$Q49,$B$1,$B$2,$R$3,AC$6)</f>
        <v>-6.6876625701143017E-3</v>
      </c>
      <c r="AD49" s="14" cm="1">
        <f t="array" ref="AD49">BS_Greek("CALL","THETA",$Q49,$B$1,$B$2,$R$3,AD$6)</f>
        <v>-6.1279613810610624E-3</v>
      </c>
      <c r="AE49" s="23" cm="1">
        <f t="array" ref="AE49">BS_Greek("CALL","THETA",$Q49,$B$1,$B$2,$R$3,AE$6)</f>
        <v>-5.6522519726966928E-3</v>
      </c>
      <c r="AF49" s="5"/>
      <c r="AG49" s="12">
        <v>70</v>
      </c>
      <c r="AH49" s="22" cm="1">
        <f t="array" ref="AH49">BS_Greek("CALL","THETA",$AG49,$B$1,$B$2,$AH$3,AH$46)</f>
        <v>-4.9219683121509843E-30</v>
      </c>
      <c r="AI49" s="14" cm="1">
        <f t="array" ref="AI49">BS_Greek("CALL","THETA",$AG49,$B$1,$B$2,$AH$3,AI$46)</f>
        <v>-2.2694361220867503E-16</v>
      </c>
      <c r="AJ49" s="14" cm="1">
        <f t="array" ref="AJ49">BS_Greek("CALL","THETA",$AG49,$B$1,$B$2,$AH$3,AJ$46)</f>
        <v>-7.479143057101752E-12</v>
      </c>
      <c r="AK49" s="14" cm="1">
        <f t="array" ref="AK49">BS_Greek("CALL","THETA",$AG49,$B$1,$B$2,$AH$3,AK$46)</f>
        <v>-1.3039335518015704E-9</v>
      </c>
      <c r="AL49" s="14" cm="1">
        <f t="array" ref="AL49">BS_Greek("CALL","THETA",$AG49,$B$1,$B$2,$AH$3,AL$46)</f>
        <v>-2.8171504015769907E-8</v>
      </c>
      <c r="AM49" s="14" cm="1">
        <f t="array" ref="AM49">BS_Greek("CALL","THETA",$AG49,$B$1,$B$2,$AH$3,AM$46)</f>
        <v>-2.1516966274240728E-7</v>
      </c>
      <c r="AN49" s="14" cm="1">
        <f t="array" ref="AN49">BS_Greek("CALL","THETA",$AG49,$B$1,$B$2,$AH$3,AN$46)</f>
        <v>-9.0937510122591536E-7</v>
      </c>
      <c r="AO49" s="14" cm="1">
        <f t="array" ref="AO49">BS_Greek("CALL","THETA",$AG49,$B$1,$B$2,$AH$3,AO$46)</f>
        <v>-2.6589967230020451E-6</v>
      </c>
      <c r="AP49" s="14" cm="1">
        <f t="array" ref="AP49">BS_Greek("CALL","THETA",$AG49,$B$1,$B$2,$AH$3,AP$46)</f>
        <v>-6.0877951498852109E-6</v>
      </c>
      <c r="AQ49" s="14" cm="1">
        <f t="array" ref="AQ49">BS_Greek("CALL","THETA",$AG49,$B$1,$B$2,$AH$3,AQ$46)</f>
        <v>-1.1752640499261456E-5</v>
      </c>
      <c r="AR49" s="14" cm="1">
        <f t="array" ref="AR49">BS_Greek("CALL","THETA",$AG49,$B$1,$B$2,$AH$3,AR$46)</f>
        <v>-2.0682932881957742E-4</v>
      </c>
      <c r="AS49" s="14" cm="1">
        <f t="array" ref="AS49">BS_Greek("CALL","THETA",$AG49,$B$1,$B$2,$AH$3,AS$46)</f>
        <v>-5.0203494188602073E-4</v>
      </c>
      <c r="AT49" s="14" cm="1">
        <f t="array" ref="AT49">BS_Greek("CALL","THETA",$AG49,$B$1,$B$2,$AH$3,AT$46)</f>
        <v>-7.5805134587510507E-4</v>
      </c>
      <c r="AU49" s="23" cm="1">
        <f t="array" ref="AU49">BS_Greek("CALL","THETA",$AG49,$B$1,$B$2,$AH$3,AU$46)</f>
        <v>-9.5361421913977456E-4</v>
      </c>
    </row>
    <row r="50" spans="1:47" x14ac:dyDescent="0.2">
      <c r="A50" s="12">
        <v>75</v>
      </c>
      <c r="B50" s="22" cm="1">
        <f t="array" ref="B50">BS_Greek("CALL","THETA",$A50,$B$1,$B$2,$B$3,B$6)</f>
        <v>-1.0397680648206159E-6</v>
      </c>
      <c r="C50" s="14" cm="1">
        <f t="array" ref="C50">BS_Greek("CALL","THETA",$A50,$B$1,$B$2,$B$3,C$6)</f>
        <v>-1.3031085671558085E-4</v>
      </c>
      <c r="D50" s="14" cm="1">
        <f t="array" ref="D50">BS_Greek("CALL","THETA",$A50,$B$1,$B$2,$B$3,D$6)</f>
        <v>-5.993780673149658E-4</v>
      </c>
      <c r="E50" s="14" cm="1">
        <f t="array" ref="E50">BS_Greek("CALL","THETA",$A50,$B$1,$B$2,$B$3,E$6)</f>
        <v>-1.234372742904436E-3</v>
      </c>
      <c r="F50" s="14" cm="1">
        <f t="array" ref="F50">BS_Greek("CALL","THETA",$A50,$B$1,$B$2,$B$3,F$6)</f>
        <v>-1.8591772491187446E-3</v>
      </c>
      <c r="G50" s="14" cm="1">
        <f t="array" ref="G50">BS_Greek("CALL","THETA",$A50,$B$1,$B$2,$B$3,G$6)</f>
        <v>-2.4047647486842693E-3</v>
      </c>
      <c r="H50" s="14" cm="1">
        <f t="array" ref="H50">BS_Greek("CALL","THETA",$A50,$B$1,$B$2,$B$3,H$6)</f>
        <v>-2.8579845943357499E-3</v>
      </c>
      <c r="I50" s="14" cm="1">
        <f t="array" ref="I50">BS_Greek("CALL","THETA",$A50,$B$1,$B$2,$B$3,I$6)</f>
        <v>-3.2262609285481081E-3</v>
      </c>
      <c r="J50" s="14" cm="1">
        <f t="array" ref="J50">BS_Greek("CALL","THETA",$A50,$B$1,$B$2,$B$3,J$6)</f>
        <v>-3.5225471584751748E-3</v>
      </c>
      <c r="K50" s="14" cm="1">
        <f t="array" ref="K50">BS_Greek("CALL","THETA",$A50,$B$1,$B$2,$B$3,K$6)</f>
        <v>-3.759806700945569E-3</v>
      </c>
      <c r="L50" s="14" cm="1">
        <f t="array" ref="L50">BS_Greek("CALL","THETA",$A50,$B$1,$B$2,$B$3,L$6)</f>
        <v>-4.5638212258901963E-3</v>
      </c>
      <c r="M50" s="14" cm="1">
        <f t="array" ref="M50">BS_Greek("CALL","THETA",$A50,$B$1,$B$2,$B$3,M$6)</f>
        <v>-4.4990305615206011E-3</v>
      </c>
      <c r="N50" s="14" cm="1">
        <f t="array" ref="N50">BS_Greek("CALL","THETA",$A50,$B$1,$B$2,$B$3,N$6)</f>
        <v>-4.2970851982288083E-3</v>
      </c>
      <c r="O50" s="23" cm="1">
        <f t="array" ref="O50">BS_Greek("CALL","THETA",$A50,$B$1,$B$2,$B$3,O$6)</f>
        <v>-4.0829616890457558E-3</v>
      </c>
      <c r="P50" s="5"/>
      <c r="Q50" s="12">
        <v>75</v>
      </c>
      <c r="R50" s="22" cm="1">
        <f t="array" ref="R50">BS_Greek("CALL","THETA",$Q50,$B$1,$B$2,$R$3,R$6)</f>
        <v>-4.6914242652264476E-4</v>
      </c>
      <c r="S50" s="14" cm="1">
        <f t="array" ref="S50">BS_Greek("CALL","THETA",$Q50,$B$1,$B$2,$R$3,S$6)</f>
        <v>-3.3173520135102042E-3</v>
      </c>
      <c r="T50" s="14" cm="1">
        <f t="array" ref="T50">BS_Greek("CALL","THETA",$Q50,$B$1,$B$2,$R$3,T$6)</f>
        <v>-5.8463285736070382E-3</v>
      </c>
      <c r="U50" s="14" cm="1">
        <f t="array" ref="U50">BS_Greek("CALL","THETA",$Q50,$B$1,$B$2,$R$3,U$6)</f>
        <v>-7.4466314730471401E-3</v>
      </c>
      <c r="V50" s="14" cm="1">
        <f t="array" ref="V50">BS_Greek("CALL","THETA",$Q50,$B$1,$B$2,$R$3,V$6)</f>
        <v>-8.4012195500086009E-3</v>
      </c>
      <c r="W50" s="14" cm="1">
        <f t="array" ref="W50">BS_Greek("CALL","THETA",$Q50,$B$1,$B$2,$R$3,W$6)</f>
        <v>-8.9575430478272319E-3</v>
      </c>
      <c r="X50" s="14" cm="1">
        <f t="array" ref="X50">BS_Greek("CALL","THETA",$Q50,$B$1,$B$2,$R$3,X$6)</f>
        <v>-9.2690512851180233E-3</v>
      </c>
      <c r="Y50" s="14" cm="1">
        <f t="array" ref="Y50">BS_Greek("CALL","THETA",$Q50,$B$1,$B$2,$R$3,Y$6)</f>
        <v>-9.427313990530423E-3</v>
      </c>
      <c r="Z50" s="14" cm="1">
        <f t="array" ref="Z50">BS_Greek("CALL","THETA",$Q50,$B$1,$B$2,$R$3,Z$6)</f>
        <v>-9.4877363884708094E-3</v>
      </c>
      <c r="AA50" s="14" cm="1">
        <f t="array" ref="AA50">BS_Greek("CALL","THETA",$Q50,$B$1,$B$2,$R$3,AA$6)</f>
        <v>-9.4846913015921505E-3</v>
      </c>
      <c r="AB50" s="14" cm="1">
        <f t="array" ref="AB50">BS_Greek("CALL","THETA",$Q50,$B$1,$B$2,$R$3,AB$6)</f>
        <v>-8.5006918870688866E-3</v>
      </c>
      <c r="AC50" s="14" cm="1">
        <f t="array" ref="AC50">BS_Greek("CALL","THETA",$Q50,$B$1,$B$2,$R$3,AC$6)</f>
        <v>-7.5020370957601138E-3</v>
      </c>
      <c r="AD50" s="14" cm="1">
        <f t="array" ref="AD50">BS_Greek("CALL","THETA",$Q50,$B$1,$B$2,$R$3,AD$6)</f>
        <v>-6.7355356887253467E-3</v>
      </c>
      <c r="AE50" s="23" cm="1">
        <f t="array" ref="AE50">BS_Greek("CALL","THETA",$Q50,$B$1,$B$2,$R$3,AE$6)</f>
        <v>-6.1370043560337343E-3</v>
      </c>
      <c r="AF50" s="5"/>
      <c r="AG50" s="12">
        <v>75</v>
      </c>
      <c r="AH50" s="22" cm="1">
        <f t="array" ref="AH50">BS_Greek("CALL","THETA",$AG50,$B$1,$B$2,$AH$3,AH$46)</f>
        <v>-2.1440234195109654E-20</v>
      </c>
      <c r="AI50" s="14" cm="1">
        <f t="array" ref="AI50">BS_Greek("CALL","THETA",$AG50,$B$1,$B$2,$AH$3,AI$46)</f>
        <v>-1.4749846893202475E-11</v>
      </c>
      <c r="AJ50" s="14" cm="1">
        <f t="array" ref="AJ50">BS_Greek("CALL","THETA",$AG50,$B$1,$B$2,$AH$3,AJ$46)</f>
        <v>-1.1975842083892231E-8</v>
      </c>
      <c r="AK50" s="14" cm="1">
        <f t="array" ref="AK50">BS_Greek("CALL","THETA",$AG50,$B$1,$B$2,$AH$3,AK$46)</f>
        <v>-3.278888743849616E-7</v>
      </c>
      <c r="AL50" s="14" cm="1">
        <f t="array" ref="AL50">BS_Greek("CALL","THETA",$AG50,$B$1,$B$2,$AH$3,AL$46)</f>
        <v>-2.333768996237393E-6</v>
      </c>
      <c r="AM50" s="14" cm="1">
        <f t="array" ref="AM50">BS_Greek("CALL","THETA",$AG50,$B$1,$B$2,$AH$3,AM$46)</f>
        <v>-8.5050236349412034E-6</v>
      </c>
      <c r="AN50" s="14" cm="1">
        <f t="array" ref="AN50">BS_Greek("CALL","THETA",$AG50,$B$1,$B$2,$AH$3,AN$46)</f>
        <v>-2.119349141272701E-5</v>
      </c>
      <c r="AO50" s="14" cm="1">
        <f t="array" ref="AO50">BS_Greek("CALL","THETA",$AG50,$B$1,$B$2,$AH$3,AO$46)</f>
        <v>-4.1704733289099119E-5</v>
      </c>
      <c r="AP50" s="14" cm="1">
        <f t="array" ref="AP50">BS_Greek("CALL","THETA",$AG50,$B$1,$B$2,$AH$3,AP$46)</f>
        <v>-7.0182114445786235E-5</v>
      </c>
      <c r="AQ50" s="14" cm="1">
        <f t="array" ref="AQ50">BS_Greek("CALL","THETA",$AG50,$B$1,$B$2,$AH$3,AQ$46)</f>
        <v>-1.0592549484760884E-4</v>
      </c>
      <c r="AR50" s="14" cm="1">
        <f t="array" ref="AR50">BS_Greek("CALL","THETA",$AG50,$B$1,$B$2,$AH$3,AR$46)</f>
        <v>-6.1764905407730704E-4</v>
      </c>
      <c r="AS50" s="14" cm="1">
        <f t="array" ref="AS50">BS_Greek("CALL","THETA",$AG50,$B$1,$B$2,$AH$3,AS$46)</f>
        <v>-1.0401613305351378E-3</v>
      </c>
      <c r="AT50" s="14" cm="1">
        <f t="array" ref="AT50">BS_Greek("CALL","THETA",$AG50,$B$1,$B$2,$AH$3,AT$46)</f>
        <v>-1.309924658576698E-3</v>
      </c>
      <c r="AU50" s="23" cm="1">
        <f t="array" ref="AU50">BS_Greek("CALL","THETA",$AG50,$B$1,$B$2,$AH$3,AU$46)</f>
        <v>-1.4789037362070371E-3</v>
      </c>
    </row>
    <row r="51" spans="1:47" x14ac:dyDescent="0.2">
      <c r="A51" s="12">
        <v>80</v>
      </c>
      <c r="B51" s="22" cm="1">
        <f t="array" ref="B51">BS_Greek("CALL","THETA",$A51,$B$1,$B$2,$B$3,B$6)</f>
        <v>-6.5223093214192003E-5</v>
      </c>
      <c r="C51" s="14" cm="1">
        <f t="array" ref="C51">BS_Greek("CALL","THETA",$A51,$B$1,$B$2,$B$3,C$6)</f>
        <v>-1.04263926294409E-3</v>
      </c>
      <c r="D51" s="14" cm="1">
        <f t="array" ref="D51">BS_Greek("CALL","THETA",$A51,$B$1,$B$2,$B$3,D$6)</f>
        <v>-2.4154996273794377E-3</v>
      </c>
      <c r="E51" s="14" cm="1">
        <f t="array" ref="E51">BS_Greek("CALL","THETA",$A51,$B$1,$B$2,$B$3,E$6)</f>
        <v>-3.5316160394163161E-3</v>
      </c>
      <c r="F51" s="14" cm="1">
        <f t="array" ref="F51">BS_Greek("CALL","THETA",$A51,$B$1,$B$2,$B$3,F$6)</f>
        <v>-4.3318309302801308E-3</v>
      </c>
      <c r="G51" s="14" cm="1">
        <f t="array" ref="G51">BS_Greek("CALL","THETA",$A51,$B$1,$B$2,$B$3,G$6)</f>
        <v>-4.886901600014427E-3</v>
      </c>
      <c r="H51" s="14" cm="1">
        <f t="array" ref="H51">BS_Greek("CALL","THETA",$A51,$B$1,$B$2,$B$3,H$6)</f>
        <v>-5.2679667427073381E-3</v>
      </c>
      <c r="I51" s="14" cm="1">
        <f t="array" ref="I51">BS_Greek("CALL","THETA",$A51,$B$1,$B$2,$B$3,I$6)</f>
        <v>-5.5275294956448687E-3</v>
      </c>
      <c r="J51" s="14" cm="1">
        <f t="array" ref="J51">BS_Greek("CALL","THETA",$A51,$B$1,$B$2,$B$3,J$6)</f>
        <v>-5.7018629445087735E-3</v>
      </c>
      <c r="K51" s="14" cm="1">
        <f t="array" ref="K51">BS_Greek("CALL","THETA",$A51,$B$1,$B$2,$B$3,K$6)</f>
        <v>-5.8157635441449815E-3</v>
      </c>
      <c r="L51" s="14" cm="1">
        <f t="array" ref="L51">BS_Greek("CALL","THETA",$A51,$B$1,$B$2,$B$3,L$6)</f>
        <v>-5.7590243652999194E-3</v>
      </c>
      <c r="M51" s="14" cm="1">
        <f t="array" ref="M51">BS_Greek("CALL","THETA",$A51,$B$1,$B$2,$B$3,M$6)</f>
        <v>-5.3069289492333055E-3</v>
      </c>
      <c r="N51" s="14" cm="1">
        <f t="array" ref="N51">BS_Greek("CALL","THETA",$A51,$B$1,$B$2,$B$3,N$6)</f>
        <v>-4.9010750454576753E-3</v>
      </c>
      <c r="O51" s="23" cm="1">
        <f t="array" ref="O51">BS_Greek("CALL","THETA",$A51,$B$1,$B$2,$B$3,O$6)</f>
        <v>-4.5638685371750436E-3</v>
      </c>
      <c r="P51" s="5"/>
      <c r="Q51" s="12">
        <v>80</v>
      </c>
      <c r="R51" s="22" cm="1">
        <f t="array" ref="R51">BS_Greek("CALL","THETA",$Q51,$B$1,$B$2,$R$3,R$6)</f>
        <v>-3.0078894605649665E-3</v>
      </c>
      <c r="S51" s="14" cm="1">
        <f t="array" ref="S51">BS_Greek("CALL","THETA",$Q51,$B$1,$B$2,$R$3,S$6)</f>
        <v>-8.5194390350108885E-3</v>
      </c>
      <c r="T51" s="14" cm="1">
        <f t="array" ref="T51">BS_Greek("CALL","THETA",$Q51,$B$1,$B$2,$R$3,T$6)</f>
        <v>-1.1071292666040013E-2</v>
      </c>
      <c r="U51" s="14" cm="1">
        <f t="array" ref="U51">BS_Greek("CALL","THETA",$Q51,$B$1,$B$2,$R$3,U$6)</f>
        <v>-1.2111342052952888E-2</v>
      </c>
      <c r="V51" s="14" cm="1">
        <f t="array" ref="V51">BS_Greek("CALL","THETA",$Q51,$B$1,$B$2,$R$3,V$6)</f>
        <v>-1.2472809838283586E-2</v>
      </c>
      <c r="W51" s="14" cm="1">
        <f t="array" ref="W51">BS_Greek("CALL","THETA",$Q51,$B$1,$B$2,$R$3,W$6)</f>
        <v>-1.2514917545781391E-2</v>
      </c>
      <c r="X51" s="14" cm="1">
        <f t="array" ref="X51">BS_Greek("CALL","THETA",$Q51,$B$1,$B$2,$R$3,X$6)</f>
        <v>-1.2400669864055774E-2</v>
      </c>
      <c r="Y51" s="14" cm="1">
        <f t="array" ref="Y51">BS_Greek("CALL","THETA",$Q51,$B$1,$B$2,$R$3,Y$6)</f>
        <v>-1.2209181629855972E-2</v>
      </c>
      <c r="Z51" s="14" cm="1">
        <f t="array" ref="Z51">BS_Greek("CALL","THETA",$Q51,$B$1,$B$2,$R$3,Z$6)</f>
        <v>-1.1981003461584481E-2</v>
      </c>
      <c r="AA51" s="14" cm="1">
        <f t="array" ref="AA51">BS_Greek("CALL","THETA",$Q51,$B$1,$B$2,$R$3,AA$6)</f>
        <v>-1.1737745850549727E-2</v>
      </c>
      <c r="AB51" s="14" cm="1">
        <f t="array" ref="AB51">BS_Greek("CALL","THETA",$Q51,$B$1,$B$2,$R$3,AB$6)</f>
        <v>-9.6077555339189324E-3</v>
      </c>
      <c r="AC51" s="14" cm="1">
        <f t="array" ref="AC51">BS_Greek("CALL","THETA",$Q51,$B$1,$B$2,$R$3,AC$6)</f>
        <v>-8.2267347934791759E-3</v>
      </c>
      <c r="AD51" s="14" cm="1">
        <f t="array" ref="AD51">BS_Greek("CALL","THETA",$Q51,$B$1,$B$2,$R$3,AD$6)</f>
        <v>-7.2751933658265393E-3</v>
      </c>
      <c r="AE51" s="23" cm="1">
        <f t="array" ref="AE51">BS_Greek("CALL","THETA",$Q51,$B$1,$B$2,$R$3,AE$6)</f>
        <v>-6.5684877615526747E-3</v>
      </c>
      <c r="AF51" s="5"/>
      <c r="AG51" s="12">
        <v>80</v>
      </c>
      <c r="AH51" s="22" cm="1">
        <f t="array" ref="AH51">BS_Greek("CALL","THETA",$AG51,$B$1,$B$2,$AH$3,AH$46)</f>
        <v>-2.9987587661495556E-13</v>
      </c>
      <c r="AI51" s="14" cm="1">
        <f t="array" ref="AI51">BS_Greek("CALL","THETA",$AG51,$B$1,$B$2,$AH$3,AI$46)</f>
        <v>-5.4426425665660641E-8</v>
      </c>
      <c r="AJ51" s="14" cm="1">
        <f t="array" ref="AJ51">BS_Greek("CALL","THETA",$AG51,$B$1,$B$2,$AH$3,AJ$46)</f>
        <v>-2.8371084775912316E-6</v>
      </c>
      <c r="AK51" s="14" cm="1">
        <f t="array" ref="AK51">BS_Greek("CALL","THETA",$AG51,$B$1,$B$2,$AH$3,AK$46)</f>
        <v>-1.9695489009571748E-5</v>
      </c>
      <c r="AL51" s="14" cm="1">
        <f t="array" ref="AL51">BS_Greek("CALL","THETA",$AG51,$B$1,$B$2,$AH$3,AL$46)</f>
        <v>-6.1567719232975506E-5</v>
      </c>
      <c r="AM51" s="14" cm="1">
        <f t="array" ref="AM51">BS_Greek("CALL","THETA",$AG51,$B$1,$B$2,$AH$3,AM$46)</f>
        <v>-1.2968848286531006E-4</v>
      </c>
      <c r="AN51" s="14" cm="1">
        <f t="array" ref="AN51">BS_Greek("CALL","THETA",$AG51,$B$1,$B$2,$AH$3,AN$46)</f>
        <v>-2.1852655736779805E-4</v>
      </c>
      <c r="AO51" s="14" cm="1">
        <f t="array" ref="AO51">BS_Greek("CALL","THETA",$AG51,$B$1,$B$2,$AH$3,AO$46)</f>
        <v>-3.2073348954253554E-4</v>
      </c>
      <c r="AP51" s="14" cm="1">
        <f t="array" ref="AP51">BS_Greek("CALL","THETA",$AG51,$B$1,$B$2,$AH$3,AP$46)</f>
        <v>-4.2975710045097974E-4</v>
      </c>
      <c r="AQ51" s="14" cm="1">
        <f t="array" ref="AQ51">BS_Greek("CALL","THETA",$AG51,$B$1,$B$2,$AH$3,AQ$46)</f>
        <v>-5.4062403596464171E-4</v>
      </c>
      <c r="AR51" s="14" cm="1">
        <f t="array" ref="AR51">BS_Greek("CALL","THETA",$AG51,$B$1,$B$2,$AH$3,AR$46)</f>
        <v>-1.393497328409217E-3</v>
      </c>
      <c r="AS51" s="14" cm="1">
        <f t="array" ref="AS51">BS_Greek("CALL","THETA",$AG51,$B$1,$B$2,$AH$3,AS$46)</f>
        <v>-1.7923956660358823E-3</v>
      </c>
      <c r="AT51" s="14" cm="1">
        <f t="array" ref="AT51">BS_Greek("CALL","THETA",$AG51,$B$1,$B$2,$AH$3,AT$46)</f>
        <v>-1.9750182600096898E-3</v>
      </c>
      <c r="AU51" s="23" cm="1">
        <f t="array" ref="AU51">BS_Greek("CALL","THETA",$AG51,$B$1,$B$2,$AH$3,AU$46)</f>
        <v>-2.0592901027797783E-3</v>
      </c>
    </row>
    <row r="52" spans="1:47" x14ac:dyDescent="0.2">
      <c r="A52" s="12">
        <v>85</v>
      </c>
      <c r="B52" s="22" cm="1">
        <f t="array" ref="B52">BS_Greek("CALL","THETA",$A52,$B$1,$B$2,$B$3,B$6)</f>
        <v>-1.2340908727128783E-3</v>
      </c>
      <c r="C52" s="14" cm="1">
        <f t="array" ref="C52">BS_Greek("CALL","THETA",$A52,$B$1,$B$2,$B$3,C$6)</f>
        <v>-4.5832538113903584E-3</v>
      </c>
      <c r="D52" s="14" cm="1">
        <f t="array" ref="D52">BS_Greek("CALL","THETA",$A52,$B$1,$B$2,$B$3,D$6)</f>
        <v>-6.5319029442229863E-3</v>
      </c>
      <c r="E52" s="14" cm="1">
        <f t="array" ref="E52">BS_Greek("CALL","THETA",$A52,$B$1,$B$2,$B$3,E$6)</f>
        <v>-7.4930015931228408E-3</v>
      </c>
      <c r="F52" s="14" cm="1">
        <f t="array" ref="F52">BS_Greek("CALL","THETA",$A52,$B$1,$B$2,$B$3,F$6)</f>
        <v>-7.9475655930915743E-3</v>
      </c>
      <c r="G52" s="14" cm="1">
        <f t="array" ref="G52">BS_Greek("CALL","THETA",$A52,$B$1,$B$2,$B$3,G$6)</f>
        <v>-8.1390639478204456E-3</v>
      </c>
      <c r="H52" s="14" cm="1">
        <f t="array" ref="H52">BS_Greek("CALL","THETA",$A52,$B$1,$B$2,$B$3,H$6)</f>
        <v>-8.1885639235653052E-3</v>
      </c>
      <c r="I52" s="14" cm="1">
        <f t="array" ref="I52">BS_Greek("CALL","THETA",$A52,$B$1,$B$2,$B$3,I$6)</f>
        <v>-8.1590863415906198E-3</v>
      </c>
      <c r="J52" s="14" cm="1">
        <f t="array" ref="J52">BS_Greek("CALL","THETA",$A52,$B$1,$B$2,$B$3,J$6)</f>
        <v>-8.0850577561104031E-3</v>
      </c>
      <c r="K52" s="14" cm="1">
        <f t="array" ref="K52">BS_Greek("CALL","THETA",$A52,$B$1,$B$2,$B$3,K$6)</f>
        <v>-7.9860677844929145E-3</v>
      </c>
      <c r="L52" s="14" cm="1">
        <f t="array" ref="L52">BS_Greek("CALL","THETA",$A52,$B$1,$B$2,$B$3,L$6)</f>
        <v>-6.8481909180574509E-3</v>
      </c>
      <c r="M52" s="14" cm="1">
        <f t="array" ref="M52">BS_Greek("CALL","THETA",$A52,$B$1,$B$2,$B$3,M$6)</f>
        <v>-6.0164633372898138E-3</v>
      </c>
      <c r="N52" s="14" cm="1">
        <f t="array" ref="N52">BS_Greek("CALL","THETA",$A52,$B$1,$B$2,$B$3,N$6)</f>
        <v>-5.425385421020462E-3</v>
      </c>
      <c r="O52" s="23" cm="1">
        <f t="array" ref="O52">BS_Greek("CALL","THETA",$A52,$B$1,$B$2,$B$3,O$6)</f>
        <v>-4.9801516860839574E-3</v>
      </c>
      <c r="P52" s="5"/>
      <c r="Q52" s="12">
        <v>85</v>
      </c>
      <c r="R52" s="22" cm="1">
        <f t="array" ref="R52">BS_Greek("CALL","THETA",$Q52,$B$1,$B$2,$R$3,R$6)</f>
        <v>-1.1310878555330526E-2</v>
      </c>
      <c r="S52" s="14" cm="1">
        <f t="array" ref="S52">BS_Greek("CALL","THETA",$Q52,$B$1,$B$2,$R$3,S$6)</f>
        <v>-1.6750650645336353E-2</v>
      </c>
      <c r="T52" s="14" cm="1">
        <f t="array" ref="T52">BS_Greek("CALL","THETA",$Q52,$B$1,$B$2,$R$3,T$6)</f>
        <v>-1.7542361876317813E-2</v>
      </c>
      <c r="U52" s="14" cm="1">
        <f t="array" ref="U52">BS_Greek("CALL","THETA",$Q52,$B$1,$B$2,$R$3,U$6)</f>
        <v>-1.7229760863557635E-2</v>
      </c>
      <c r="V52" s="14" cm="1">
        <f t="array" ref="V52">BS_Greek("CALL","THETA",$Q52,$B$1,$B$2,$R$3,V$6)</f>
        <v>-1.6634225491545768E-2</v>
      </c>
      <c r="W52" s="14" cm="1">
        <f t="array" ref="W52">BS_Greek("CALL","THETA",$Q52,$B$1,$B$2,$R$3,W$6)</f>
        <v>-1.5987706934550008E-2</v>
      </c>
      <c r="X52" s="14" cm="1">
        <f t="array" ref="X52">BS_Greek("CALL","THETA",$Q52,$B$1,$B$2,$R$3,X$6)</f>
        <v>-1.5362860266520348E-2</v>
      </c>
      <c r="Y52" s="14" cm="1">
        <f t="array" ref="Y52">BS_Greek("CALL","THETA",$Q52,$B$1,$B$2,$R$3,Y$6)</f>
        <v>-1.478163582439752E-2</v>
      </c>
      <c r="Z52" s="14" cm="1">
        <f t="array" ref="Z52">BS_Greek("CALL","THETA",$Q52,$B$1,$B$2,$R$3,Z$6)</f>
        <v>-1.4248306028145799E-2</v>
      </c>
      <c r="AA52" s="14" cm="1">
        <f t="array" ref="AA52">BS_Greek("CALL","THETA",$Q52,$B$1,$B$2,$R$3,AA$6)</f>
        <v>-1.3760849356365784E-2</v>
      </c>
      <c r="AB52" s="14" cm="1">
        <f t="array" ref="AB52">BS_Greek("CALL","THETA",$Q52,$B$1,$B$2,$R$3,AB$6)</f>
        <v>-1.0562482528402098E-2</v>
      </c>
      <c r="AC52" s="14" cm="1">
        <f t="array" ref="AC52">BS_Greek("CALL","THETA",$Q52,$B$1,$B$2,$R$3,AC$6)</f>
        <v>-8.852148601048446E-3</v>
      </c>
      <c r="AD52" s="14" cm="1">
        <f t="array" ref="AD52">BS_Greek("CALL","THETA",$Q52,$B$1,$B$2,$R$3,AD$6)</f>
        <v>-7.7442022009995039E-3</v>
      </c>
      <c r="AE52" s="23" cm="1">
        <f t="array" ref="AE52">BS_Greek("CALL","THETA",$Q52,$B$1,$B$2,$R$3,AE$6)</f>
        <v>-6.9464164713146882E-3</v>
      </c>
      <c r="AF52" s="5"/>
      <c r="AG52" s="12">
        <v>85</v>
      </c>
      <c r="AH52" s="22" cm="1">
        <f t="array" ref="AH52">BS_Greek("CALL","THETA",$AG52,$B$1,$B$2,$AH$3,AH$46)</f>
        <v>-3.484615224356023E-8</v>
      </c>
      <c r="AI52" s="14" cm="1">
        <f t="array" ref="AI52">BS_Greek("CALL","THETA",$AG52,$B$1,$B$2,$AH$3,AI$46)</f>
        <v>-1.8350671934921964E-5</v>
      </c>
      <c r="AJ52" s="14" cm="1">
        <f t="array" ref="AJ52">BS_Greek("CALL","THETA",$AG52,$B$1,$B$2,$AH$3,AJ$46)</f>
        <v>-1.3663281919535541E-4</v>
      </c>
      <c r="AK52" s="14" cm="1">
        <f t="array" ref="AK52">BS_Greek("CALL","THETA",$AG52,$B$1,$B$2,$AH$3,AK$46)</f>
        <v>-3.5880637288301833E-4</v>
      </c>
      <c r="AL52" s="14" cm="1">
        <f t="array" ref="AL52">BS_Greek("CALL","THETA",$AG52,$B$1,$B$2,$AH$3,AL$46)</f>
        <v>-6.2633483265583673E-4</v>
      </c>
      <c r="AM52" s="14" cm="1">
        <f t="array" ref="AM52">BS_Greek("CALL","THETA",$AG52,$B$1,$B$2,$AH$3,AM$46)</f>
        <v>-8.9507303836912431E-4</v>
      </c>
      <c r="AN52" s="14" cm="1">
        <f t="array" ref="AN52">BS_Greek("CALL","THETA",$AG52,$B$1,$B$2,$AH$3,AN$46)</f>
        <v>-1.1435497472532126E-3</v>
      </c>
      <c r="AO52" s="14" cm="1">
        <f t="array" ref="AO52">BS_Greek("CALL","THETA",$AG52,$B$1,$B$2,$AH$3,AO$46)</f>
        <v>-1.36412973646698E-3</v>
      </c>
      <c r="AP52" s="14" cm="1">
        <f t="array" ref="AP52">BS_Greek("CALL","THETA",$AG52,$B$1,$B$2,$AH$3,AP$46)</f>
        <v>-1.5559486729817653E-3</v>
      </c>
      <c r="AQ52" s="14" cm="1">
        <f t="array" ref="AQ52">BS_Greek("CALL","THETA",$AG52,$B$1,$B$2,$AH$3,AQ$46)</f>
        <v>-1.7210375065471284E-3</v>
      </c>
      <c r="AR52" s="14" cm="1">
        <f t="array" ref="AR52">BS_Greek("CALL","THETA",$AG52,$B$1,$B$2,$AH$3,AR$46)</f>
        <v>-2.494565685701439E-3</v>
      </c>
      <c r="AS52" s="14" cm="1">
        <f t="array" ref="AS52">BS_Greek("CALL","THETA",$AG52,$B$1,$B$2,$AH$3,AS$46)</f>
        <v>-2.6547740949320045E-3</v>
      </c>
      <c r="AT52" s="14" cm="1">
        <f t="array" ref="AT52">BS_Greek("CALL","THETA",$AG52,$B$1,$B$2,$AH$3,AT$46)</f>
        <v>-2.6632813499454658E-3</v>
      </c>
      <c r="AU52" s="23" cm="1">
        <f t="array" ref="AU52">BS_Greek("CALL","THETA",$AG52,$B$1,$B$2,$AH$3,AU$46)</f>
        <v>-2.6259889649814889E-3</v>
      </c>
    </row>
    <row r="53" spans="1:47" x14ac:dyDescent="0.2">
      <c r="A53" s="12">
        <v>90</v>
      </c>
      <c r="B53" s="22" cm="1">
        <f t="array" ref="B53">BS_Greek("CALL","THETA",$A53,$B$1,$B$2,$B$3,B$6)</f>
        <v>-8.5225200993906177E-3</v>
      </c>
      <c r="C53" s="14" cm="1">
        <f t="array" ref="C53">BS_Greek("CALL","THETA",$A53,$B$1,$B$2,$B$3,C$6)</f>
        <v>-1.2182280442978789E-2</v>
      </c>
      <c r="D53" s="14" cm="1">
        <f t="array" ref="D53">BS_Greek("CALL","THETA",$A53,$B$1,$B$2,$B$3,D$6)</f>
        <v>-1.2638171987152169E-2</v>
      </c>
      <c r="E53" s="14" cm="1">
        <f t="array" ref="E53">BS_Greek("CALL","THETA",$A53,$B$1,$B$2,$B$3,E$6)</f>
        <v>-1.2373426930014801E-2</v>
      </c>
      <c r="F53" s="14" cm="1">
        <f t="array" ref="F53">BS_Greek("CALL","THETA",$A53,$B$1,$B$2,$B$3,F$6)</f>
        <v>-1.1936056934393839E-2</v>
      </c>
      <c r="G53" s="14" cm="1">
        <f t="array" ref="G53">BS_Greek("CALL","THETA",$A53,$B$1,$B$2,$B$3,G$6)</f>
        <v>-1.147563848433512E-2</v>
      </c>
      <c r="H53" s="14" cm="1">
        <f t="array" ref="H53">BS_Greek("CALL","THETA",$A53,$B$1,$B$2,$B$3,H$6)</f>
        <v>-1.1037011543744302E-2</v>
      </c>
      <c r="I53" s="14" cm="1">
        <f t="array" ref="I53">BS_Greek("CALL","THETA",$A53,$B$1,$B$2,$B$3,I$6)</f>
        <v>-1.0632526316781011E-2</v>
      </c>
      <c r="J53" s="14" cm="1">
        <f t="array" ref="J53">BS_Greek("CALL","THETA",$A53,$B$1,$B$2,$B$3,J$6)</f>
        <v>-1.026357015616315E-2</v>
      </c>
      <c r="K53" s="14" cm="1">
        <f t="array" ref="K53">BS_Greek("CALL","THETA",$A53,$B$1,$B$2,$B$3,K$6)</f>
        <v>-9.9278329449124271E-3</v>
      </c>
      <c r="L53" s="14" cm="1">
        <f t="array" ref="L53">BS_Greek("CALL","THETA",$A53,$B$1,$B$2,$B$3,L$6)</f>
        <v>-7.7498814871130887E-3</v>
      </c>
      <c r="M53" s="14" cm="1">
        <f t="array" ref="M53">BS_Greek("CALL","THETA",$A53,$B$1,$B$2,$B$3,M$6)</f>
        <v>-6.5989959231561226E-3</v>
      </c>
      <c r="N53" s="14" cm="1">
        <f t="array" ref="N53">BS_Greek("CALL","THETA",$A53,$B$1,$B$2,$B$3,N$6)</f>
        <v>-5.8579384639842105E-3</v>
      </c>
      <c r="O53" s="23" cm="1">
        <f t="array" ref="O53">BS_Greek("CALL","THETA",$A53,$B$1,$B$2,$B$3,O$6)</f>
        <v>-5.3263546065456507E-3</v>
      </c>
      <c r="P53" s="5"/>
      <c r="Q53" s="12">
        <v>90</v>
      </c>
      <c r="R53" s="22" cm="1">
        <f t="array" ref="R53">BS_Greek("CALL","THETA",$Q53,$B$1,$B$2,$R$3,R$6)</f>
        <v>-2.7156950482848469E-2</v>
      </c>
      <c r="S53" s="14" cm="1">
        <f t="array" ref="S53">BS_Greek("CALL","THETA",$Q53,$B$1,$B$2,$R$3,S$6)</f>
        <v>-2.631451405539716E-2</v>
      </c>
      <c r="T53" s="14" cm="1">
        <f t="array" ref="T53">BS_Greek("CALL","THETA",$Q53,$B$1,$B$2,$R$3,T$6)</f>
        <v>-2.393134700814065E-2</v>
      </c>
      <c r="U53" s="14" cm="1">
        <f t="array" ref="U53">BS_Greek("CALL","THETA",$Q53,$B$1,$B$2,$R$3,U$6)</f>
        <v>-2.1906052910039862E-2</v>
      </c>
      <c r="V53" s="14" cm="1">
        <f t="array" ref="V53">BS_Greek("CALL","THETA",$Q53,$B$1,$B$2,$R$3,V$6)</f>
        <v>-2.0274661940088014E-2</v>
      </c>
      <c r="W53" s="14" cm="1">
        <f t="array" ref="W53">BS_Greek("CALL","THETA",$Q53,$B$1,$B$2,$R$3,W$6)</f>
        <v>-1.8946385688934309E-2</v>
      </c>
      <c r="X53" s="14" cm="1">
        <f t="array" ref="X53">BS_Greek("CALL","THETA",$Q53,$B$1,$B$2,$R$3,X$6)</f>
        <v>-1.7844179087973727E-2</v>
      </c>
      <c r="Y53" s="14" cm="1">
        <f t="array" ref="Y53">BS_Greek("CALL","THETA",$Q53,$B$1,$B$2,$R$3,Y$6)</f>
        <v>-1.6912727096520957E-2</v>
      </c>
      <c r="Z53" s="14" cm="1">
        <f t="array" ref="Z53">BS_Greek("CALL","THETA",$Q53,$B$1,$B$2,$R$3,Z$6)</f>
        <v>-1.6112934908725982E-2</v>
      </c>
      <c r="AA53" s="14" cm="1">
        <f t="array" ref="AA53">BS_Greek("CALL","THETA",$Q53,$B$1,$B$2,$R$3,AA$6)</f>
        <v>-1.5416779554245641E-2</v>
      </c>
      <c r="AB53" s="14" cm="1">
        <f t="array" ref="AB53">BS_Greek("CALL","THETA",$Q53,$B$1,$B$2,$R$3,AB$6)</f>
        <v>-1.1345229383883111E-2</v>
      </c>
      <c r="AC53" s="14" cm="1">
        <f t="array" ref="AC53">BS_Greek("CALL","THETA",$Q53,$B$1,$B$2,$R$3,AC$6)</f>
        <v>-9.3745207793801116E-3</v>
      </c>
      <c r="AD53" s="14" cm="1">
        <f t="array" ref="AD53">BS_Greek("CALL","THETA",$Q53,$B$1,$B$2,$R$3,AD$6)</f>
        <v>-8.1426436947306634E-3</v>
      </c>
      <c r="AE53" s="23" cm="1">
        <f t="array" ref="AE53">BS_Greek("CALL","THETA",$Q53,$B$1,$B$2,$R$3,AE$6)</f>
        <v>-7.2720111968502211E-3</v>
      </c>
      <c r="AF53" s="5"/>
      <c r="AG53" s="12">
        <v>90</v>
      </c>
      <c r="AH53" s="22" cm="1">
        <f t="array" ref="AH53">BS_Greek("CALL","THETA",$AG53,$B$1,$B$2,$AH$3,AH$46)</f>
        <v>-7.1956503233977506E-5</v>
      </c>
      <c r="AI53" s="14" cm="1">
        <f t="array" ref="AI53">BS_Greek("CALL","THETA",$AG53,$B$1,$B$2,$AH$3,AI$46)</f>
        <v>-8.2797370478681622E-4</v>
      </c>
      <c r="AJ53" s="14" cm="1">
        <f t="array" ref="AJ53">BS_Greek("CALL","THETA",$AG53,$B$1,$B$2,$AH$3,AJ$46)</f>
        <v>-1.7270312440617174E-3</v>
      </c>
      <c r="AK53" s="14" cm="1">
        <f t="array" ref="AK53">BS_Greek("CALL","THETA",$AG53,$B$1,$B$2,$AH$3,AK$46)</f>
        <v>-2.4033185999368196E-3</v>
      </c>
      <c r="AL53" s="14" cm="1">
        <f t="array" ref="AL53">BS_Greek("CALL","THETA",$AG53,$B$1,$B$2,$AH$3,AL$46)</f>
        <v>-2.86820697129312E-3</v>
      </c>
      <c r="AM53" s="14" cm="1">
        <f t="array" ref="AM53">BS_Greek("CALL","THETA",$AG53,$B$1,$B$2,$AH$3,AM$46)</f>
        <v>-3.1826508680168749E-3</v>
      </c>
      <c r="AN53" s="14" cm="1">
        <f t="array" ref="AN53">BS_Greek("CALL","THETA",$AG53,$B$1,$B$2,$AH$3,AN$46)</f>
        <v>-3.3952024638746522E-3</v>
      </c>
      <c r="AO53" s="14" cm="1">
        <f t="array" ref="AO53">BS_Greek("CALL","THETA",$AG53,$B$1,$B$2,$AH$3,AO$46)</f>
        <v>-3.538718453343772E-3</v>
      </c>
      <c r="AP53" s="14" cm="1">
        <f t="array" ref="AP53">BS_Greek("CALL","THETA",$AG53,$B$1,$B$2,$AH$3,AP$46)</f>
        <v>-3.6348243433050815E-3</v>
      </c>
      <c r="AQ53" s="14" cm="1">
        <f t="array" ref="AQ53">BS_Greek("CALL","THETA",$AG53,$B$1,$B$2,$AH$3,AQ$46)</f>
        <v>-3.6978399638639171E-3</v>
      </c>
      <c r="AR53" s="14" cm="1">
        <f t="array" ref="AR53">BS_Greek("CALL","THETA",$AG53,$B$1,$B$2,$AH$3,AR$46)</f>
        <v>-3.6890735961092476E-3</v>
      </c>
      <c r="AS53" s="14" cm="1">
        <f t="array" ref="AS53">BS_Greek("CALL","THETA",$AG53,$B$1,$B$2,$AH$3,AS$46)</f>
        <v>-3.4725023557419634E-3</v>
      </c>
      <c r="AT53" s="14" cm="1">
        <f t="array" ref="AT53">BS_Greek("CALL","THETA",$AG53,$B$1,$B$2,$AH$3,AT$46)</f>
        <v>-3.2779817587708549E-3</v>
      </c>
      <c r="AU53" s="23" cm="1">
        <f t="array" ref="AU53">BS_Greek("CALL","THETA",$AG53,$B$1,$B$2,$AH$3,AU$46)</f>
        <v>-3.1167209253369476E-3</v>
      </c>
    </row>
    <row r="54" spans="1:47" x14ac:dyDescent="0.2">
      <c r="A54" s="12">
        <v>95</v>
      </c>
      <c r="B54" s="22" cm="1">
        <f t="array" ref="B54">BS_Greek("CALL","THETA",$A54,$B$1,$B$2,$B$3,B$6)</f>
        <v>-2.5090681011235433E-2</v>
      </c>
      <c r="C54" s="14" cm="1">
        <f t="array" ref="C54">BS_Greek("CALL","THETA",$A54,$B$1,$B$2,$B$3,C$6)</f>
        <v>-2.1177711703521652E-2</v>
      </c>
      <c r="D54" s="14" cm="1">
        <f t="array" ref="D54">BS_Greek("CALL","THETA",$A54,$B$1,$B$2,$B$3,D$6)</f>
        <v>-1.8442912923839441E-2</v>
      </c>
      <c r="E54" s="14" cm="1">
        <f t="array" ref="E54">BS_Greek("CALL","THETA",$A54,$B$1,$B$2,$B$3,E$6)</f>
        <v>-1.6547567498754214E-2</v>
      </c>
      <c r="F54" s="14" cm="1">
        <f t="array" ref="F54">BS_Greek("CALL","THETA",$A54,$B$1,$B$2,$B$3,F$6)</f>
        <v>-1.514999977264072E-2</v>
      </c>
      <c r="G54" s="14" cm="1">
        <f t="array" ref="G54">BS_Greek("CALL","THETA",$A54,$B$1,$B$2,$B$3,G$6)</f>
        <v>-1.4067784566544894E-2</v>
      </c>
      <c r="H54" s="14" cm="1">
        <f t="array" ref="H54">BS_Greek("CALL","THETA",$A54,$B$1,$B$2,$B$3,H$6)</f>
        <v>-1.3198563756395726E-2</v>
      </c>
      <c r="I54" s="14" cm="1">
        <f t="array" ref="I54">BS_Greek("CALL","THETA",$A54,$B$1,$B$2,$B$3,I$6)</f>
        <v>-1.2480713076671431E-2</v>
      </c>
      <c r="J54" s="14" cm="1">
        <f t="array" ref="J54">BS_Greek("CALL","THETA",$A54,$B$1,$B$2,$B$3,J$6)</f>
        <v>-1.187483186946591E-2</v>
      </c>
      <c r="K54" s="14" cm="1">
        <f t="array" ref="K54">BS_Greek("CALL","THETA",$A54,$B$1,$B$2,$B$3,K$6)</f>
        <v>-1.135446597700572E-2</v>
      </c>
      <c r="L54" s="14" cm="1">
        <f t="array" ref="L54">BS_Greek("CALL","THETA",$A54,$B$1,$B$2,$B$3,L$6)</f>
        <v>-8.4142414389325373E-3</v>
      </c>
      <c r="M54" s="14" cm="1">
        <f t="array" ref="M54">BS_Greek("CALL","THETA",$A54,$B$1,$B$2,$B$3,M$6)</f>
        <v>-7.0402965731493055E-3</v>
      </c>
      <c r="N54" s="14" cm="1">
        <f t="array" ref="N54">BS_Greek("CALL","THETA",$A54,$B$1,$B$2,$B$3,N$6)</f>
        <v>-6.194227730312701E-3</v>
      </c>
      <c r="O54" s="23" cm="1">
        <f t="array" ref="O54">BS_Greek("CALL","THETA",$A54,$B$1,$B$2,$B$3,O$6)</f>
        <v>-5.6014346113472564E-3</v>
      </c>
      <c r="P54" s="5"/>
      <c r="Q54" s="12">
        <v>95</v>
      </c>
      <c r="R54" s="22" cm="1">
        <f t="array" ref="R54">BS_Greek("CALL","THETA",$Q54,$B$1,$B$2,$R$3,R$6)</f>
        <v>-4.4607745574303262E-2</v>
      </c>
      <c r="S54" s="14" cm="1">
        <f t="array" ref="S54">BS_Greek("CALL","THETA",$Q54,$B$1,$B$2,$R$3,S$6)</f>
        <v>-3.4198995521248339E-2</v>
      </c>
      <c r="T54" s="14" cm="1">
        <f t="array" ref="T54">BS_Greek("CALL","THETA",$Q54,$B$1,$B$2,$R$3,T$6)</f>
        <v>-2.8771216792948952E-2</v>
      </c>
      <c r="U54" s="14" cm="1">
        <f t="array" ref="U54">BS_Greek("CALL","THETA",$Q54,$B$1,$B$2,$R$3,U$6)</f>
        <v>-2.5331741635614542E-2</v>
      </c>
      <c r="V54" s="14" cm="1">
        <f t="array" ref="V54">BS_Greek("CALL","THETA",$Q54,$B$1,$B$2,$R$3,V$6)</f>
        <v>-2.2904894607282324E-2</v>
      </c>
      <c r="W54" s="14" cm="1">
        <f t="array" ref="W54">BS_Greek("CALL","THETA",$Q54,$B$1,$B$2,$R$3,W$6)</f>
        <v>-2.1074262063025324E-2</v>
      </c>
      <c r="X54" s="14" cm="1">
        <f t="array" ref="X54">BS_Greek("CALL","THETA",$Q54,$B$1,$B$2,$R$3,X$6)</f>
        <v>-1.9629166791495723E-2</v>
      </c>
      <c r="Y54" s="14" cm="1">
        <f t="array" ref="Y54">BS_Greek("CALL","THETA",$Q54,$B$1,$B$2,$R$3,Y$6)</f>
        <v>-1.845024458345422E-2</v>
      </c>
      <c r="Z54" s="14" cm="1">
        <f t="array" ref="Z54">BS_Greek("CALL","THETA",$Q54,$B$1,$B$2,$R$3,Z$6)</f>
        <v>-1.7464186054534727E-2</v>
      </c>
      <c r="AA54" s="14" cm="1">
        <f t="array" ref="AA54">BS_Greek("CALL","THETA",$Q54,$B$1,$B$2,$R$3,AA$6)</f>
        <v>-1.6623162367735617E-2</v>
      </c>
      <c r="AB54" s="14" cm="1">
        <f t="array" ref="AB54">BS_Greek("CALL","THETA",$Q54,$B$1,$B$2,$R$3,AB$6)</f>
        <v>-1.1948926939863769E-2</v>
      </c>
      <c r="AC54" s="14" cm="1">
        <f t="array" ref="AC54">BS_Greek("CALL","THETA",$Q54,$B$1,$B$2,$R$3,AC$6)</f>
        <v>-9.7946500084342865E-3</v>
      </c>
      <c r="AD54" s="14" cm="1">
        <f t="array" ref="AD54">BS_Greek("CALL","THETA",$Q54,$B$1,$B$2,$R$3,AD$6)</f>
        <v>-8.4726606396136588E-3</v>
      </c>
      <c r="AE54" s="23" cm="1">
        <f t="array" ref="AE54">BS_Greek("CALL","THETA",$Q54,$B$1,$B$2,$R$3,AE$6)</f>
        <v>-7.5475420683820656E-3</v>
      </c>
      <c r="AF54" s="5"/>
      <c r="AG54" s="12">
        <v>95</v>
      </c>
      <c r="AH54" s="22" cm="1">
        <f t="array" ref="AH54">BS_Greek("CALL","THETA",$AG54,$B$1,$B$2,$AH$3,AH$46)</f>
        <v>-4.9006030079422874E-3</v>
      </c>
      <c r="AI54" s="14" cm="1">
        <f t="array" ref="AI54">BS_Greek("CALL","THETA",$AG54,$B$1,$B$2,$AH$3,AI$46)</f>
        <v>-6.8365065413363742E-3</v>
      </c>
      <c r="AJ54" s="14" cm="1">
        <f t="array" ref="AJ54">BS_Greek("CALL","THETA",$AG54,$B$1,$B$2,$AH$3,AJ$46)</f>
        <v>-7.0767071554018405E-3</v>
      </c>
      <c r="AK54" s="14" cm="1">
        <f t="array" ref="AK54">BS_Greek("CALL","THETA",$AG54,$B$1,$B$2,$AH$3,AK$46)</f>
        <v>-6.9465581228966731E-3</v>
      </c>
      <c r="AL54" s="14" cm="1">
        <f t="array" ref="AL54">BS_Greek("CALL","THETA",$AG54,$B$1,$B$2,$AH$3,AL$46)</f>
        <v>-6.728978133982327E-3</v>
      </c>
      <c r="AM54" s="14" cm="1">
        <f t="array" ref="AM54">BS_Greek("CALL","THETA",$AG54,$B$1,$B$2,$AH$3,AM$46)</f>
        <v>-6.5000392338948861E-3</v>
      </c>
      <c r="AN54" s="14" cm="1">
        <f t="array" ref="AN54">BS_Greek("CALL","THETA",$AG54,$B$1,$B$2,$AH$3,AN$46)</f>
        <v>-6.2822853527534283E-3</v>
      </c>
      <c r="AO54" s="14" cm="1">
        <f t="array" ref="AO54">BS_Greek("CALL","THETA",$AG54,$B$1,$B$2,$AH$3,AO$46)</f>
        <v>-6.0818261522560787E-3</v>
      </c>
      <c r="AP54" s="14" cm="1">
        <f t="array" ref="AP54">BS_Greek("CALL","THETA",$AG54,$B$1,$B$2,$AH$3,AP$46)</f>
        <v>-5.899276831986414E-3</v>
      </c>
      <c r="AQ54" s="14" cm="1">
        <f t="array" ref="AQ54">BS_Greek("CALL","THETA",$AG54,$B$1,$B$2,$AH$3,AQ$46)</f>
        <v>-5.7334209143317175E-3</v>
      </c>
      <c r="AR54" s="14" cm="1">
        <f t="array" ref="AR54">BS_Greek("CALL","THETA",$AG54,$B$1,$B$2,$AH$3,AR$46)</f>
        <v>-4.6640249678363745E-3</v>
      </c>
      <c r="AS54" s="14" cm="1">
        <f t="array" ref="AS54">BS_Greek("CALL","THETA",$AG54,$B$1,$B$2,$AH$3,AS$46)</f>
        <v>-4.1041967805758922E-3</v>
      </c>
      <c r="AT54" s="14" cm="1">
        <f t="array" ref="AT54">BS_Greek("CALL","THETA",$AG54,$B$1,$B$2,$AH$3,AT$46)</f>
        <v>-3.7459055472475462E-3</v>
      </c>
      <c r="AU54" s="23" cm="1">
        <f t="array" ref="AU54">BS_Greek("CALL","THETA",$AG54,$B$1,$B$2,$AH$3,AU$46)</f>
        <v>-3.4898745462750205E-3</v>
      </c>
    </row>
    <row r="55" spans="1:47" x14ac:dyDescent="0.2">
      <c r="A55" s="12">
        <v>100</v>
      </c>
      <c r="B55" s="22" cm="1">
        <f t="array" ref="B55">BS_Greek("CALL","THETA",$A55,$B$1,$B$2,$B$3,B$6)</f>
        <v>-3.5875827276340713E-2</v>
      </c>
      <c r="C55" s="14" cm="1">
        <f t="array" ref="C55">BS_Greek("CALL","THETA",$A55,$B$1,$B$2,$B$3,C$6)</f>
        <v>-2.5727864909208493E-2</v>
      </c>
      <c r="D55" s="14" cm="1">
        <f t="array" ref="D55">BS_Greek("CALL","THETA",$A55,$B$1,$B$2,$B$3,D$6)</f>
        <v>-2.1223907267268489E-2</v>
      </c>
      <c r="E55" s="14" cm="1">
        <f t="array" ref="E55">BS_Greek("CALL","THETA",$A55,$B$1,$B$2,$B$3,E$6)</f>
        <v>-1.8534111296167922E-2</v>
      </c>
      <c r="F55" s="14" cm="1">
        <f t="array" ref="F55">BS_Greek("CALL","THETA",$A55,$B$1,$B$2,$B$3,F$6)</f>
        <v>-1.669513433372764E-2</v>
      </c>
      <c r="G55" s="14" cm="1">
        <f t="array" ref="G55">BS_Greek("CALL","THETA",$A55,$B$1,$B$2,$B$3,G$6)</f>
        <v>-1.5335148941544155E-2</v>
      </c>
      <c r="H55" s="14" cm="1">
        <f t="array" ref="H55">BS_Greek("CALL","THETA",$A55,$B$1,$B$2,$B$3,H$6)</f>
        <v>-1.4276203035492702E-2</v>
      </c>
      <c r="I55" s="14" cm="1">
        <f t="array" ref="I55">BS_Greek("CALL","THETA",$A55,$B$1,$B$2,$B$3,I$6)</f>
        <v>-1.3421014724204781E-2</v>
      </c>
      <c r="J55" s="14" cm="1">
        <f t="array" ref="J55">BS_Greek("CALL","THETA",$A55,$B$1,$B$2,$B$3,J$6)</f>
        <v>-1.2711318100461775E-2</v>
      </c>
      <c r="K55" s="14" cm="1">
        <f t="array" ref="K55">BS_Greek("CALL","THETA",$A55,$B$1,$B$2,$B$3,K$6)</f>
        <v>-1.2109802231638456E-2</v>
      </c>
      <c r="L55" s="14" cm="1">
        <f t="array" ref="L55">BS_Greek("CALL","THETA",$A55,$B$1,$B$2,$B$3,L$6)</f>
        <v>-8.8237172174144684E-3</v>
      </c>
      <c r="M55" s="14" cm="1">
        <f t="array" ref="M55">BS_Greek("CALL","THETA",$A55,$B$1,$B$2,$B$3,M$6)</f>
        <v>-7.3386071640610647E-3</v>
      </c>
      <c r="N55" s="14" cm="1">
        <f t="array" ref="N55">BS_Greek("CALL","THETA",$A55,$B$1,$B$2,$B$3,N$6)</f>
        <v>-6.4358017299691378E-3</v>
      </c>
      <c r="O55" s="23" cm="1">
        <f t="array" ref="O55">BS_Greek("CALL","THETA",$A55,$B$1,$B$2,$B$3,O$6)</f>
        <v>-5.8077058687701147E-3</v>
      </c>
      <c r="P55" s="5"/>
      <c r="Q55" s="12">
        <v>100</v>
      </c>
      <c r="R55" s="22" cm="1">
        <f t="array" ref="R55">BS_Greek("CALL","THETA",$Q55,$B$1,$B$2,$R$3,R$6)</f>
        <v>-5.308635249998659E-2</v>
      </c>
      <c r="S55" s="14" cm="1">
        <f t="array" ref="S55">BS_Greek("CALL","THETA",$Q55,$B$1,$B$2,$R$3,S$6)</f>
        <v>-3.7847311782787982E-2</v>
      </c>
      <c r="T55" s="14" cm="1">
        <f t="array" ref="T55">BS_Greek("CALL","THETA",$Q55,$B$1,$B$2,$R$3,T$6)</f>
        <v>-3.1078475009673048E-2</v>
      </c>
      <c r="U55" s="14" cm="1">
        <f t="array" ref="U55">BS_Greek("CALL","THETA",$Q55,$B$1,$B$2,$R$3,U$6)</f>
        <v>-2.7033062564040262E-2</v>
      </c>
      <c r="V55" s="14" cm="1">
        <f t="array" ref="V55">BS_Greek("CALL","THETA",$Q55,$B$1,$B$2,$R$3,V$6)</f>
        <v>-2.4265278685206906E-2</v>
      </c>
      <c r="W55" s="14" cm="1">
        <f t="array" ref="W55">BS_Greek("CALL","THETA",$Q55,$B$1,$B$2,$R$3,W$6)</f>
        <v>-2.2216980654532557E-2</v>
      </c>
      <c r="X55" s="14" cm="1">
        <f t="array" ref="X55">BS_Greek("CALL","THETA",$Q55,$B$1,$B$2,$R$3,X$6)</f>
        <v>-2.0621001433829625E-2</v>
      </c>
      <c r="Y55" s="14" cm="1">
        <f t="array" ref="Y55">BS_Greek("CALL","THETA",$Q55,$B$1,$B$2,$R$3,Y$6)</f>
        <v>-1.933126228348668E-2</v>
      </c>
      <c r="Z55" s="14" cm="1">
        <f t="array" ref="Z55">BS_Greek("CALL","THETA",$Q55,$B$1,$B$2,$R$3,Z$6)</f>
        <v>-1.8260255886732128E-2</v>
      </c>
      <c r="AA55" s="14" cm="1">
        <f t="array" ref="AA55">BS_Greek("CALL","THETA",$Q55,$B$1,$B$2,$R$3,AA$6)</f>
        <v>-1.7351936757537503E-2</v>
      </c>
      <c r="AB55" s="14" cm="1">
        <f t="array" ref="AB55">BS_Greek("CALL","THETA",$Q55,$B$1,$B$2,$R$3,AB$6)</f>
        <v>-1.2376533644701881E-2</v>
      </c>
      <c r="AC55" s="14" cm="1">
        <f t="array" ref="AC55">BS_Greek("CALL","THETA",$Q55,$B$1,$B$2,$R$3,AC$6)</f>
        <v>-1.0116690749816607E-2</v>
      </c>
      <c r="AD55" s="14" cm="1">
        <f t="array" ref="AD55">BS_Greek("CALL","THETA",$Q55,$B$1,$B$2,$R$3,AD$6)</f>
        <v>-8.737830637401028E-3</v>
      </c>
      <c r="AE55" s="23" cm="1">
        <f t="array" ref="AE55">BS_Greek("CALL","THETA",$Q55,$B$1,$B$2,$R$3,AE$6)</f>
        <v>-7.7759697055117694E-3</v>
      </c>
      <c r="AF55" s="5"/>
      <c r="AG55" s="12">
        <v>100</v>
      </c>
      <c r="AH55" s="22" cm="1">
        <f t="array" ref="AH55">BS_Greek("CALL","THETA",$AG55,$B$1,$B$2,$AH$3,AH$46)</f>
        <v>-1.8648056161643268E-2</v>
      </c>
      <c r="AI55" s="14" cm="1">
        <f t="array" ref="AI55">BS_Greek("CALL","THETA",$AG55,$B$1,$B$2,$AH$3,AI$46)</f>
        <v>-1.3584079256396245E-2</v>
      </c>
      <c r="AJ55" s="14" cm="1">
        <f t="array" ref="AJ55">BS_Greek("CALL","THETA",$AG55,$B$1,$B$2,$AH$3,AJ$46)</f>
        <v>-1.1339592584775319E-2</v>
      </c>
      <c r="AK55" s="14" cm="1">
        <f t="array" ref="AK55">BS_Greek("CALL","THETA",$AG55,$B$1,$B$2,$AH$3,AK$46)</f>
        <v>-1.0000882518242169E-2</v>
      </c>
      <c r="AL55" s="14" cm="1">
        <f t="array" ref="AL55">BS_Greek("CALL","THETA",$AG55,$B$1,$B$2,$AH$3,AL$46)</f>
        <v>-9.0867461332547108E-3</v>
      </c>
      <c r="AM55" s="14" cm="1">
        <f t="array" ref="AM55">BS_Greek("CALL","THETA",$AG55,$B$1,$B$2,$AH$3,AM$46)</f>
        <v>-8.4115102039457497E-3</v>
      </c>
      <c r="AN55" s="14" cm="1">
        <f t="array" ref="AN55">BS_Greek("CALL","THETA",$AG55,$B$1,$B$2,$AH$3,AN$46)</f>
        <v>-7.8863417080290536E-3</v>
      </c>
      <c r="AO55" s="14" cm="1">
        <f t="array" ref="AO55">BS_Greek("CALL","THETA",$AG55,$B$1,$B$2,$AH$3,AO$46)</f>
        <v>-7.4626929861352385E-3</v>
      </c>
      <c r="AP55" s="14" cm="1">
        <f t="array" ref="AP55">BS_Greek("CALL","THETA",$AG55,$B$1,$B$2,$AH$3,AP$46)</f>
        <v>-7.1114959516656931E-3</v>
      </c>
      <c r="AQ55" s="14" cm="1">
        <f t="array" ref="AQ55">BS_Greek("CALL","THETA",$AG55,$B$1,$B$2,$AH$3,AQ$46)</f>
        <v>-6.8141424186834694E-3</v>
      </c>
      <c r="AR55" s="14" cm="1">
        <f t="array" ref="AR55">BS_Greek("CALL","THETA",$AG55,$B$1,$B$2,$AH$3,AR$46)</f>
        <v>-5.1967667503864771E-3</v>
      </c>
      <c r="AS55" s="14" cm="1">
        <f t="array" ref="AS55">BS_Greek("CALL","THETA",$AG55,$B$1,$B$2,$AH$3,AS$46)</f>
        <v>-4.4716079014028923E-3</v>
      </c>
      <c r="AT55" s="14" cm="1">
        <f t="array" ref="AT55">BS_Greek("CALL","THETA",$AG55,$B$1,$B$2,$AH$3,AT$46)</f>
        <v>-4.0332340374452562E-3</v>
      </c>
      <c r="AU55" s="23" cm="1">
        <f t="array" ref="AU55">BS_Greek("CALL","THETA",$AG55,$B$1,$B$2,$AH$3,AU$46)</f>
        <v>-3.729378121756278E-3</v>
      </c>
    </row>
    <row r="56" spans="1:47" x14ac:dyDescent="0.2">
      <c r="A56" s="12">
        <v>105</v>
      </c>
      <c r="B56" s="22" cm="1">
        <f t="array" ref="B56">BS_Greek("CALL","THETA",$A56,$B$1,$B$2,$B$3,B$6)</f>
        <v>-2.8074920944821145E-2</v>
      </c>
      <c r="C56" s="14" cm="1">
        <f t="array" ref="C56">BS_Greek("CALL","THETA",$A56,$B$1,$B$2,$B$3,C$6)</f>
        <v>-2.3184753682297981E-2</v>
      </c>
      <c r="D56" s="14" cm="1">
        <f t="array" ref="D56">BS_Greek("CALL","THETA",$A56,$B$1,$B$2,$B$3,D$6)</f>
        <v>-2.0039403437062873E-2</v>
      </c>
      <c r="E56" s="14" cm="1">
        <f t="array" ref="E56">BS_Greek("CALL","THETA",$A56,$B$1,$B$2,$B$3,E$6)</f>
        <v>-1.7908730655282385E-2</v>
      </c>
      <c r="F56" s="14" cm="1">
        <f t="array" ref="F56">BS_Greek("CALL","THETA",$A56,$B$1,$B$2,$B$3,F$6)</f>
        <v>-1.6354709222323478E-2</v>
      </c>
      <c r="G56" s="14" cm="1">
        <f t="array" ref="G56">BS_Greek("CALL","THETA",$A56,$B$1,$B$2,$B$3,G$6)</f>
        <v>-1.5159089366178049E-2</v>
      </c>
      <c r="H56" s="14" cm="1">
        <f t="array" ref="H56">BS_Greek("CALL","THETA",$A56,$B$1,$B$2,$B$3,H$6)</f>
        <v>-1.420289106003131E-2</v>
      </c>
      <c r="I56" s="14" cm="1">
        <f t="array" ref="I56">BS_Greek("CALL","THETA",$A56,$B$1,$B$2,$B$3,I$6)</f>
        <v>-1.3415625508928622E-2</v>
      </c>
      <c r="J56" s="14" cm="1">
        <f t="array" ref="J56">BS_Greek("CALL","THETA",$A56,$B$1,$B$2,$B$3,J$6)</f>
        <v>-1.2752687748023357E-2</v>
      </c>
      <c r="K56" s="14" cm="1">
        <f t="array" ref="K56">BS_Greek("CALL","THETA",$A56,$B$1,$B$2,$B$3,K$6)</f>
        <v>-1.2184345158928892E-2</v>
      </c>
      <c r="L56" s="14" cm="1">
        <f t="array" ref="L56">BS_Greek("CALL","THETA",$A56,$B$1,$B$2,$B$3,L$6)</f>
        <v>-8.988044959698278E-3</v>
      </c>
      <c r="M56" s="14" cm="1">
        <f t="array" ref="M56">BS_Greek("CALL","THETA",$A56,$B$1,$B$2,$B$3,M$6)</f>
        <v>-7.5017763946196806E-3</v>
      </c>
      <c r="N56" s="14" cm="1">
        <f t="array" ref="N56">BS_Greek("CALL","THETA",$A56,$B$1,$B$2,$B$3,N$6)</f>
        <v>-6.5886360410569323E-3</v>
      </c>
      <c r="O56" s="23" cm="1">
        <f t="array" ref="O56">BS_Greek("CALL","THETA",$A56,$B$1,$B$2,$B$3,O$6)</f>
        <v>-5.9498445110405746E-3</v>
      </c>
      <c r="P56" s="5"/>
      <c r="Q56" s="12">
        <v>105</v>
      </c>
      <c r="R56" s="22" cm="1">
        <f t="array" ref="R56">BS_Greek("CALL","THETA",$Q56,$B$1,$B$2,$R$3,R$6)</f>
        <v>-4.8085728141050353E-2</v>
      </c>
      <c r="S56" s="14" cm="1">
        <f t="array" ref="S56">BS_Greek("CALL","THETA",$Q56,$B$1,$B$2,$R$3,S$6)</f>
        <v>-3.655579680342088E-2</v>
      </c>
      <c r="T56" s="14" cm="1">
        <f t="array" ref="T56">BS_Greek("CALL","THETA",$Q56,$B$1,$B$2,$R$3,T$6)</f>
        <v>-3.0661221492058438E-2</v>
      </c>
      <c r="U56" s="14" cm="1">
        <f t="array" ref="U56">BS_Greek("CALL","THETA",$Q56,$B$1,$B$2,$R$3,U$6)</f>
        <v>-2.6951599885263414E-2</v>
      </c>
      <c r="V56" s="14" cm="1">
        <f t="array" ref="V56">BS_Greek("CALL","THETA",$Q56,$B$1,$B$2,$R$3,V$6)</f>
        <v>-2.4343488361313663E-2</v>
      </c>
      <c r="W56" s="14" cm="1">
        <f t="array" ref="W56">BS_Greek("CALL","THETA",$Q56,$B$1,$B$2,$R$3,W$6)</f>
        <v>-2.238047288208864E-2</v>
      </c>
      <c r="X56" s="14" cm="1">
        <f t="array" ref="X56">BS_Greek("CALL","THETA",$Q56,$B$1,$B$2,$R$3,X$6)</f>
        <v>-2.083322233571781E-2</v>
      </c>
      <c r="Y56" s="14" cm="1">
        <f t="array" ref="Y56">BS_Greek("CALL","THETA",$Q56,$B$1,$B$2,$R$3,Y$6)</f>
        <v>-1.9572362194803957E-2</v>
      </c>
      <c r="Z56" s="14" cm="1">
        <f t="array" ref="Z56">BS_Greek("CALL","THETA",$Q56,$B$1,$B$2,$R$3,Z$6)</f>
        <v>-1.851867061312177E-2</v>
      </c>
      <c r="AA56" s="14" cm="1">
        <f t="array" ref="AA56">BS_Greek("CALL","THETA",$Q56,$B$1,$B$2,$R$3,AA$6)</f>
        <v>-1.7620573745771147E-2</v>
      </c>
      <c r="AB56" s="14" cm="1">
        <f t="array" ref="AB56">BS_Greek("CALL","THETA",$Q56,$B$1,$B$2,$R$3,AB$6)</f>
        <v>-1.2638391494715467E-2</v>
      </c>
      <c r="AC56" s="14" cm="1">
        <f t="array" ref="AC56">BS_Greek("CALL","THETA",$Q56,$B$1,$B$2,$R$3,AC$6)</f>
        <v>-1.0347112839222855E-2</v>
      </c>
      <c r="AD56" s="14" cm="1">
        <f t="array" ref="AD56">BS_Greek("CALL","THETA",$Q56,$B$1,$B$2,$R$3,AD$6)</f>
        <v>-8.9426628782225525E-3</v>
      </c>
      <c r="AE56" s="23" cm="1">
        <f t="array" ref="AE56">BS_Greek("CALL","THETA",$Q56,$B$1,$B$2,$R$3,AE$6)</f>
        <v>-7.9606697661857833E-3</v>
      </c>
      <c r="AF56" s="5"/>
      <c r="AG56" s="12">
        <v>105</v>
      </c>
      <c r="AH56" s="22" cm="1">
        <f t="array" ref="AH56">BS_Greek("CALL","THETA",$AG56,$B$1,$B$2,$AH$3,AH$46)</f>
        <v>-7.6978079919565396E-3</v>
      </c>
      <c r="AI56" s="14" cm="1">
        <f t="array" ref="AI56">BS_Greek("CALL","THETA",$AG56,$B$1,$B$2,$AH$3,AI$46)</f>
        <v>-8.9332989803460796E-3</v>
      </c>
      <c r="AJ56" s="14" cm="1">
        <f t="array" ref="AJ56">BS_Greek("CALL","THETA",$AG56,$B$1,$B$2,$AH$3,AJ$46)</f>
        <v>-8.7680662048319081E-3</v>
      </c>
      <c r="AK56" s="14" cm="1">
        <f t="array" ref="AK56">BS_Greek("CALL","THETA",$AG56,$B$1,$B$2,$AH$3,AK$46)</f>
        <v>-8.3872819229696503E-3</v>
      </c>
      <c r="AL56" s="14" cm="1">
        <f t="array" ref="AL56">BS_Greek("CALL","THETA",$AG56,$B$1,$B$2,$AH$3,AL$46)</f>
        <v>-7.9991241585501693E-3</v>
      </c>
      <c r="AM56" s="14" cm="1">
        <f t="array" ref="AM56">BS_Greek("CALL","THETA",$AG56,$B$1,$B$2,$AH$3,AM$46)</f>
        <v>-7.6457252709511521E-3</v>
      </c>
      <c r="AN56" s="14" cm="1">
        <f t="array" ref="AN56">BS_Greek("CALL","THETA",$AG56,$B$1,$B$2,$AH$3,AN$46)</f>
        <v>-7.3325007234308383E-3</v>
      </c>
      <c r="AO56" s="14" cm="1">
        <f t="array" ref="AO56">BS_Greek("CALL","THETA",$AG56,$B$1,$B$2,$AH$3,AO$46)</f>
        <v>-7.0560378776292655E-3</v>
      </c>
      <c r="AP56" s="14" cm="1">
        <f t="array" ref="AP56">BS_Greek("CALL","THETA",$AG56,$B$1,$B$2,$AH$3,AP$46)</f>
        <v>-6.8112371711487648E-3</v>
      </c>
      <c r="AQ56" s="14" cm="1">
        <f t="array" ref="AQ56">BS_Greek("CALL","THETA",$AG56,$B$1,$B$2,$AH$3,AQ$46)</f>
        <v>-6.5932393812371632E-3</v>
      </c>
      <c r="AR56" s="14" cm="1">
        <f t="array" ref="AR56">BS_Greek("CALL","THETA",$AG56,$B$1,$B$2,$AH$3,AR$46)</f>
        <v>-5.2498490762077979E-3</v>
      </c>
      <c r="AS56" s="14" cm="1">
        <f t="array" ref="AS56">BS_Greek("CALL","THETA",$AG56,$B$1,$B$2,$AH$3,AS$46)</f>
        <v>-4.5725396202247869E-3</v>
      </c>
      <c r="AT56" s="14" cm="1">
        <f t="array" ref="AT56">BS_Greek("CALL","THETA",$AG56,$B$1,$B$2,$AH$3,AT$46)</f>
        <v>-4.1448990624083325E-3</v>
      </c>
      <c r="AU56" s="23" cm="1">
        <f t="array" ref="AU56">BS_Greek("CALL","THETA",$AG56,$B$1,$B$2,$AH$3,AU$46)</f>
        <v>-3.8416324918737858E-3</v>
      </c>
    </row>
    <row r="57" spans="1:47" x14ac:dyDescent="0.2">
      <c r="A57" s="12">
        <v>110</v>
      </c>
      <c r="B57" s="22" cm="1">
        <f t="array" ref="B57">BS_Greek("CALL","THETA",$A57,$B$1,$B$2,$B$3,B$6)</f>
        <v>-1.390982216942876E-2</v>
      </c>
      <c r="C57" s="14" cm="1">
        <f t="array" ref="C57">BS_Greek("CALL","THETA",$A57,$B$1,$B$2,$B$3,C$6)</f>
        <v>-1.648317141010695E-2</v>
      </c>
      <c r="D57" s="14" cm="1">
        <f t="array" ref="D57">BS_Greek("CALL","THETA",$A57,$B$1,$B$2,$B$3,D$6)</f>
        <v>-1.6135498223984423E-2</v>
      </c>
      <c r="E57" s="14" cm="1">
        <f t="array" ref="E57">BS_Greek("CALL","THETA",$A57,$B$1,$B$2,$B$3,E$6)</f>
        <v>-1.5351647729673085E-2</v>
      </c>
      <c r="F57" s="14" cm="1">
        <f t="array" ref="F57">BS_Greek("CALL","THETA",$A57,$B$1,$B$2,$B$3,F$6)</f>
        <v>-1.4556288444781545E-2</v>
      </c>
      <c r="G57" s="14" cm="1">
        <f t="array" ref="G57">BS_Greek("CALL","THETA",$A57,$B$1,$B$2,$B$3,G$6)</f>
        <v>-1.3833641759089228E-2</v>
      </c>
      <c r="H57" s="14" cm="1">
        <f t="array" ref="H57">BS_Greek("CALL","THETA",$A57,$B$1,$B$2,$B$3,H$6)</f>
        <v>-1.3193788050821954E-2</v>
      </c>
      <c r="I57" s="14" cm="1">
        <f t="array" ref="I57">BS_Greek("CALL","THETA",$A57,$B$1,$B$2,$B$3,I$6)</f>
        <v>-1.2629283718799435E-2</v>
      </c>
      <c r="J57" s="14" cm="1">
        <f t="array" ref="J57">BS_Greek("CALL","THETA",$A57,$B$1,$B$2,$B$3,J$6)</f>
        <v>-1.2129489096126657E-2</v>
      </c>
      <c r="K57" s="14" cm="1">
        <f t="array" ref="K57">BS_Greek("CALL","THETA",$A57,$B$1,$B$2,$B$3,K$6)</f>
        <v>-1.1684376613609134E-2</v>
      </c>
      <c r="L57" s="14" cm="1">
        <f t="array" ref="L57">BS_Greek("CALL","THETA",$A57,$B$1,$B$2,$B$3,L$6)</f>
        <v>-8.9364167225769418E-3</v>
      </c>
      <c r="M57" s="14" cm="1">
        <f t="array" ref="M57">BS_Greek("CALL","THETA",$A57,$B$1,$B$2,$B$3,M$6)</f>
        <v>-7.5441944644311183E-3</v>
      </c>
      <c r="N57" s="14" cm="1">
        <f t="array" ref="N57">BS_Greek("CALL","THETA",$A57,$B$1,$B$2,$B$3,N$6)</f>
        <v>-6.6616174157512111E-3</v>
      </c>
      <c r="O57" s="23" cm="1">
        <f t="array" ref="O57">BS_Greek("CALL","THETA",$A57,$B$1,$B$2,$B$3,O$6)</f>
        <v>-6.0340286019448528E-3</v>
      </c>
      <c r="P57" s="5"/>
      <c r="Q57" s="12">
        <v>110</v>
      </c>
      <c r="R57" s="22" cm="1">
        <f t="array" ref="R57">BS_Greek("CALL","THETA",$Q57,$B$1,$B$2,$R$3,R$6)</f>
        <v>-3.4707632288424835E-2</v>
      </c>
      <c r="S57" s="14" cm="1">
        <f t="array" ref="S57">BS_Greek("CALL","THETA",$Q57,$B$1,$B$2,$R$3,S$6)</f>
        <v>-3.1497214078068235E-2</v>
      </c>
      <c r="T57" s="14" cm="1">
        <f t="array" ref="T57">BS_Greek("CALL","THETA",$Q57,$B$1,$B$2,$R$3,T$6)</f>
        <v>-2.80256443620811E-2</v>
      </c>
      <c r="U57" s="14" cm="1">
        <f t="array" ref="U57">BS_Greek("CALL","THETA",$Q57,$B$1,$B$2,$R$3,U$6)</f>
        <v>-2.5370907369909487E-2</v>
      </c>
      <c r="V57" s="14" cm="1">
        <f t="array" ref="V57">BS_Greek("CALL","THETA",$Q57,$B$1,$B$2,$R$3,V$6)</f>
        <v>-2.3322491459122675E-2</v>
      </c>
      <c r="W57" s="14" cm="1">
        <f t="array" ref="W57">BS_Greek("CALL","THETA",$Q57,$B$1,$B$2,$R$3,W$6)</f>
        <v>-2.1693675166703747E-2</v>
      </c>
      <c r="X57" s="14" cm="1">
        <f t="array" ref="X57">BS_Greek("CALL","THETA",$Q57,$B$1,$B$2,$R$3,X$6)</f>
        <v>-2.0362290842882595E-2</v>
      </c>
      <c r="Y57" s="14" cm="1">
        <f t="array" ref="Y57">BS_Greek("CALL","THETA",$Q57,$B$1,$B$2,$R$3,Y$6)</f>
        <v>-1.9248887049009483E-2</v>
      </c>
      <c r="Z57" s="14" cm="1">
        <f t="array" ref="Z57">BS_Greek("CALL","THETA",$Q57,$B$1,$B$2,$R$3,Z$6)</f>
        <v>-1.830021611928747E-2</v>
      </c>
      <c r="AA57" s="14" cm="1">
        <f t="array" ref="AA57">BS_Greek("CALL","THETA",$Q57,$B$1,$B$2,$R$3,AA$6)</f>
        <v>-1.747936628223529E-2</v>
      </c>
      <c r="AB57" s="14" cm="1">
        <f t="array" ref="AB57">BS_Greek("CALL","THETA",$Q57,$B$1,$B$2,$R$3,AB$6)</f>
        <v>-1.2749791611446966E-2</v>
      </c>
      <c r="AC57" s="14" cm="1">
        <f t="array" ref="AC57">BS_Greek("CALL","THETA",$Q57,$B$1,$B$2,$R$3,AC$6)</f>
        <v>-1.049384430549196E-2</v>
      </c>
      <c r="AD57" s="14" cm="1">
        <f t="array" ref="AD57">BS_Greek("CALL","THETA",$Q57,$B$1,$B$2,$R$3,AD$6)</f>
        <v>-9.092205914330239E-3</v>
      </c>
      <c r="AE57" s="23" cm="1">
        <f t="array" ref="AE57">BS_Greek("CALL","THETA",$Q57,$B$1,$B$2,$R$3,AE$6)</f>
        <v>-8.1052261007705795E-3</v>
      </c>
      <c r="AF57" s="5"/>
      <c r="AG57" s="12">
        <v>110</v>
      </c>
      <c r="AH57" s="22" cm="1">
        <f t="array" ref="AH57">BS_Greek("CALL","THETA",$AG57,$B$1,$B$2,$AH$3,AH$46)</f>
        <v>-2.9089580427955277E-3</v>
      </c>
      <c r="AI57" s="14" cm="1">
        <f t="array" ref="AI57">BS_Greek("CALL","THETA",$AG57,$B$1,$B$2,$AH$3,AI$46)</f>
        <v>-3.8913061596230723E-3</v>
      </c>
      <c r="AJ57" s="14" cm="1">
        <f t="array" ref="AJ57">BS_Greek("CALL","THETA",$AG57,$B$1,$B$2,$AH$3,AJ$46)</f>
        <v>-4.7122847712180206E-3</v>
      </c>
      <c r="AK57" s="14" cm="1">
        <f t="array" ref="AK57">BS_Greek("CALL","THETA",$AG57,$B$1,$B$2,$AH$3,AK$46)</f>
        <v>-5.1946370335550825E-3</v>
      </c>
      <c r="AL57" s="14" cm="1">
        <f t="array" ref="AL57">BS_Greek("CALL","THETA",$AG57,$B$1,$B$2,$AH$3,AL$46)</f>
        <v>-5.4532532806975649E-3</v>
      </c>
      <c r="AM57" s="14" cm="1">
        <f t="array" ref="AM57">BS_Greek("CALL","THETA",$AG57,$B$1,$B$2,$AH$3,AM$46)</f>
        <v>-5.5792069205201321E-3</v>
      </c>
      <c r="AN57" s="14" cm="1">
        <f t="array" ref="AN57">BS_Greek("CALL","THETA",$AG57,$B$1,$B$2,$AH$3,AN$46)</f>
        <v>-5.6268353354807675E-3</v>
      </c>
      <c r="AO57" s="14" cm="1">
        <f t="array" ref="AO57">BS_Greek("CALL","THETA",$AG57,$B$1,$B$2,$AH$3,AO$46)</f>
        <v>-5.6276410487643477E-3</v>
      </c>
      <c r="AP57" s="14" cm="1">
        <f t="array" ref="AP57">BS_Greek("CALL","THETA",$AG57,$B$1,$B$2,$AH$3,AP$46)</f>
        <v>-5.6001813999779493E-3</v>
      </c>
      <c r="AQ57" s="14" cm="1">
        <f t="array" ref="AQ57">BS_Greek("CALL","THETA",$AG57,$B$1,$B$2,$AH$3,AQ$46)</f>
        <v>-5.5556579677754564E-3</v>
      </c>
      <c r="AR57" s="14" cm="1">
        <f t="array" ref="AR57">BS_Greek("CALL","THETA",$AG57,$B$1,$B$2,$AH$3,AR$46)</f>
        <v>-4.9431622584815253E-3</v>
      </c>
      <c r="AS57" s="14" cm="1">
        <f t="array" ref="AS57">BS_Greek("CALL","THETA",$AG57,$B$1,$B$2,$AH$3,AS$46)</f>
        <v>-4.4617749510637277E-3</v>
      </c>
      <c r="AT57" s="14" cm="1">
        <f t="array" ref="AT57">BS_Greek("CALL","THETA",$AG57,$B$1,$B$2,$AH$3,AT$46)</f>
        <v>-4.1129984667138764E-3</v>
      </c>
      <c r="AU57" s="23" cm="1">
        <f t="array" ref="AU57">BS_Greek("CALL","THETA",$AG57,$B$1,$B$2,$AH$3,AU$46)</f>
        <v>-3.8481179638850107E-3</v>
      </c>
    </row>
    <row r="58" spans="1:47" x14ac:dyDescent="0.2">
      <c r="A58" s="12">
        <v>115</v>
      </c>
      <c r="B58" s="22" cm="1">
        <f t="array" ref="B58">BS_Greek("CALL","THETA",$A58,$B$1,$B$2,$B$3,B$6)</f>
        <v>-5.8093284971568572E-3</v>
      </c>
      <c r="C58" s="14" cm="1">
        <f t="array" ref="C58">BS_Greek("CALL","THETA",$A58,$B$1,$B$2,$B$3,C$6)</f>
        <v>-1.0014379216774616E-2</v>
      </c>
      <c r="D58" s="14" cm="1">
        <f t="array" ref="D58">BS_Greek("CALL","THETA",$A58,$B$1,$B$2,$B$3,D$6)</f>
        <v>-1.156850523739634E-2</v>
      </c>
      <c r="E58" s="14" cm="1">
        <f t="array" ref="E58">BS_Greek("CALL","THETA",$A58,$B$1,$B$2,$B$3,E$6)</f>
        <v>-1.2018696753959566E-2</v>
      </c>
      <c r="F58" s="14" cm="1">
        <f t="array" ref="F58">BS_Greek("CALL","THETA",$A58,$B$1,$B$2,$B$3,F$6)</f>
        <v>-1.2029245712727305E-2</v>
      </c>
      <c r="G58" s="14" cm="1">
        <f t="array" ref="G58">BS_Greek("CALL","THETA",$A58,$B$1,$B$2,$B$3,G$6)</f>
        <v>-1.1856769750037936E-2</v>
      </c>
      <c r="H58" s="14" cm="1">
        <f t="array" ref="H58">BS_Greek("CALL","THETA",$A58,$B$1,$B$2,$B$3,H$6)</f>
        <v>-1.1608721153305197E-2</v>
      </c>
      <c r="I58" s="14" cm="1">
        <f t="array" ref="I58">BS_Greek("CALL","THETA",$A58,$B$1,$B$2,$B$3,I$6)</f>
        <v>-1.1333353730275371E-2</v>
      </c>
      <c r="J58" s="14" cm="1">
        <f t="array" ref="J58">BS_Greek("CALL","THETA",$A58,$B$1,$B$2,$B$3,J$6)</f>
        <v>-1.1053299709237146E-2</v>
      </c>
      <c r="K58" s="14" cm="1">
        <f t="array" ref="K58">BS_Greek("CALL","THETA",$A58,$B$1,$B$2,$B$3,K$6)</f>
        <v>-1.0779311000986972E-2</v>
      </c>
      <c r="L58" s="14" cm="1">
        <f t="array" ref="L58">BS_Greek("CALL","THETA",$A58,$B$1,$B$2,$B$3,L$6)</f>
        <v>-8.7092091503845927E-3</v>
      </c>
      <c r="M58" s="14" cm="1">
        <f t="array" ref="M58">BS_Greek("CALL","THETA",$A58,$B$1,$B$2,$B$3,M$6)</f>
        <v>-7.4839946665865523E-3</v>
      </c>
      <c r="N58" s="14" cm="1">
        <f t="array" ref="N58">BS_Greek("CALL","THETA",$A58,$B$1,$B$2,$B$3,N$6)</f>
        <v>-6.6652572065179555E-3</v>
      </c>
      <c r="O58" s="23" cm="1">
        <f t="array" ref="O58">BS_Greek("CALL","THETA",$A58,$B$1,$B$2,$B$3,O$6)</f>
        <v>-6.0672405076638474E-3</v>
      </c>
      <c r="P58" s="5"/>
      <c r="Q58" s="12">
        <v>115</v>
      </c>
      <c r="R58" s="22" cm="1">
        <f t="array" ref="R58">BS_Greek("CALL","THETA",$Q58,$B$1,$B$2,$R$3,R$6)</f>
        <v>-2.099302244824482E-2</v>
      </c>
      <c r="S58" s="14" cm="1">
        <f t="array" ref="S58">BS_Greek("CALL","THETA",$Q58,$B$1,$B$2,$R$3,S$6)</f>
        <v>-2.4716444860907759E-2</v>
      </c>
      <c r="T58" s="14" cm="1">
        <f t="array" ref="T58">BS_Greek("CALL","THETA",$Q58,$B$1,$B$2,$R$3,T$6)</f>
        <v>-2.4043315710470522E-2</v>
      </c>
      <c r="U58" s="14" cm="1">
        <f t="array" ref="U58">BS_Greek("CALL","THETA",$Q58,$B$1,$B$2,$R$3,U$6)</f>
        <v>-2.2763646779957413E-2</v>
      </c>
      <c r="V58" s="14" cm="1">
        <f t="array" ref="V58">BS_Greek("CALL","THETA",$Q58,$B$1,$B$2,$R$3,V$6)</f>
        <v>-2.1496615638537202E-2</v>
      </c>
      <c r="W58" s="14" cm="1">
        <f t="array" ref="W58">BS_Greek("CALL","THETA",$Q58,$B$1,$B$2,$R$3,W$6)</f>
        <v>-2.0356990609438238E-2</v>
      </c>
      <c r="X58" s="14" cm="1">
        <f t="array" ref="X58">BS_Greek("CALL","THETA",$Q58,$B$1,$B$2,$R$3,X$6)</f>
        <v>-1.9353426783239921E-2</v>
      </c>
      <c r="Y58" s="14" cm="1">
        <f t="array" ref="Y58">BS_Greek("CALL","THETA",$Q58,$B$1,$B$2,$R$3,Y$6)</f>
        <v>-1.8470998973509553E-2</v>
      </c>
      <c r="Z58" s="14" cm="1">
        <f t="array" ref="Z58">BS_Greek("CALL","THETA",$Q58,$B$1,$B$2,$R$3,Z$6)</f>
        <v>-1.769143699034063E-2</v>
      </c>
      <c r="AA58" s="14" cm="1">
        <f t="array" ref="AA58">BS_Greek("CALL","THETA",$Q58,$B$1,$B$2,$R$3,AA$6)</f>
        <v>-1.6998205603962133E-2</v>
      </c>
      <c r="AB58" s="14" cm="1">
        <f t="array" ref="AB58">BS_Greek("CALL","THETA",$Q58,$B$1,$B$2,$R$3,AB$6)</f>
        <v>-1.2728906636104681E-2</v>
      </c>
      <c r="AC58" s="14" cm="1">
        <f t="array" ref="AC58">BS_Greek("CALL","THETA",$Q58,$B$1,$B$2,$R$3,AC$6)</f>
        <v>-1.056559385875621E-2</v>
      </c>
      <c r="AD58" s="14" cm="1">
        <f t="array" ref="AD58">BS_Greek("CALL","THETA",$Q58,$B$1,$B$2,$R$3,AD$6)</f>
        <v>-9.1917503785103709E-3</v>
      </c>
      <c r="AE58" s="23" cm="1">
        <f t="array" ref="AE58">BS_Greek("CALL","THETA",$Q58,$B$1,$B$2,$R$3,AE$6)</f>
        <v>-8.2132789019653159E-3</v>
      </c>
      <c r="AF58" s="5"/>
      <c r="AG58" s="12">
        <v>115</v>
      </c>
      <c r="AH58" s="22" cm="1">
        <f t="array" ref="AH58">BS_Greek("CALL","THETA",$AG58,$B$1,$B$2,$AH$3,AH$46)</f>
        <v>-2.7378979367510933E-3</v>
      </c>
      <c r="AI58" s="14" cm="1">
        <f t="array" ref="AI58">BS_Greek("CALL","THETA",$AG58,$B$1,$B$2,$AH$3,AI$46)</f>
        <v>-2.818087327364811E-3</v>
      </c>
      <c r="AJ58" s="14" cm="1">
        <f t="array" ref="AJ58">BS_Greek("CALL","THETA",$AG58,$B$1,$B$2,$AH$3,AJ$46)</f>
        <v>-3.0755397384419733E-3</v>
      </c>
      <c r="AK58" s="14" cm="1">
        <f t="array" ref="AK58">BS_Greek("CALL","THETA",$AG58,$B$1,$B$2,$AH$3,AK$46)</f>
        <v>-3.3926715988255767E-3</v>
      </c>
      <c r="AL58" s="14" cm="1">
        <f t="array" ref="AL58">BS_Greek("CALL","THETA",$AG58,$B$1,$B$2,$AH$3,AL$46)</f>
        <v>-3.6819872392782455E-3</v>
      </c>
      <c r="AM58" s="14" cm="1">
        <f t="array" ref="AM58">BS_Greek("CALL","THETA",$AG58,$B$1,$B$2,$AH$3,AM$46)</f>
        <v>-3.9175885994299749E-3</v>
      </c>
      <c r="AN58" s="14" cm="1">
        <f t="array" ref="AN58">BS_Greek("CALL","THETA",$AG58,$B$1,$B$2,$AH$3,AN$46)</f>
        <v>-4.0998343963390216E-3</v>
      </c>
      <c r="AO58" s="14" cm="1">
        <f t="array" ref="AO58">BS_Greek("CALL","THETA",$AG58,$B$1,$B$2,$AH$3,AO$46)</f>
        <v>-4.2367889185774615E-3</v>
      </c>
      <c r="AP58" s="14" cm="1">
        <f t="array" ref="AP58">BS_Greek("CALL","THETA",$AG58,$B$1,$B$2,$AH$3,AP$46)</f>
        <v>-4.3374413426835959E-3</v>
      </c>
      <c r="AQ58" s="14" cm="1">
        <f t="array" ref="AQ58">BS_Greek("CALL","THETA",$AG58,$B$1,$B$2,$AH$3,AQ$46)</f>
        <v>-4.4096540404070178E-3</v>
      </c>
      <c r="AR58" s="14" cm="1">
        <f t="array" ref="AR58">BS_Greek("CALL","THETA",$AG58,$B$1,$B$2,$AH$3,AR$46)</f>
        <v>-4.4586785901714167E-3</v>
      </c>
      <c r="AS58" s="14" cm="1">
        <f t="array" ref="AS58">BS_Greek("CALL","THETA",$AG58,$B$1,$B$2,$AH$3,AS$46)</f>
        <v>-4.218938209286577E-3</v>
      </c>
      <c r="AT58" s="14" cm="1">
        <f t="array" ref="AT58">BS_Greek("CALL","THETA",$AG58,$B$1,$B$2,$AH$3,AT$46)</f>
        <v>-3.9819272089589375E-3</v>
      </c>
      <c r="AU58" s="23" cm="1">
        <f t="array" ref="AU58">BS_Greek("CALL","THETA",$AG58,$B$1,$B$2,$AH$3,AU$46)</f>
        <v>-3.7772264873450105E-3</v>
      </c>
    </row>
    <row r="59" spans="1:47" x14ac:dyDescent="0.2">
      <c r="A59" s="12">
        <v>120</v>
      </c>
      <c r="B59" s="22" cm="1">
        <f t="array" ref="B59">BS_Greek("CALL","THETA",$A59,$B$1,$B$2,$B$3,B$6)</f>
        <v>-3.2980350877409507E-3</v>
      </c>
      <c r="C59" s="14" cm="1">
        <f t="array" ref="C59">BS_Greek("CALL","THETA",$A59,$B$1,$B$2,$B$3,C$6)</f>
        <v>-5.8706418488279595E-3</v>
      </c>
      <c r="D59" s="14" cm="1">
        <f t="array" ref="D59">BS_Greek("CALL","THETA",$A59,$B$1,$B$2,$B$3,D$6)</f>
        <v>-7.8030659645640281E-3</v>
      </c>
      <c r="E59" s="14" cm="1">
        <f t="array" ref="E59">BS_Greek("CALL","THETA",$A59,$B$1,$B$2,$B$3,E$6)</f>
        <v>-8.8845768479806544E-3</v>
      </c>
      <c r="F59" s="14" cm="1">
        <f t="array" ref="F59">BS_Greek("CALL","THETA",$A59,$B$1,$B$2,$B$3,F$6)</f>
        <v>-9.447633656340923E-3</v>
      </c>
      <c r="G59" s="14" cm="1">
        <f t="array" ref="G59">BS_Greek("CALL","THETA",$A59,$B$1,$B$2,$B$3,G$6)</f>
        <v>-9.7151881833420998E-3</v>
      </c>
      <c r="H59" s="14" cm="1">
        <f t="array" ref="H59">BS_Greek("CALL","THETA",$A59,$B$1,$B$2,$B$3,H$6)</f>
        <v>-9.8125531154694967E-3</v>
      </c>
      <c r="I59" s="14" cm="1">
        <f t="array" ref="I59">BS_Greek("CALL","THETA",$A59,$B$1,$B$2,$B$3,I$6)</f>
        <v>-9.810007551742092E-3</v>
      </c>
      <c r="J59" s="14" cm="1">
        <f t="array" ref="J59">BS_Greek("CALL","THETA",$A59,$B$1,$B$2,$B$3,J$6)</f>
        <v>-9.7480496592227111E-3</v>
      </c>
      <c r="K59" s="14" cm="1">
        <f t="array" ref="K59">BS_Greek("CALL","THETA",$A59,$B$1,$B$2,$B$3,K$6)</f>
        <v>-9.6507315410033576E-3</v>
      </c>
      <c r="L59" s="14" cm="1">
        <f t="array" ref="L59">BS_Greek("CALL","THETA",$A59,$B$1,$B$2,$B$3,L$6)</f>
        <v>-8.350801728961613E-3</v>
      </c>
      <c r="M59" s="14" cm="1">
        <f t="array" ref="M59">BS_Greek("CALL","THETA",$A59,$B$1,$B$2,$B$3,M$6)</f>
        <v>-7.3407620671237187E-3</v>
      </c>
      <c r="N59" s="14" cm="1">
        <f t="array" ref="N59">BS_Greek("CALL","THETA",$A59,$B$1,$B$2,$B$3,N$6)</f>
        <v>-6.6106764762045777E-3</v>
      </c>
      <c r="O59" s="23" cm="1">
        <f t="array" ref="O59">BS_Greek("CALL","THETA",$A59,$B$1,$B$2,$B$3,O$6)</f>
        <v>-6.0567311998251843E-3</v>
      </c>
      <c r="P59" s="5"/>
      <c r="Q59" s="12">
        <v>120</v>
      </c>
      <c r="R59" s="22" cm="1">
        <f t="array" ref="R59">BS_Greek("CALL","THETA",$Q59,$B$1,$B$2,$R$3,R$6)</f>
        <v>-1.1420537071774154E-2</v>
      </c>
      <c r="S59" s="14" cm="1">
        <f t="array" ref="S59">BS_Greek("CALL","THETA",$Q59,$B$1,$B$2,$R$3,S$6)</f>
        <v>-1.8050816178209569E-2</v>
      </c>
      <c r="T59" s="14" cm="1">
        <f t="array" ref="T59">BS_Greek("CALL","THETA",$Q59,$B$1,$B$2,$R$3,T$6)</f>
        <v>-1.9602300787189136E-2</v>
      </c>
      <c r="U59" s="14" cm="1">
        <f t="array" ref="U59">BS_Greek("CALL","THETA",$Q59,$B$1,$B$2,$R$3,U$6)</f>
        <v>-1.9637025412135738E-2</v>
      </c>
      <c r="V59" s="14" cm="1">
        <f t="array" ref="V59">BS_Greek("CALL","THETA",$Q59,$B$1,$B$2,$R$3,V$6)</f>
        <v>-1.9189509137111756E-2</v>
      </c>
      <c r="W59" s="14" cm="1">
        <f t="array" ref="W59">BS_Greek("CALL","THETA",$Q59,$B$1,$B$2,$R$3,W$6)</f>
        <v>-1.8593371902651753E-2</v>
      </c>
      <c r="X59" s="14" cm="1">
        <f t="array" ref="X59">BS_Greek("CALL","THETA",$Q59,$B$1,$B$2,$R$3,X$6)</f>
        <v>-1.7968986904518688E-2</v>
      </c>
      <c r="Y59" s="14" cm="1">
        <f t="array" ref="Y59">BS_Greek("CALL","THETA",$Q59,$B$1,$B$2,$R$3,Y$6)</f>
        <v>-1.7361991874474965E-2</v>
      </c>
      <c r="Z59" s="14" cm="1">
        <f t="array" ref="Z59">BS_Greek("CALL","THETA",$Q59,$B$1,$B$2,$R$3,Z$6)</f>
        <v>-1.678907539949432E-2</v>
      </c>
      <c r="AA59" s="14" cm="1">
        <f t="array" ref="AA59">BS_Greek("CALL","THETA",$Q59,$B$1,$B$2,$R$3,AA$6)</f>
        <v>-1.6255012613347664E-2</v>
      </c>
      <c r="AB59" s="14" cm="1">
        <f t="array" ref="AB59">BS_Greek("CALL","THETA",$Q59,$B$1,$B$2,$R$3,AB$6)</f>
        <v>-1.2595143753280942E-2</v>
      </c>
      <c r="AC59" s="14" cm="1">
        <f t="array" ref="AC59">BS_Greek("CALL","THETA",$Q59,$B$1,$B$2,$R$3,AC$6)</f>
        <v>-1.0571335466653781E-2</v>
      </c>
      <c r="AD59" s="14" cm="1">
        <f t="array" ref="AD59">BS_Greek("CALL","THETA",$Q59,$B$1,$B$2,$R$3,AD$6)</f>
        <v>-9.2466100796593544E-3</v>
      </c>
      <c r="AE59" s="23" cm="1">
        <f t="array" ref="AE59">BS_Greek("CALL","THETA",$Q59,$B$1,$B$2,$R$3,AE$6)</f>
        <v>-8.2884161040901651E-3</v>
      </c>
      <c r="AF59" s="5"/>
      <c r="AG59" s="12">
        <v>120</v>
      </c>
      <c r="AH59" s="22" cm="1">
        <f t="array" ref="AH59">BS_Greek("CALL","THETA",$AG59,$B$1,$B$2,$AH$3,AH$46)</f>
        <v>-2.7369886140532376E-3</v>
      </c>
      <c r="AI59" s="14" cm="1">
        <f t="array" ref="AI59">BS_Greek("CALL","THETA",$AG59,$B$1,$B$2,$AH$3,AI$46)</f>
        <v>-2.7369331127422283E-3</v>
      </c>
      <c r="AJ59" s="14" cm="1">
        <f t="array" ref="AJ59">BS_Greek("CALL","THETA",$AG59,$B$1,$B$2,$AH$3,AJ$46)</f>
        <v>-2.7660761012858214E-3</v>
      </c>
      <c r="AK59" s="14" cm="1">
        <f t="array" ref="AK59">BS_Greek("CALL","THETA",$AG59,$B$1,$B$2,$AH$3,AK$46)</f>
        <v>-2.8470825557422789E-3</v>
      </c>
      <c r="AL59" s="14" cm="1">
        <f t="array" ref="AL59">BS_Greek("CALL","THETA",$AG59,$B$1,$B$2,$AH$3,AL$46)</f>
        <v>-2.9664502842081759E-3</v>
      </c>
      <c r="AM59" s="14" cm="1">
        <f t="array" ref="AM59">BS_Greek("CALL","THETA",$AG59,$B$1,$B$2,$AH$3,AM$46)</f>
        <v>-3.1013726684467648E-3</v>
      </c>
      <c r="AN59" s="14" cm="1">
        <f t="array" ref="AN59">BS_Greek("CALL","THETA",$AG59,$B$1,$B$2,$AH$3,AN$46)</f>
        <v>-3.2353896287977686E-3</v>
      </c>
      <c r="AO59" s="14" cm="1">
        <f t="array" ref="AO59">BS_Greek("CALL","THETA",$AG59,$B$1,$B$2,$AH$3,AO$46)</f>
        <v>-3.3595434629207685E-3</v>
      </c>
      <c r="AP59" s="14" cm="1">
        <f t="array" ref="AP59">BS_Greek("CALL","THETA",$AG59,$B$1,$B$2,$AH$3,AP$46)</f>
        <v>-3.4699713884223408E-3</v>
      </c>
      <c r="AQ59" s="14" cm="1">
        <f t="array" ref="AQ59">BS_Greek("CALL","THETA",$AG59,$B$1,$B$2,$AH$3,AQ$46)</f>
        <v>-3.5657097047538796E-3</v>
      </c>
      <c r="AR59" s="14" cm="1">
        <f t="array" ref="AR59">BS_Greek("CALL","THETA",$AG59,$B$1,$B$2,$AH$3,AR$46)</f>
        <v>-3.9544788770340747E-3</v>
      </c>
      <c r="AS59" s="14" cm="1">
        <f t="array" ref="AS59">BS_Greek("CALL","THETA",$AG59,$B$1,$B$2,$AH$3,AS$46)</f>
        <v>-3.9204775417341292E-3</v>
      </c>
      <c r="AT59" s="14" cm="1">
        <f t="array" ref="AT59">BS_Greek("CALL","THETA",$AG59,$B$1,$B$2,$AH$3,AT$46)</f>
        <v>-3.7958881130957635E-3</v>
      </c>
      <c r="AU59" s="23" cm="1">
        <f t="array" ref="AU59">BS_Greek("CALL","THETA",$AG59,$B$1,$B$2,$AH$3,AU$46)</f>
        <v>-3.6576166478524815E-3</v>
      </c>
    </row>
    <row r="60" spans="1:47" x14ac:dyDescent="0.2">
      <c r="A60" s="12">
        <v>125</v>
      </c>
      <c r="B60" s="22" cm="1">
        <f t="array" ref="B60">BS_Greek("CALL","THETA",$A60,$B$1,$B$2,$B$3,B$6)</f>
        <v>-2.8086986391150509E-3</v>
      </c>
      <c r="C60" s="14" cm="1">
        <f t="array" ref="C60">BS_Greek("CALL","THETA",$A60,$B$1,$B$2,$B$3,C$6)</f>
        <v>-3.8635314166789309E-3</v>
      </c>
      <c r="D60" s="14" cm="1">
        <f t="array" ref="D60">BS_Greek("CALL","THETA",$A60,$B$1,$B$2,$B$3,D$6)</f>
        <v>-5.3118725073616826E-3</v>
      </c>
      <c r="E60" s="14" cm="1">
        <f t="array" ref="E60">BS_Greek("CALL","THETA",$A60,$B$1,$B$2,$B$3,E$6)</f>
        <v>-6.4531026694396396E-3</v>
      </c>
      <c r="F60" s="14" cm="1">
        <f t="array" ref="F60">BS_Greek("CALL","THETA",$A60,$B$1,$B$2,$B$3,F$6)</f>
        <v>-7.2390136516966219E-3</v>
      </c>
      <c r="G60" s="14" cm="1">
        <f t="array" ref="G60">BS_Greek("CALL","THETA",$A60,$B$1,$B$2,$B$3,G$6)</f>
        <v>-7.7560265365973144E-3</v>
      </c>
      <c r="H60" s="14" cm="1">
        <f t="array" ref="H60">BS_Greek("CALL","THETA",$A60,$B$1,$B$2,$B$3,H$6)</f>
        <v>-8.0860834412880053E-3</v>
      </c>
      <c r="I60" s="14" cm="1">
        <f t="array" ref="I60">BS_Greek("CALL","THETA",$A60,$B$1,$B$2,$B$3,I$6)</f>
        <v>-8.2882651691811981E-3</v>
      </c>
      <c r="J60" s="14" cm="1">
        <f t="array" ref="J60">BS_Greek("CALL","THETA",$A60,$B$1,$B$2,$B$3,J$6)</f>
        <v>-8.4027176497207048E-3</v>
      </c>
      <c r="K60" s="14" cm="1">
        <f t="array" ref="K60">BS_Greek("CALL","THETA",$A60,$B$1,$B$2,$B$3,K$6)</f>
        <v>-8.4564873480231853E-3</v>
      </c>
      <c r="L60" s="14" cm="1">
        <f t="array" ref="L60">BS_Greek("CALL","THETA",$A60,$B$1,$B$2,$B$3,L$6)</f>
        <v>-7.9041967874178519E-3</v>
      </c>
      <c r="M60" s="14" cm="1">
        <f t="array" ref="M60">BS_Greek("CALL","THETA",$A60,$B$1,$B$2,$B$3,M$6)</f>
        <v>-7.133824230908652E-3</v>
      </c>
      <c r="N60" s="14" cm="1">
        <f t="array" ref="N60">BS_Greek("CALL","THETA",$A60,$B$1,$B$2,$B$3,N$6)</f>
        <v>-6.5088579908130937E-3</v>
      </c>
      <c r="O60" s="23" cm="1">
        <f t="array" ref="O60">BS_Greek("CALL","THETA",$A60,$B$1,$B$2,$B$3,O$6)</f>
        <v>-6.0096306381540324E-3</v>
      </c>
      <c r="P60" s="5"/>
      <c r="Q60" s="12">
        <v>125</v>
      </c>
      <c r="R60" s="22" cm="1">
        <f t="array" ref="R60">BS_Greek("CALL","THETA",$Q60,$B$1,$B$2,$R$3,R$6)</f>
        <v>-6.2592652884108004E-3</v>
      </c>
      <c r="S60" s="14" cm="1">
        <f t="array" ref="S60">BS_Greek("CALL","THETA",$Q60,$B$1,$B$2,$R$3,S$6)</f>
        <v>-1.2581540060979455E-2</v>
      </c>
      <c r="T60" s="14" cm="1">
        <f t="array" ref="T60">BS_Greek("CALL","THETA",$Q60,$B$1,$B$2,$R$3,T$6)</f>
        <v>-1.5382044332691502E-2</v>
      </c>
      <c r="U60" s="14" cm="1">
        <f t="array" ref="U60">BS_Greek("CALL","THETA",$Q60,$B$1,$B$2,$R$3,U$6)</f>
        <v>-1.6423692824762751E-2</v>
      </c>
      <c r="V60" s="14" cm="1">
        <f t="array" ref="V60">BS_Greek("CALL","THETA",$Q60,$B$1,$B$2,$R$3,V$6)</f>
        <v>-1.6693740318528959E-2</v>
      </c>
      <c r="W60" s="14" cm="1">
        <f t="array" ref="W60">BS_Greek("CALL","THETA",$Q60,$B$1,$B$2,$R$3,W$6)</f>
        <v>-1.6611519700124928E-2</v>
      </c>
      <c r="X60" s="14" cm="1">
        <f t="array" ref="X60">BS_Greek("CALL","THETA",$Q60,$B$1,$B$2,$R$3,X$6)</f>
        <v>-1.6364402414983967E-2</v>
      </c>
      <c r="Y60" s="14" cm="1">
        <f t="array" ref="Y60">BS_Greek("CALL","THETA",$Q60,$B$1,$B$2,$R$3,Y$6)</f>
        <v>-1.6041692087433352E-2</v>
      </c>
      <c r="Z60" s="14" cm="1">
        <f t="array" ref="Z60">BS_Greek("CALL","THETA",$Q60,$B$1,$B$2,$R$3,Z$6)</f>
        <v>-1.5688130393826306E-2</v>
      </c>
      <c r="AA60" s="14" cm="1">
        <f t="array" ref="AA60">BS_Greek("CALL","THETA",$Q60,$B$1,$B$2,$R$3,AA$6)</f>
        <v>-1.5326855586158964E-2</v>
      </c>
      <c r="AB60" s="14" cm="1">
        <f t="array" ref="AB60">BS_Greek("CALL","THETA",$Q60,$B$1,$B$2,$R$3,AB$6)</f>
        <v>-1.236790787697707E-2</v>
      </c>
      <c r="AC60" s="14" cm="1">
        <f t="array" ref="AC60">BS_Greek("CALL","THETA",$Q60,$B$1,$B$2,$R$3,AC$6)</f>
        <v>-1.0519931433064565E-2</v>
      </c>
      <c r="AD60" s="14" cm="1">
        <f t="array" ref="AD60">BS_Greek("CALL","THETA",$Q60,$B$1,$B$2,$R$3,AD$6)</f>
        <v>-9.2619660764550766E-3</v>
      </c>
      <c r="AE60" s="23" cm="1">
        <f t="array" ref="AE60">BS_Greek("CALL","THETA",$Q60,$B$1,$B$2,$R$3,AE$6)</f>
        <v>-8.33409825556858E-3</v>
      </c>
      <c r="AF60" s="5"/>
      <c r="AG60" s="12">
        <v>125</v>
      </c>
      <c r="AH60" s="22" cm="1">
        <f t="array" ref="AH60">BS_Greek("CALL","THETA",$AG60,$B$1,$B$2,$AH$3,AH$46)</f>
        <v>-2.736987671012089E-3</v>
      </c>
      <c r="AI60" s="14" cm="1">
        <f t="array" ref="AI60">BS_Greek("CALL","THETA",$AG60,$B$1,$B$2,$AH$3,AI$46)</f>
        <v>-2.7342941132561414E-3</v>
      </c>
      <c r="AJ60" s="14" cm="1">
        <f t="array" ref="AJ60">BS_Greek("CALL","THETA",$AG60,$B$1,$B$2,$AH$3,AJ$46)</f>
        <v>-2.7336759993008739E-3</v>
      </c>
      <c r="AK60" s="14" cm="1">
        <f t="array" ref="AK60">BS_Greek("CALL","THETA",$AG60,$B$1,$B$2,$AH$3,AK$46)</f>
        <v>-2.743524708830351E-3</v>
      </c>
      <c r="AL60" s="14" cm="1">
        <f t="array" ref="AL60">BS_Greek("CALL","THETA",$AG60,$B$1,$B$2,$AH$3,AL$46)</f>
        <v>-2.7714142243693103E-3</v>
      </c>
      <c r="AM60" s="14" cm="1">
        <f t="array" ref="AM60">BS_Greek("CALL","THETA",$AG60,$B$1,$B$2,$AH$3,AM$46)</f>
        <v>-2.8174307433527055E-3</v>
      </c>
      <c r="AN60" s="14" cm="1">
        <f t="array" ref="AN60">BS_Greek("CALL","THETA",$AG60,$B$1,$B$2,$AH$3,AN$46)</f>
        <v>-2.876830587230414E-3</v>
      </c>
      <c r="AO60" s="14" cm="1">
        <f t="array" ref="AO60">BS_Greek("CALL","THETA",$AG60,$B$1,$B$2,$AH$3,AO$46)</f>
        <v>-2.9438719975859004E-3</v>
      </c>
      <c r="AP60" s="14" cm="1">
        <f t="array" ref="AP60">BS_Greek("CALL","THETA",$AG60,$B$1,$B$2,$AH$3,AP$46)</f>
        <v>-3.0136947476325578E-3</v>
      </c>
      <c r="AQ60" s="14" cm="1">
        <f t="array" ref="AQ60">BS_Greek("CALL","THETA",$AG60,$B$1,$B$2,$AH$3,AQ$46)</f>
        <v>-3.082789852781783E-3</v>
      </c>
      <c r="AR60" s="14" cm="1">
        <f t="array" ref="AR60">BS_Greek("CALL","THETA",$AG60,$B$1,$B$2,$AH$3,AR$46)</f>
        <v>-3.5254793804016605E-3</v>
      </c>
      <c r="AS60" s="14" cm="1">
        <f t="array" ref="AS60">BS_Greek("CALL","THETA",$AG60,$B$1,$B$2,$AH$3,AS$46)</f>
        <v>-3.6237548794847097E-3</v>
      </c>
      <c r="AT60" s="14" cm="1">
        <f t="array" ref="AT60">BS_Greek("CALL","THETA",$AG60,$B$1,$B$2,$AH$3,AT$46)</f>
        <v>-3.5912186818333729E-3</v>
      </c>
      <c r="AU60" s="23" cm="1">
        <f t="array" ref="AU60">BS_Greek("CALL","THETA",$AG60,$B$1,$B$2,$AH$3,AU$46)</f>
        <v>-3.5139854855894383E-3</v>
      </c>
    </row>
    <row r="61" spans="1:47" x14ac:dyDescent="0.2">
      <c r="A61" s="12">
        <v>130</v>
      </c>
      <c r="B61" s="22" cm="1">
        <f t="array" ref="B61">BS_Greek("CALL","THETA",$A61,$B$1,$B$2,$B$3,B$6)</f>
        <v>-2.7436959995603759E-3</v>
      </c>
      <c r="C61" s="14" cm="1">
        <f t="array" ref="C61">BS_Greek("CALL","THETA",$A61,$B$1,$B$2,$B$3,C$6)</f>
        <v>-3.0818546636658525E-3</v>
      </c>
      <c r="D61" s="14" cm="1">
        <f t="array" ref="D61">BS_Greek("CALL","THETA",$A61,$B$1,$B$2,$B$3,D$6)</f>
        <v>-3.9133995405080764E-3</v>
      </c>
      <c r="E61" s="14" cm="1">
        <f t="array" ref="E61">BS_Greek("CALL","THETA",$A61,$B$1,$B$2,$B$3,E$6)</f>
        <v>-4.810237743250987E-3</v>
      </c>
      <c r="F61" s="14" cm="1">
        <f t="array" ref="F61">BS_Greek("CALL","THETA",$A61,$B$1,$B$2,$B$3,F$6)</f>
        <v>-5.5686625985322188E-3</v>
      </c>
      <c r="G61" s="14" cm="1">
        <f t="array" ref="G61">BS_Greek("CALL","THETA",$A61,$B$1,$B$2,$B$3,G$6)</f>
        <v>-6.1568434917161751E-3</v>
      </c>
      <c r="H61" s="14" cm="1">
        <f t="array" ref="H61">BS_Greek("CALL","THETA",$A61,$B$1,$B$2,$B$3,H$6)</f>
        <v>-6.5964348968812194E-3</v>
      </c>
      <c r="I61" s="14" cm="1">
        <f t="array" ref="I61">BS_Greek("CALL","THETA",$A61,$B$1,$B$2,$B$3,I$6)</f>
        <v>-6.9182826327776259E-3</v>
      </c>
      <c r="J61" s="14" cm="1">
        <f t="array" ref="J61">BS_Greek("CALL","THETA",$A61,$B$1,$B$2,$B$3,J$6)</f>
        <v>-7.1498751882786288E-3</v>
      </c>
      <c r="K61" s="14" cm="1">
        <f t="array" ref="K61">BS_Greek("CALL","THETA",$A61,$B$1,$B$2,$B$3,K$6)</f>
        <v>-7.3129897318548022E-3</v>
      </c>
      <c r="L61" s="14" cm="1">
        <f t="array" ref="L61">BS_Greek("CALL","THETA",$A61,$B$1,$B$2,$B$3,L$6)</f>
        <v>-7.4075538194628169E-3</v>
      </c>
      <c r="M61" s="14" cm="1">
        <f t="array" ref="M61">BS_Greek("CALL","THETA",$A61,$B$1,$B$2,$B$3,M$6)</f>
        <v>-6.8810951640177172E-3</v>
      </c>
      <c r="N61" s="14" cm="1">
        <f t="array" ref="N61">BS_Greek("CALL","THETA",$A61,$B$1,$B$2,$B$3,N$6)</f>
        <v>-6.3701345022254621E-3</v>
      </c>
      <c r="O61" s="23" cm="1">
        <f t="array" ref="O61">BS_Greek("CALL","THETA",$A61,$B$1,$B$2,$B$3,O$6)</f>
        <v>-5.93268151671765E-3</v>
      </c>
      <c r="P61" s="5"/>
      <c r="Q61" s="12">
        <v>130</v>
      </c>
      <c r="R61" s="22" cm="1">
        <f t="array" ref="R61">BS_Greek("CALL","THETA",$Q61,$B$1,$B$2,$R$3,R$6)</f>
        <v>-3.9799132950344585E-3</v>
      </c>
      <c r="S61" s="14" cm="1">
        <f t="array" ref="S61">BS_Greek("CALL","THETA",$Q61,$B$1,$B$2,$R$3,S$6)</f>
        <v>-8.6354632068481995E-3</v>
      </c>
      <c r="T61" s="14" cm="1">
        <f t="array" ref="T61">BS_Greek("CALL","THETA",$Q61,$B$1,$B$2,$R$3,T$6)</f>
        <v>-1.1778948066319057E-2</v>
      </c>
      <c r="U61" s="14" cm="1">
        <f t="array" ref="U61">BS_Greek("CALL","THETA",$Q61,$B$1,$B$2,$R$3,U$6)</f>
        <v>-1.3430239007566951E-2</v>
      </c>
      <c r="V61" s="14" cm="1">
        <f t="array" ref="V61">BS_Greek("CALL","THETA",$Q61,$B$1,$B$2,$R$3,V$6)</f>
        <v>-1.423763110362297E-2</v>
      </c>
      <c r="W61" s="14" cm="1">
        <f t="array" ref="W61">BS_Greek("CALL","THETA",$Q61,$B$1,$B$2,$R$3,W$6)</f>
        <v>-1.4583936041926969E-2</v>
      </c>
      <c r="X61" s="14" cm="1">
        <f t="array" ref="X61">BS_Greek("CALL","THETA",$Q61,$B$1,$B$2,$R$3,X$6)</f>
        <v>-1.467308185158127E-2</v>
      </c>
      <c r="Y61" s="14" cm="1">
        <f t="array" ref="Y61">BS_Greek("CALL","THETA",$Q61,$B$1,$B$2,$R$3,Y$6)</f>
        <v>-1.4615688299595741E-2</v>
      </c>
      <c r="Z61" s="14" cm="1">
        <f t="array" ref="Z61">BS_Greek("CALL","THETA",$Q61,$B$1,$B$2,$R$3,Z$6)</f>
        <v>-1.4473928393117156E-2</v>
      </c>
      <c r="AA61" s="14" cm="1">
        <f t="array" ref="AA61">BS_Greek("CALL","THETA",$Q61,$B$1,$B$2,$R$3,AA$6)</f>
        <v>-1.4283952976631936E-2</v>
      </c>
      <c r="AB61" s="14" cm="1">
        <f t="array" ref="AB61">BS_Greek("CALL","THETA",$Q61,$B$1,$B$2,$R$3,AB$6)</f>
        <v>-1.2065729467039186E-2</v>
      </c>
      <c r="AC61" s="14" cm="1">
        <f t="array" ref="AC61">BS_Greek("CALL","THETA",$Q61,$B$1,$B$2,$R$3,AC$6)</f>
        <v>-1.0419869202588826E-2</v>
      </c>
      <c r="AD61" s="14" cm="1">
        <f t="array" ref="AD61">BS_Greek("CALL","THETA",$Q61,$B$1,$B$2,$R$3,AD$6)</f>
        <v>-9.2427602438595949E-3</v>
      </c>
      <c r="AE61" s="23" cm="1">
        <f t="array" ref="AE61">BS_Greek("CALL","THETA",$Q61,$B$1,$B$2,$R$3,AE$6)</f>
        <v>-8.3536089273122671E-3</v>
      </c>
      <c r="AF61" s="5"/>
      <c r="AG61" s="12">
        <v>130</v>
      </c>
      <c r="AH61" s="22" cm="1">
        <f t="array" ref="AH61">BS_Greek("CALL","THETA",$AG61,$B$1,$B$2,$AH$3,AH$46)</f>
        <v>-2.7369876707763869E-3</v>
      </c>
      <c r="AI61" s="14" cm="1">
        <f t="array" ref="AI61">BS_Greek("CALL","THETA",$AG61,$B$1,$B$2,$AH$3,AI$46)</f>
        <v>-2.7342524051318456E-3</v>
      </c>
      <c r="AJ61" s="14" cm="1">
        <f t="array" ref="AJ61">BS_Greek("CALL","THETA",$AG61,$B$1,$B$2,$AH$3,AJ$46)</f>
        <v>-2.7316079925956542E-3</v>
      </c>
      <c r="AK61" s="14" cm="1">
        <f t="array" ref="AK61">BS_Greek("CALL","THETA",$AG61,$B$1,$B$2,$AH$3,AK$46)</f>
        <v>-2.7301321563579272E-3</v>
      </c>
      <c r="AL61" s="14" cm="1">
        <f t="array" ref="AL61">BS_Greek("CALL","THETA",$AG61,$B$1,$B$2,$AH$3,AL$46)</f>
        <v>-2.732722349661286E-3</v>
      </c>
      <c r="AM61" s="14" cm="1">
        <f t="array" ref="AM61">BS_Greek("CALL","THETA",$AG61,$B$1,$B$2,$AH$3,AM$46)</f>
        <v>-2.7423352226375757E-3</v>
      </c>
      <c r="AN61" s="14" cm="1">
        <f t="array" ref="AN61">BS_Greek("CALL","THETA",$AG61,$B$1,$B$2,$AH$3,AN$46)</f>
        <v>-2.7602165367608218E-3</v>
      </c>
      <c r="AO61" s="14" cm="1">
        <f t="array" ref="AO61">BS_Greek("CALL","THETA",$AG61,$B$1,$B$2,$AH$3,AO$46)</f>
        <v>-2.7858561465016387E-3</v>
      </c>
      <c r="AP61" s="14" cm="1">
        <f t="array" ref="AP61">BS_Greek("CALL","THETA",$AG61,$B$1,$B$2,$AH$3,AP$46)</f>
        <v>-2.8177307946140435E-3</v>
      </c>
      <c r="AQ61" s="14" cm="1">
        <f t="array" ref="AQ61">BS_Greek("CALL","THETA",$AG61,$B$1,$B$2,$AH$3,AQ$46)</f>
        <v>-2.8539929876243157E-3</v>
      </c>
      <c r="AR61" s="14" cm="1">
        <f t="array" ref="AR61">BS_Greek("CALL","THETA",$AG61,$B$1,$B$2,$AH$3,AR$46)</f>
        <v>-3.2056859635034209E-3</v>
      </c>
      <c r="AS61" s="14" cm="1">
        <f t="array" ref="AS61">BS_Greek("CALL","THETA",$AG61,$B$1,$B$2,$AH$3,AS$46)</f>
        <v>-3.3629384444224812E-3</v>
      </c>
      <c r="AT61" s="14" cm="1">
        <f t="array" ref="AT61">BS_Greek("CALL","THETA",$AG61,$B$1,$B$2,$AH$3,AT$46)</f>
        <v>-3.3934233108399718E-3</v>
      </c>
      <c r="AU61" s="23" cm="1">
        <f t="array" ref="AU61">BS_Greek("CALL","THETA",$AG61,$B$1,$B$2,$AH$3,AU$46)</f>
        <v>-3.3651475756269395E-3</v>
      </c>
    </row>
    <row r="62" spans="1:47" x14ac:dyDescent="0.2">
      <c r="A62" s="12">
        <v>135</v>
      </c>
      <c r="B62" s="22" cm="1">
        <f t="array" ref="B62">BS_Greek("CALL","THETA",$A62,$B$1,$B$2,$B$3,B$6)</f>
        <v>-2.7374648639591839E-3</v>
      </c>
      <c r="C62" s="14" cm="1">
        <f t="array" ref="C62">BS_Greek("CALL","THETA",$A62,$B$1,$B$2,$B$3,C$6)</f>
        <v>-2.8275045728677456E-3</v>
      </c>
      <c r="D62" s="14" cm="1">
        <f t="array" ref="D62">BS_Greek("CALL","THETA",$A62,$B$1,$B$2,$B$3,D$6)</f>
        <v>-3.2252351948221249E-3</v>
      </c>
      <c r="E62" s="14" cm="1">
        <f t="array" ref="E62">BS_Greek("CALL","THETA",$A62,$B$1,$B$2,$B$3,E$6)</f>
        <v>-3.81404713846089E-3</v>
      </c>
      <c r="F62" s="14" cm="1">
        <f t="array" ref="F62">BS_Greek("CALL","THETA",$A62,$B$1,$B$2,$B$3,F$6)</f>
        <v>-4.4192724971741145E-3</v>
      </c>
      <c r="G62" s="14" cm="1">
        <f t="array" ref="G62">BS_Greek("CALL","THETA",$A62,$B$1,$B$2,$B$3,G$6)</f>
        <v>-4.9586398490184137E-3</v>
      </c>
      <c r="H62" s="14" cm="1">
        <f t="array" ref="H62">BS_Greek("CALL","THETA",$A62,$B$1,$B$2,$B$3,H$6)</f>
        <v>-5.4095217113988795E-3</v>
      </c>
      <c r="I62" s="14" cm="1">
        <f t="array" ref="I62">BS_Greek("CALL","THETA",$A62,$B$1,$B$2,$B$3,I$6)</f>
        <v>-5.7745305581735906E-3</v>
      </c>
      <c r="J62" s="14" cm="1">
        <f t="array" ref="J62">BS_Greek("CALL","THETA",$A62,$B$1,$B$2,$B$3,J$6)</f>
        <v>-6.0646568044938082E-3</v>
      </c>
      <c r="K62" s="14" cm="1">
        <f t="array" ref="K62">BS_Greek("CALL","THETA",$A62,$B$1,$B$2,$B$3,K$6)</f>
        <v>-6.2923558653274125E-3</v>
      </c>
      <c r="L62" s="14" cm="1">
        <f t="array" ref="L62">BS_Greek("CALL","THETA",$A62,$B$1,$B$2,$B$3,L$6)</f>
        <v>-6.8923957750537902E-3</v>
      </c>
      <c r="M62" s="14" cm="1">
        <f t="array" ref="M62">BS_Greek("CALL","THETA",$A62,$B$1,$B$2,$B$3,M$6)</f>
        <v>-6.5983892910574807E-3</v>
      </c>
      <c r="N62" s="14" cm="1">
        <f t="array" ref="N62">BS_Greek("CALL","THETA",$A62,$B$1,$B$2,$B$3,N$6)</f>
        <v>-6.2038717217347446E-3</v>
      </c>
      <c r="O62" s="23" cm="1">
        <f t="array" ref="O62">BS_Greek("CALL","THETA",$A62,$B$1,$B$2,$B$3,O$6)</f>
        <v>-5.8320720963131508E-3</v>
      </c>
      <c r="P62" s="5"/>
      <c r="Q62" s="12">
        <v>135</v>
      </c>
      <c r="R62" s="22" cm="1">
        <f t="array" ref="R62">BS_Greek("CALL","THETA",$Q62,$B$1,$B$2,$R$3,R$6)</f>
        <v>-3.1251171514154962E-3</v>
      </c>
      <c r="S62" s="14" cm="1">
        <f t="array" ref="S62">BS_Greek("CALL","THETA",$Q62,$B$1,$B$2,$R$3,S$6)</f>
        <v>-6.05926458561364E-3</v>
      </c>
      <c r="T62" s="14" cm="1">
        <f t="array" ref="T62">BS_Greek("CALL","THETA",$Q62,$B$1,$B$2,$R$3,T$6)</f>
        <v>-8.9391523402815882E-3</v>
      </c>
      <c r="U62" s="14" cm="1">
        <f t="array" ref="U62">BS_Greek("CALL","THETA",$Q62,$B$1,$B$2,$R$3,U$6)</f>
        <v>-1.083245442299496E-2</v>
      </c>
      <c r="V62" s="14" cm="1">
        <f t="array" ref="V62">BS_Greek("CALL","THETA",$Q62,$B$1,$B$2,$R$3,V$6)</f>
        <v>-1.1975568197908664E-2</v>
      </c>
      <c r="W62" s="14" cm="1">
        <f t="array" ref="W62">BS_Greek("CALL","THETA",$Q62,$B$1,$B$2,$R$3,W$6)</f>
        <v>-1.2638151562723944E-2</v>
      </c>
      <c r="X62" s="14" cm="1">
        <f t="array" ref="X62">BS_Greek("CALL","THETA",$Q62,$B$1,$B$2,$R$3,X$6)</f>
        <v>-1.2999360990032759E-2</v>
      </c>
      <c r="Y62" s="14" cm="1">
        <f t="array" ref="Y62">BS_Greek("CALL","THETA",$Q62,$B$1,$B$2,$R$3,Y$6)</f>
        <v>-1.3169810095521121E-2</v>
      </c>
      <c r="Z62" s="14" cm="1">
        <f t="array" ref="Z62">BS_Greek("CALL","THETA",$Q62,$B$1,$B$2,$R$3,Z$6)</f>
        <v>-1.3217798413972104E-2</v>
      </c>
      <c r="AA62" s="14" cm="1">
        <f t="array" ref="AA62">BS_Greek("CALL","THETA",$Q62,$B$1,$B$2,$R$3,AA$6)</f>
        <v>-1.3186256532811455E-2</v>
      </c>
      <c r="AB62" s="14" cm="1">
        <f t="array" ref="AB62">BS_Greek("CALL","THETA",$Q62,$B$1,$B$2,$R$3,AB$6)</f>
        <v>-1.1705696345390515E-2</v>
      </c>
      <c r="AC62" s="14" cm="1">
        <f t="array" ref="AC62">BS_Greek("CALL","THETA",$Q62,$B$1,$B$2,$R$3,AC$6)</f>
        <v>-1.0279088582546081E-2</v>
      </c>
      <c r="AD62" s="14" cm="1">
        <f t="array" ref="AD62">BS_Greek("CALL","THETA",$Q62,$B$1,$B$2,$R$3,AD$6)</f>
        <v>-9.1936269711699152E-3</v>
      </c>
      <c r="AE62" s="23" cm="1">
        <f t="array" ref="AE62">BS_Greek("CALL","THETA",$Q62,$B$1,$B$2,$R$3,AE$6)</f>
        <v>-8.3500243280010995E-3</v>
      </c>
      <c r="AF62" s="5"/>
      <c r="AG62" s="12">
        <v>135</v>
      </c>
      <c r="AH62" s="22" cm="1">
        <f t="array" ref="AH62">BS_Greek("CALL","THETA",$AG62,$B$1,$B$2,$AH$3,AH$46)</f>
        <v>-2.73698767077637E-3</v>
      </c>
      <c r="AI62" s="14" cm="1">
        <f t="array" ref="AI62">BS_Greek("CALL","THETA",$AG62,$B$1,$B$2,$AH$3,AI$46)</f>
        <v>-2.7342520528684244E-3</v>
      </c>
      <c r="AJ62" s="14" cm="1">
        <f t="array" ref="AJ62">BS_Greek("CALL","THETA",$AG62,$B$1,$B$2,$AH$3,AJ$46)</f>
        <v>-2.7315217065746297E-3</v>
      </c>
      <c r="AK62" s="14" cm="1">
        <f t="array" ref="AK62">BS_Greek("CALL","THETA",$AG62,$B$1,$B$2,$AH$3,AK$46)</f>
        <v>-2.7288821272296883E-3</v>
      </c>
      <c r="AL62" s="14" cm="1">
        <f t="array" ref="AL62">BS_Greek("CALL","THETA",$AG62,$B$1,$B$2,$AH$3,AL$46)</f>
        <v>-2.7268472305600894E-3</v>
      </c>
      <c r="AM62" s="14" cm="1">
        <f t="array" ref="AM62">BS_Greek("CALL","THETA",$AG62,$B$1,$B$2,$AH$3,AM$46)</f>
        <v>-2.7265312280787012E-3</v>
      </c>
      <c r="AN62" s="14" cm="1">
        <f t="array" ref="AN62">BS_Greek("CALL","THETA",$AG62,$B$1,$B$2,$AH$3,AN$46)</f>
        <v>-2.7291937836389614E-3</v>
      </c>
      <c r="AO62" s="14" cm="1">
        <f t="array" ref="AO62">BS_Greek("CALL","THETA",$AG62,$B$1,$B$2,$AH$3,AO$46)</f>
        <v>-2.735702078658283E-3</v>
      </c>
      <c r="AP62" s="14" cm="1">
        <f t="array" ref="AP62">BS_Greek("CALL","THETA",$AG62,$B$1,$B$2,$AH$3,AP$46)</f>
        <v>-2.7463367452608455E-3</v>
      </c>
      <c r="AQ62" s="14" cm="1">
        <f t="array" ref="AQ62">BS_Greek("CALL","THETA",$AG62,$B$1,$B$2,$AH$3,AQ$46)</f>
        <v>-2.7608771112304633E-3</v>
      </c>
      <c r="AR62" s="14" cm="1">
        <f t="array" ref="AR62">BS_Greek("CALL","THETA",$AG62,$B$1,$B$2,$AH$3,AR$46)</f>
        <v>-2.9896518167240559E-3</v>
      </c>
      <c r="AS62" s="14" cm="1">
        <f t="array" ref="AS62">BS_Greek("CALL","THETA",$AG62,$B$1,$B$2,$AH$3,AS$46)</f>
        <v>-3.1524002957230659E-3</v>
      </c>
      <c r="AT62" s="14" cm="1">
        <f t="array" ref="AT62">BS_Greek("CALL","THETA",$AG62,$B$1,$B$2,$AH$3,AT$46)</f>
        <v>-3.2175359166484005E-3</v>
      </c>
      <c r="AU62" s="23" cm="1">
        <f t="array" ref="AU62">BS_Greek("CALL","THETA",$AG62,$B$1,$B$2,$AH$3,AU$46)</f>
        <v>-3.2238207807185359E-3</v>
      </c>
    </row>
    <row r="63" spans="1:47" x14ac:dyDescent="0.2">
      <c r="A63" s="12">
        <v>140</v>
      </c>
      <c r="B63" s="24" cm="1">
        <f t="array" ref="B63">BS_Greek("CALL","THETA",$A63,$B$1,$B$2,$B$3,B$6)</f>
        <v>-2.7370143482358727E-3</v>
      </c>
      <c r="C63" s="25" cm="1">
        <f t="array" ref="C63">BS_Greek("CALL","THETA",$A63,$B$1,$B$2,$B$3,C$6)</f>
        <v>-2.7564210044982709E-3</v>
      </c>
      <c r="D63" s="25" cm="1">
        <f t="array" ref="D63">BS_Greek("CALL","THETA",$A63,$B$1,$B$2,$B$3,D$6)</f>
        <v>-2.9217319094192152E-3</v>
      </c>
      <c r="E63" s="25" cm="1">
        <f t="array" ref="E63">BS_Greek("CALL","THETA",$A63,$B$1,$B$2,$B$3,E$6)</f>
        <v>-3.2611666304648876E-3</v>
      </c>
      <c r="F63" s="25" cm="1">
        <f t="array" ref="F63">BS_Greek("CALL","THETA",$A63,$B$1,$B$2,$B$3,F$6)</f>
        <v>-3.686374204713105E-3</v>
      </c>
      <c r="G63" s="25" cm="1">
        <f t="array" ref="G63">BS_Greek("CALL","THETA",$A63,$B$1,$B$2,$B$3,G$6)</f>
        <v>-4.1200040547638827E-3</v>
      </c>
      <c r="H63" s="25" cm="1">
        <f t="array" ref="H63">BS_Greek("CALL","THETA",$A63,$B$1,$B$2,$B$3,H$6)</f>
        <v>-4.5211713226629988E-3</v>
      </c>
      <c r="I63" s="25" cm="1">
        <f t="array" ref="I63">BS_Greek("CALL","THETA",$A63,$B$1,$B$2,$B$3,I$6)</f>
        <v>-4.8739454367226027E-3</v>
      </c>
      <c r="J63" s="25" cm="1">
        <f t="array" ref="J63">BS_Greek("CALL","THETA",$A63,$B$1,$B$2,$B$3,J$6)</f>
        <v>-5.1754408148985426E-3</v>
      </c>
      <c r="K63" s="25" cm="1">
        <f t="array" ref="K63">BS_Greek("CALL","THETA",$A63,$B$1,$B$2,$B$3,K$6)</f>
        <v>-5.4286855774456962E-3</v>
      </c>
      <c r="L63" s="25" cm="1">
        <f t="array" ref="L63">BS_Greek("CALL","THETA",$A63,$B$1,$B$2,$B$3,L$6)</f>
        <v>-6.383090959449147E-3</v>
      </c>
      <c r="M63" s="25" cm="1">
        <f t="array" ref="M63">BS_Greek("CALL","THETA",$A63,$B$1,$B$2,$B$3,M$6)</f>
        <v>-6.2991025416910826E-3</v>
      </c>
      <c r="N63" s="25" cm="1">
        <f t="array" ref="N63">BS_Greek("CALL","THETA",$A63,$B$1,$B$2,$B$3,N$6)</f>
        <v>-6.0183026684676438E-3</v>
      </c>
      <c r="O63" s="26" cm="1">
        <f t="array" ref="O63">BS_Greek("CALL","THETA",$A63,$B$1,$B$2,$B$3,O$6)</f>
        <v>-5.7133452857681503E-3</v>
      </c>
      <c r="P63" s="5"/>
      <c r="Q63" s="12">
        <v>140</v>
      </c>
      <c r="R63" s="24" cm="1">
        <f t="array" ref="R63">BS_Greek("CALL","THETA",$Q63,$B$1,$B$2,$R$3,R$6)</f>
        <v>-2.8458324659119817E-3</v>
      </c>
      <c r="S63" s="25" cm="1">
        <f t="array" ref="S63">BS_Greek("CALL","THETA",$Q63,$B$1,$B$2,$R$3,S$6)</f>
        <v>-4.5088672563004771E-3</v>
      </c>
      <c r="T63" s="25" cm="1">
        <f t="array" ref="T63">BS_Greek("CALL","THETA",$Q63,$B$1,$B$2,$R$3,T$6)</f>
        <v>-6.8382049078783763E-3</v>
      </c>
      <c r="U63" s="25" cm="1">
        <f t="array" ref="U63">BS_Greek("CALL","THETA",$Q63,$B$1,$B$2,$R$3,U$6)</f>
        <v>-8.6981935800516056E-3</v>
      </c>
      <c r="V63" s="25" cm="1">
        <f t="array" ref="V63">BS_Greek("CALL","THETA",$Q63,$B$1,$B$2,$R$3,V$6)</f>
        <v>-9.9940950730608488E-3</v>
      </c>
      <c r="W63" s="25" cm="1">
        <f t="array" ref="W63">BS_Greek("CALL","THETA",$Q63,$B$1,$B$2,$R$3,W$6)</f>
        <v>-1.0857448283959788E-2</v>
      </c>
      <c r="X63" s="25" cm="1">
        <f t="array" ref="X63">BS_Greek("CALL","THETA",$Q63,$B$1,$B$2,$R$3,X$6)</f>
        <v>-1.1417497527996139E-2</v>
      </c>
      <c r="Y63" s="25" cm="1">
        <f t="array" ref="Y63">BS_Greek("CALL","THETA",$Q63,$B$1,$B$2,$R$3,Y$6)</f>
        <v>-1.1768651175255076E-2</v>
      </c>
      <c r="Z63" s="25" cm="1">
        <f t="array" ref="Z63">BS_Greek("CALL","THETA",$Q63,$B$1,$B$2,$R$3,Z$6)</f>
        <v>-1.1975570207334519E-2</v>
      </c>
      <c r="AA63" s="25" cm="1">
        <f t="array" ref="AA63">BS_Greek("CALL","THETA",$Q63,$B$1,$B$2,$R$3,AA$6)</f>
        <v>-1.2082075574953962E-2</v>
      </c>
      <c r="AB63" s="25" cm="1">
        <f t="array" ref="AB63">BS_Greek("CALL","THETA",$Q63,$B$1,$B$2,$R$3,AB$6)</f>
        <v>-1.1303126320450827E-2</v>
      </c>
      <c r="AC63" s="25" cm="1">
        <f t="array" ref="AC63">BS_Greek("CALL","THETA",$Q63,$B$1,$B$2,$R$3,AC$6)</f>
        <v>-1.0104878825265184E-2</v>
      </c>
      <c r="AD63" s="25" cm="1">
        <f t="array" ref="AD63">BS_Greek("CALL","THETA",$Q63,$B$1,$B$2,$R$3,AD$6)</f>
        <v>-9.1188536792843871E-3</v>
      </c>
      <c r="AE63" s="26" cm="1">
        <f t="array" ref="AE63">BS_Greek("CALL","THETA",$Q63,$B$1,$B$2,$R$3,AE$6)</f>
        <v>-8.3261971497866141E-3</v>
      </c>
      <c r="AF63" s="5"/>
      <c r="AG63" s="12">
        <v>140</v>
      </c>
      <c r="AH63" s="24" cm="1">
        <f t="array" ref="AH63">BS_Greek("CALL","THETA",$AG63,$B$1,$B$2,$AH$3,AH$46)</f>
        <v>-2.73698767077637E-3</v>
      </c>
      <c r="AI63" s="25" cm="1">
        <f t="array" ref="AI63">BS_Greek("CALL","THETA",$AG63,$B$1,$B$2,$AH$3,AI$46)</f>
        <v>-2.7342520511485771E-3</v>
      </c>
      <c r="AJ63" s="25" cm="1">
        <f t="array" ref="AJ63">BS_Greek("CALL","THETA",$AG63,$B$1,$B$2,$AH$3,AJ$46)</f>
        <v>-2.7315192185145614E-3</v>
      </c>
      <c r="AK63" s="25" cm="1">
        <f t="array" ref="AK63">BS_Greek("CALL","THETA",$AG63,$B$1,$B$2,$AH$3,AK$46)</f>
        <v>-2.7287940874309588E-3</v>
      </c>
      <c r="AL63" s="25" cm="1">
        <f t="array" ref="AL63">BS_Greek("CALL","THETA",$AG63,$B$1,$B$2,$AH$3,AL$46)</f>
        <v>-2.7261380231119355E-3</v>
      </c>
      <c r="AM63" s="25" cm="1">
        <f t="array" ref="AM63">BS_Greek("CALL","THETA",$AG63,$B$1,$B$2,$AH$3,AM$46)</f>
        <v>-2.7237942649291774E-3</v>
      </c>
      <c r="AN63" s="25" cm="1">
        <f t="array" ref="AN63">BS_Greek("CALL","THETA",$AG63,$B$1,$B$2,$AH$3,AN$46)</f>
        <v>-2.7222339511491331E-3</v>
      </c>
      <c r="AO63" s="25" cm="1">
        <f t="array" ref="AO63">BS_Greek("CALL","THETA",$AG63,$B$1,$B$2,$AH$3,AO$46)</f>
        <v>-2.7220300049986446E-3</v>
      </c>
      <c r="AP63" s="25" cm="1">
        <f t="array" ref="AP63">BS_Greek("CALL","THETA",$AG63,$B$1,$B$2,$AH$3,AP$46)</f>
        <v>-2.7236795785183059E-3</v>
      </c>
      <c r="AQ63" s="25" cm="1">
        <f t="array" ref="AQ63">BS_Greek("CALL","THETA",$AG63,$B$1,$B$2,$AH$3,AQ$46)</f>
        <v>-2.7274934864203472E-3</v>
      </c>
      <c r="AR63" s="25" cm="1">
        <f t="array" ref="AR63">BS_Greek("CALL","THETA",$AG63,$B$1,$B$2,$AH$3,AR$46)</f>
        <v>-2.8546706477409903E-3</v>
      </c>
      <c r="AS63" s="25" cm="1">
        <f t="array" ref="AS63">BS_Greek("CALL","THETA",$AG63,$B$1,$B$2,$AH$3,AS$46)</f>
        <v>-2.9930375106576039E-3</v>
      </c>
      <c r="AT63" s="25" cm="1">
        <f t="array" ref="AT63">BS_Greek("CALL","THETA",$AG63,$B$1,$B$2,$AH$3,AT$46)</f>
        <v>-3.0702242762499269E-3</v>
      </c>
      <c r="AU63" s="26" cm="1">
        <f t="array" ref="AU63">BS_Greek("CALL","THETA",$AG63,$B$1,$B$2,$AH$3,AU$46)</f>
        <v>-3.0974201768739838E-3</v>
      </c>
    </row>
    <row r="65" spans="1:47" x14ac:dyDescent="0.2">
      <c r="A65" s="107" t="s">
        <v>10</v>
      </c>
      <c r="B65" s="107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07"/>
      <c r="Q65" s="107" t="s">
        <v>11</v>
      </c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G65" s="107" t="s">
        <v>18</v>
      </c>
      <c r="AH65" s="107"/>
      <c r="AI65" s="107"/>
      <c r="AJ65" s="107"/>
      <c r="AK65" s="107"/>
      <c r="AL65" s="107"/>
      <c r="AM65" s="107"/>
      <c r="AN65" s="107"/>
      <c r="AO65" s="107"/>
      <c r="AP65" s="107"/>
      <c r="AQ65" s="107"/>
      <c r="AR65" s="107"/>
      <c r="AS65" s="107"/>
      <c r="AT65" s="107"/>
      <c r="AU65" s="107"/>
    </row>
    <row r="66" spans="1:47" x14ac:dyDescent="0.2">
      <c r="A66" s="8"/>
      <c r="B66" s="17">
        <v>0.1</v>
      </c>
      <c r="C66" s="17">
        <v>0.2</v>
      </c>
      <c r="D66" s="17">
        <v>0.3</v>
      </c>
      <c r="E66" s="17">
        <v>0.4</v>
      </c>
      <c r="F66" s="17">
        <v>0.5</v>
      </c>
      <c r="G66" s="17">
        <v>0.6</v>
      </c>
      <c r="H66" s="17">
        <v>0.7</v>
      </c>
      <c r="I66" s="17">
        <v>0.8</v>
      </c>
      <c r="J66" s="17">
        <v>0.9</v>
      </c>
      <c r="K66" s="17">
        <v>1</v>
      </c>
      <c r="L66" s="17">
        <v>2</v>
      </c>
      <c r="M66" s="17">
        <v>3</v>
      </c>
      <c r="N66" s="17">
        <v>4</v>
      </c>
      <c r="O66" s="17">
        <v>5</v>
      </c>
      <c r="P66" s="11"/>
      <c r="Q66" s="8"/>
      <c r="R66" s="17">
        <v>0.1</v>
      </c>
      <c r="S66" s="17">
        <v>0.2</v>
      </c>
      <c r="T66" s="17">
        <v>0.3</v>
      </c>
      <c r="U66" s="17">
        <v>0.4</v>
      </c>
      <c r="V66" s="17">
        <v>0.5</v>
      </c>
      <c r="W66" s="17">
        <v>0.6</v>
      </c>
      <c r="X66" s="17">
        <v>0.7</v>
      </c>
      <c r="Y66" s="17">
        <v>0.8</v>
      </c>
      <c r="Z66" s="17">
        <v>0.9</v>
      </c>
      <c r="AA66" s="17">
        <v>1</v>
      </c>
      <c r="AB66" s="17">
        <v>2</v>
      </c>
      <c r="AC66" s="17">
        <v>3</v>
      </c>
      <c r="AD66" s="17">
        <v>4</v>
      </c>
      <c r="AE66" s="17">
        <v>5</v>
      </c>
      <c r="AF66" s="11"/>
      <c r="AG66" s="8"/>
      <c r="AH66" s="17">
        <v>0.1</v>
      </c>
      <c r="AI66" s="17">
        <v>0.2</v>
      </c>
      <c r="AJ66" s="17">
        <v>0.3</v>
      </c>
      <c r="AK66" s="17">
        <v>0.4</v>
      </c>
      <c r="AL66" s="17">
        <v>0.5</v>
      </c>
      <c r="AM66" s="17">
        <v>0.6</v>
      </c>
      <c r="AN66" s="17">
        <v>0.7</v>
      </c>
      <c r="AO66" s="17">
        <v>0.8</v>
      </c>
      <c r="AP66" s="17">
        <v>0.9</v>
      </c>
      <c r="AQ66" s="17">
        <v>1</v>
      </c>
      <c r="AR66" s="17">
        <v>2</v>
      </c>
      <c r="AS66" s="17">
        <v>3</v>
      </c>
      <c r="AT66" s="17">
        <v>4</v>
      </c>
      <c r="AU66" s="17">
        <v>5</v>
      </c>
    </row>
    <row r="67" spans="1:47" x14ac:dyDescent="0.2">
      <c r="A67" s="12">
        <v>60</v>
      </c>
      <c r="B67" s="19" cm="1">
        <f t="array" ref="B67">BS_Greek("CALL","VEGA",$A67,$B$1,$B$2,$B$3,B$6)</f>
        <v>7.5719207361531473E-16</v>
      </c>
      <c r="C67" s="20" cm="1">
        <f t="array" ref="C67">BS_Greek("CALL","VEGA",$A67,$B$1,$B$2,$B$3,C$6)</f>
        <v>1.29452098386633E-8</v>
      </c>
      <c r="D67" s="20" cm="1">
        <f t="array" ref="D67">BS_Greek("CALL","VEGA",$A67,$B$1,$B$2,$B$3,D$6)</f>
        <v>3.6360095554575554E-6</v>
      </c>
      <c r="E67" s="20" cm="1">
        <f t="array" ref="E67">BS_Greek("CALL","VEGA",$A67,$B$1,$B$2,$B$3,E$6)</f>
        <v>6.3545564110513227E-5</v>
      </c>
      <c r="F67" s="20" cm="1">
        <f t="array" ref="F67">BS_Greek("CALL","VEGA",$A67,$B$1,$B$2,$B$3,F$6)</f>
        <v>3.625261396739315E-4</v>
      </c>
      <c r="G67" s="20" cm="1">
        <f t="array" ref="G67">BS_Greek("CALL","VEGA",$A67,$B$1,$B$2,$B$3,G$6)</f>
        <v>1.1766116464443557E-3</v>
      </c>
      <c r="H67" s="20" cm="1">
        <f t="array" ref="H67">BS_Greek("CALL","VEGA",$A67,$B$1,$B$2,$B$3,H$6)</f>
        <v>2.7599282724645067E-3</v>
      </c>
      <c r="I67" s="20" cm="1">
        <f t="array" ref="I67">BS_Greek("CALL","VEGA",$A67,$B$1,$B$2,$B$3,I$6)</f>
        <v>5.2767323580423285E-3</v>
      </c>
      <c r="J67" s="20" cm="1">
        <f t="array" ref="J67">BS_Greek("CALL","VEGA",$A67,$B$1,$B$2,$B$3,J$6)</f>
        <v>8.7942603690305717E-3</v>
      </c>
      <c r="K67" s="20" cm="1">
        <f t="array" ref="K67">BS_Greek("CALL","VEGA",$A67,$B$1,$B$2,$B$3,K$6)</f>
        <v>1.3304138019690321E-2</v>
      </c>
      <c r="L67" s="20" cm="1">
        <f t="array" ref="L67">BS_Greek("CALL","VEGA",$A67,$B$1,$B$2,$B$3,L$6)</f>
        <v>9.5039378692490781E-2</v>
      </c>
      <c r="M67" s="20" cm="1">
        <f t="array" ref="M67">BS_Greek("CALL","VEGA",$A67,$B$1,$B$2,$B$3,M$6)</f>
        <v>0.19822539521715421</v>
      </c>
      <c r="N67" s="20" cm="1">
        <f t="array" ref="N67">BS_Greek("CALL","VEGA",$A67,$B$1,$B$2,$B$3,N$6)</f>
        <v>0.29702348640212856</v>
      </c>
      <c r="O67" s="21" cm="1">
        <f t="array" ref="O67">BS_Greek("CALL","VEGA",$A67,$B$1,$B$2,$B$3,O$6)</f>
        <v>0.38653493471867856</v>
      </c>
      <c r="P67" s="5"/>
      <c r="Q67" s="12">
        <v>60</v>
      </c>
      <c r="R67" s="19" cm="1">
        <f t="array" ref="R67">BS_Greek("CALL","VEGA",$Q67,$B$1,$B$2,$R$3,R$6)</f>
        <v>5.2241467496489445E-8</v>
      </c>
      <c r="S67" s="20" cm="1">
        <f t="array" ref="S67">BS_Greek("CALL","VEGA",$Q67,$B$1,$B$2,$R$3,S$6)</f>
        <v>1.0369210092575671E-4</v>
      </c>
      <c r="T67" s="20" cm="1">
        <f t="array" ref="T67">BS_Greek("CALL","VEGA",$Q67,$B$1,$B$2,$R$3,T$6)</f>
        <v>1.4202882759273424E-3</v>
      </c>
      <c r="U67" s="20" cm="1">
        <f t="array" ref="U67">BS_Greek("CALL","VEGA",$Q67,$B$1,$B$2,$R$3,U$6)</f>
        <v>5.4799114620321266E-3</v>
      </c>
      <c r="V67" s="20" cm="1">
        <f t="array" ref="V67">BS_Greek("CALL","VEGA",$Q67,$B$1,$B$2,$R$3,V$6)</f>
        <v>1.2626797297023529E-2</v>
      </c>
      <c r="W67" s="20" cm="1">
        <f t="array" ref="W67">BS_Greek("CALL","VEGA",$Q67,$B$1,$B$2,$R$3,W$6)</f>
        <v>2.2388087034633054E-2</v>
      </c>
      <c r="X67" s="20" cm="1">
        <f t="array" ref="X67">BS_Greek("CALL","VEGA",$Q67,$B$1,$B$2,$R$3,X$6)</f>
        <v>3.4092800414934205E-2</v>
      </c>
      <c r="Y67" s="20" cm="1">
        <f t="array" ref="Y67">BS_Greek("CALL","VEGA",$Q67,$B$1,$B$2,$R$3,Y$6)</f>
        <v>4.7136291023201063E-2</v>
      </c>
      <c r="Z67" s="20" cm="1">
        <f t="array" ref="Z67">BS_Greek("CALL","VEGA",$Q67,$B$1,$B$2,$R$3,Z$6)</f>
        <v>6.1044245880699191E-2</v>
      </c>
      <c r="AA67" s="20" cm="1">
        <f t="array" ref="AA67">BS_Greek("CALL","VEGA",$Q67,$B$1,$B$2,$R$3,AA$6)</f>
        <v>7.5465414056779437E-2</v>
      </c>
      <c r="AB67" s="20" cm="1">
        <f t="array" ref="AB67">BS_Greek("CALL","VEGA",$Q67,$B$1,$B$2,$R$3,AB$6)</f>
        <v>0.21665010977573698</v>
      </c>
      <c r="AC67" s="20" cm="1">
        <f t="array" ref="AC67">BS_Greek("CALL","VEGA",$Q67,$B$1,$B$2,$R$3,AC$6)</f>
        <v>0.33222896128746116</v>
      </c>
      <c r="AD67" s="20" cm="1">
        <f t="array" ref="AD67">BS_Greek("CALL","VEGA",$Q67,$B$1,$B$2,$R$3,AD$6)</f>
        <v>0.4256709859697233</v>
      </c>
      <c r="AE67" s="21" cm="1">
        <f t="array" ref="AE67">BS_Greek("CALL","VEGA",$Q67,$B$1,$B$2,$R$3,AE$6)</f>
        <v>0.50316444779050273</v>
      </c>
      <c r="AF67" s="5"/>
      <c r="AG67" s="12">
        <v>60</v>
      </c>
      <c r="AH67" s="19" cm="1">
        <f t="array" ref="AH67">BS_Greek("CALL","VEGA",$AG67,$B$1,$B$2,$AH$3,AH$66)</f>
        <v>3.5345400505311531E-58</v>
      </c>
      <c r="AI67" s="20" cm="1">
        <f t="array" ref="AI67">BS_Greek("CALL","VEGA",$AG67,$B$1,$B$2,$AH$3,AI$66)</f>
        <v>1.0711882489098268E-29</v>
      </c>
      <c r="AJ67" s="20" cm="1">
        <f t="array" ref="AJ67">BS_Greek("CALL","VEGA",$AG67,$B$1,$B$2,$AH$3,AJ$66)</f>
        <v>3.6413157535063633E-20</v>
      </c>
      <c r="AK67" s="20" cm="1">
        <f t="array" ref="AK67">BS_Greek("CALL","VEGA",$AG67,$B$1,$B$2,$AH$3,AK$66)</f>
        <v>2.2138942538625791E-15</v>
      </c>
      <c r="AL67" s="20" cm="1">
        <f t="array" ref="AL67">BS_Greek("CALL","VEGA",$AG67,$B$1,$B$2,$AH$3,AL$66)</f>
        <v>1.6837357993007911E-12</v>
      </c>
      <c r="AM67" s="20" cm="1">
        <f t="array" ref="AM67">BS_Greek("CALL","VEGA",$AG67,$B$1,$B$2,$AH$3,AM$66)</f>
        <v>1.4260773627185632E-10</v>
      </c>
      <c r="AN67" s="20" cm="1">
        <f t="array" ref="AN67">BS_Greek("CALL","VEGA",$AG67,$B$1,$B$2,$AH$3,AN$66)</f>
        <v>3.4375360039163322E-9</v>
      </c>
      <c r="AO67" s="20" cm="1">
        <f t="array" ref="AO67">BS_Greek("CALL","VEGA",$AG67,$B$1,$B$2,$AH$3,AO$66)</f>
        <v>3.7721952577593391E-8</v>
      </c>
      <c r="AP67" s="20" cm="1">
        <f t="array" ref="AP67">BS_Greek("CALL","VEGA",$AG67,$B$1,$B$2,$AH$3,AP$66)</f>
        <v>2.4471925152833751E-7</v>
      </c>
      <c r="AQ67" s="20" cm="1">
        <f t="array" ref="AQ67">BS_Greek("CALL","VEGA",$AG67,$B$1,$B$2,$AH$3,AQ$66)</f>
        <v>1.0981137573304838E-6</v>
      </c>
      <c r="AR67" s="20" cm="1">
        <f t="array" ref="AR67">BS_Greek("CALL","VEGA",$AG67,$B$1,$B$2,$AH$3,AR$66)</f>
        <v>1.0457482945948283E-3</v>
      </c>
      <c r="AS67" s="20" cm="1">
        <f t="array" ref="AS67">BS_Greek("CALL","VEGA",$AG67,$B$1,$B$2,$AH$3,AS$66)</f>
        <v>1.114218925364715E-2</v>
      </c>
      <c r="AT67" s="20" cm="1">
        <f t="array" ref="AT67">BS_Greek("CALL","VEGA",$AG67,$B$1,$B$2,$AH$3,AT$66)</f>
        <v>3.7735130894815956E-2</v>
      </c>
      <c r="AU67" s="21" cm="1">
        <f t="array" ref="AU67">BS_Greek("CALL","VEGA",$AG67,$B$1,$B$2,$AH$3,AU$66)</f>
        <v>8.0099557916829336E-2</v>
      </c>
    </row>
    <row r="68" spans="1:47" x14ac:dyDescent="0.2">
      <c r="A68" s="12">
        <v>65</v>
      </c>
      <c r="B68" s="22" cm="1">
        <f t="array" ref="B68">BS_Greek("CALL","VEGA",$A68,$B$1,$B$2,$B$3,B$6)</f>
        <v>9.537479121990602E-12</v>
      </c>
      <c r="C68" s="14" cm="1">
        <f t="array" ref="C68">BS_Greek("CALL","VEGA",$A68,$B$1,$B$2,$B$3,C$6)</f>
        <v>1.4674662728048755E-6</v>
      </c>
      <c r="D68" s="14" cm="1">
        <f t="array" ref="D68">BS_Greek("CALL","VEGA",$A68,$B$1,$B$2,$B$3,D$6)</f>
        <v>8.5735604439262305E-5</v>
      </c>
      <c r="E68" s="14" cm="1">
        <f t="array" ref="E68">BS_Greek("CALL","VEGA",$A68,$B$1,$B$2,$B$3,E$6)</f>
        <v>6.8337646766849906E-4</v>
      </c>
      <c r="F68" s="14" cm="1">
        <f t="array" ref="F68">BS_Greek("CALL","VEGA",$A68,$B$1,$B$2,$B$3,F$6)</f>
        <v>2.4340934965576379E-3</v>
      </c>
      <c r="G68" s="14" cm="1">
        <f t="array" ref="G68">BS_Greek("CALL","VEGA",$A68,$B$1,$B$2,$B$3,G$6)</f>
        <v>5.7709392847973577E-3</v>
      </c>
      <c r="H68" s="14" cm="1">
        <f t="array" ref="H68">BS_Greek("CALL","VEGA",$A68,$B$1,$B$2,$B$3,H$6)</f>
        <v>1.0816670734477618E-2</v>
      </c>
      <c r="I68" s="14" cm="1">
        <f t="array" ref="I68">BS_Greek("CALL","VEGA",$A68,$B$1,$B$2,$B$3,I$6)</f>
        <v>1.7478240873614229E-2</v>
      </c>
      <c r="J68" s="14" cm="1">
        <f t="array" ref="J68">BS_Greek("CALL","VEGA",$A68,$B$1,$B$2,$B$3,J$6)</f>
        <v>2.5556717355709923E-2</v>
      </c>
      <c r="K68" s="14" cm="1">
        <f t="array" ref="K68">BS_Greek("CALL","VEGA",$A68,$B$1,$B$2,$B$3,K$6)</f>
        <v>3.4820176623168372E-2</v>
      </c>
      <c r="L68" s="14" cm="1">
        <f t="array" ref="L68">BS_Greek("CALL","VEGA",$A68,$B$1,$B$2,$B$3,L$6)</f>
        <v>0.15529982480581037</v>
      </c>
      <c r="M68" s="14" cm="1">
        <f t="array" ref="M68">BS_Greek("CALL","VEGA",$A68,$B$1,$B$2,$B$3,M$6)</f>
        <v>0.27684353502761888</v>
      </c>
      <c r="N68" s="14" cm="1">
        <f t="array" ref="N68">BS_Greek("CALL","VEGA",$A68,$B$1,$B$2,$B$3,N$6)</f>
        <v>0.38350386340459219</v>
      </c>
      <c r="O68" s="23" cm="1">
        <f t="array" ref="O68">BS_Greek("CALL","VEGA",$A68,$B$1,$B$2,$B$3,O$6)</f>
        <v>0.47611297617669929</v>
      </c>
      <c r="P68" s="5"/>
      <c r="Q68" s="12">
        <v>65</v>
      </c>
      <c r="R68" s="22" cm="1">
        <f t="array" ref="R68">BS_Greek("CALL","VEGA",$Q68,$B$1,$B$2,$R$3,R$6)</f>
        <v>3.5480919020595769E-6</v>
      </c>
      <c r="S68" s="14" cm="1">
        <f t="array" ref="S68">BS_Greek("CALL","VEGA",$Q68,$B$1,$B$2,$R$3,S$6)</f>
        <v>8.6795002193490293E-4</v>
      </c>
      <c r="T68" s="14" cm="1">
        <f t="array" ref="T68">BS_Greek("CALL","VEGA",$Q68,$B$1,$B$2,$R$3,T$6)</f>
        <v>5.9162801509579999E-3</v>
      </c>
      <c r="U68" s="14" cm="1">
        <f t="array" ref="U68">BS_Greek("CALL","VEGA",$Q68,$B$1,$B$2,$R$3,U$6)</f>
        <v>1.6103021116910757E-2</v>
      </c>
      <c r="V68" s="14" cm="1">
        <f t="array" ref="V68">BS_Greek("CALL","VEGA",$Q68,$B$1,$B$2,$R$3,V$6)</f>
        <v>3.0095667810257461E-2</v>
      </c>
      <c r="W68" s="14" cm="1">
        <f t="array" ref="W68">BS_Greek("CALL","VEGA",$Q68,$B$1,$B$2,$R$3,W$6)</f>
        <v>4.6410088796281238E-2</v>
      </c>
      <c r="X68" s="14" cm="1">
        <f t="array" ref="X68">BS_Greek("CALL","VEGA",$Q68,$B$1,$B$2,$R$3,X$6)</f>
        <v>6.3967797976228549E-2</v>
      </c>
      <c r="Y68" s="14" cm="1">
        <f t="array" ref="Y68">BS_Greek("CALL","VEGA",$Q68,$B$1,$B$2,$R$3,Y$6)</f>
        <v>8.2069467460122725E-2</v>
      </c>
      <c r="Z68" s="14" cm="1">
        <f t="array" ref="Z68">BS_Greek("CALL","VEGA",$Q68,$B$1,$B$2,$R$3,Z$6)</f>
        <v>0.10028004968425032</v>
      </c>
      <c r="AA68" s="14" cm="1">
        <f t="array" ref="AA68">BS_Greek("CALL","VEGA",$Q68,$B$1,$B$2,$R$3,AA$6)</f>
        <v>0.11833484483505806</v>
      </c>
      <c r="AB68" s="14" cm="1">
        <f t="array" ref="AB68">BS_Greek("CALL","VEGA",$Q68,$B$1,$B$2,$R$3,AB$6)</f>
        <v>0.27555008864451608</v>
      </c>
      <c r="AC68" s="14" cm="1">
        <f t="array" ref="AC68">BS_Greek("CALL","VEGA",$Q68,$B$1,$B$2,$R$3,AC$6)</f>
        <v>0.39406825288577535</v>
      </c>
      <c r="AD68" s="14" cm="1">
        <f t="array" ref="AD68">BS_Greek("CALL","VEGA",$Q68,$B$1,$B$2,$R$3,AD$6)</f>
        <v>0.4875893022971528</v>
      </c>
      <c r="AE68" s="23" cm="1">
        <f t="array" ref="AE68">BS_Greek("CALL","VEGA",$Q68,$B$1,$B$2,$R$3,AE$6)</f>
        <v>0.56441397997533327</v>
      </c>
      <c r="AF68" s="5"/>
      <c r="AG68" s="12">
        <v>65</v>
      </c>
      <c r="AH68" s="22" cm="1">
        <f t="array" ref="AH68">BS_Greek("CALL","VEGA",$AG68,$B$1,$B$2,$AH$3,AH$66)</f>
        <v>7.8904162138229802E-42</v>
      </c>
      <c r="AI68" s="14" cm="1">
        <f t="array" ref="AI68">BS_Greek("CALL","VEGA",$AG68,$B$1,$B$2,$AH$3,AI$66)</f>
        <v>1.5687681949729762E-21</v>
      </c>
      <c r="AJ68" s="14" cm="1">
        <f t="array" ref="AJ68">BS_Greek("CALL","VEGA",$AG68,$B$1,$B$2,$AH$3,AJ$66)</f>
        <v>9.9829747601651493E-15</v>
      </c>
      <c r="AK68" s="14" cm="1">
        <f t="array" ref="AK68">BS_Greek("CALL","VEGA",$AG68,$B$1,$B$2,$AH$3,AK$66)</f>
        <v>2.6261095230764712E-11</v>
      </c>
      <c r="AL68" s="14" cm="1">
        <f t="array" ref="AL68">BS_Greek("CALL","VEGA",$AG68,$B$1,$B$2,$AH$3,AL$66)</f>
        <v>3.0347470957467907E-9</v>
      </c>
      <c r="AM68" s="14" cm="1">
        <f t="array" ref="AM68">BS_Greek("CALL","VEGA",$AG68,$B$1,$B$2,$AH$3,AM$66)</f>
        <v>7.3190274501949432E-8</v>
      </c>
      <c r="AN68" s="14" cm="1">
        <f t="array" ref="AN68">BS_Greek("CALL","VEGA",$AG68,$B$1,$B$2,$AH$3,AN$66)</f>
        <v>7.1926239310787049E-7</v>
      </c>
      <c r="AO68" s="14" cm="1">
        <f t="array" ref="AO68">BS_Greek("CALL","VEGA",$AG68,$B$1,$B$2,$AH$3,AO$66)</f>
        <v>4.0269999011754232E-6</v>
      </c>
      <c r="AP68" s="14" cm="1">
        <f t="array" ref="AP68">BS_Greek("CALL","VEGA",$AG68,$B$1,$B$2,$AH$3,AP$66)</f>
        <v>1.5479180979646812E-5</v>
      </c>
      <c r="AQ68" s="14" cm="1">
        <f t="array" ref="AQ68">BS_Greek("CALL","VEGA",$AG68,$B$1,$B$2,$AH$3,AQ$66)</f>
        <v>4.5696305078151927E-5</v>
      </c>
      <c r="AR68" s="14" cm="1">
        <f t="array" ref="AR68">BS_Greek("CALL","VEGA",$AG68,$B$1,$B$2,$AH$3,AR$66)</f>
        <v>6.612314700451225E-3</v>
      </c>
      <c r="AS68" s="14" cm="1">
        <f t="array" ref="AS68">BS_Greek("CALL","VEGA",$AG68,$B$1,$B$2,$AH$3,AS$66)</f>
        <v>3.7594797189649545E-2</v>
      </c>
      <c r="AT68" s="14" cm="1">
        <f t="array" ref="AT68">BS_Greek("CALL","VEGA",$AG68,$B$1,$B$2,$AH$3,AT$66)</f>
        <v>9.3007615269544944E-2</v>
      </c>
      <c r="AU68" s="23" cm="1">
        <f t="array" ref="AU68">BS_Greek("CALL","VEGA",$AG68,$B$1,$B$2,$AH$3,AU$66)</f>
        <v>0.16352043251983772</v>
      </c>
    </row>
    <row r="69" spans="1:47" x14ac:dyDescent="0.2">
      <c r="A69" s="12">
        <v>70</v>
      </c>
      <c r="B69" s="22" cm="1">
        <f t="array" ref="B69">BS_Greek("CALL","VEGA",$A69,$B$1,$B$2,$B$3,B$6)</f>
        <v>1.4305070674681112E-8</v>
      </c>
      <c r="C69" s="14" cm="1">
        <f t="array" ref="C69">BS_Greek("CALL","VEGA",$A69,$B$1,$B$2,$B$3,C$6)</f>
        <v>5.7361357105493493E-5</v>
      </c>
      <c r="D69" s="14" cm="1">
        <f t="array" ref="D69">BS_Greek("CALL","VEGA",$A69,$B$1,$B$2,$B$3,D$6)</f>
        <v>9.9359820227649877E-4</v>
      </c>
      <c r="E69" s="14" cm="1">
        <f t="array" ref="E69">BS_Greek("CALL","VEGA",$A69,$B$1,$B$2,$B$3,E$6)</f>
        <v>4.3122978474392235E-3</v>
      </c>
      <c r="F69" s="14" cm="1">
        <f t="array" ref="F69">BS_Greek("CALL","VEGA",$A69,$B$1,$B$2,$B$3,F$6)</f>
        <v>1.0665604474636936E-2</v>
      </c>
      <c r="G69" s="14" cm="1">
        <f t="array" ref="G69">BS_Greek("CALL","VEGA",$A69,$B$1,$B$2,$B$3,G$6)</f>
        <v>1.9828706392671893E-2</v>
      </c>
      <c r="H69" s="14" cm="1">
        <f t="array" ref="H69">BS_Greek("CALL","VEGA",$A69,$B$1,$B$2,$B$3,H$6)</f>
        <v>3.1240118425491598E-2</v>
      </c>
      <c r="I69" s="14" cm="1">
        <f t="array" ref="I69">BS_Greek("CALL","VEGA",$A69,$B$1,$B$2,$B$3,I$6)</f>
        <v>4.431443031965894E-2</v>
      </c>
      <c r="J69" s="14" cm="1">
        <f t="array" ref="J69">BS_Greek("CALL","VEGA",$A69,$B$1,$B$2,$B$3,J$6)</f>
        <v>5.855343505406032E-2</v>
      </c>
      <c r="K69" s="14" cm="1">
        <f t="array" ref="K69">BS_Greek("CALL","VEGA",$A69,$B$1,$B$2,$B$3,K$6)</f>
        <v>7.3566173019582473E-2</v>
      </c>
      <c r="L69" s="14" cm="1">
        <f t="array" ref="L69">BS_Greek("CALL","VEGA",$A69,$B$1,$B$2,$B$3,L$6)</f>
        <v>0.22783353493544931</v>
      </c>
      <c r="M69" s="14" cm="1">
        <f t="array" ref="M69">BS_Greek("CALL","VEGA",$A69,$B$1,$B$2,$B$3,M$6)</f>
        <v>0.35965069029119612</v>
      </c>
      <c r="N69" s="14" cm="1">
        <f t="array" ref="N69">BS_Greek("CALL","VEGA",$A69,$B$1,$B$2,$B$3,N$6)</f>
        <v>0.46883083785060736</v>
      </c>
      <c r="O69" s="23" cm="1">
        <f t="array" ref="O69">BS_Greek("CALL","VEGA",$A69,$B$1,$B$2,$B$3,O$6)</f>
        <v>0.56119836056730876</v>
      </c>
      <c r="P69" s="5"/>
      <c r="Q69" s="12">
        <v>70</v>
      </c>
      <c r="R69" s="22" cm="1">
        <f t="array" ref="R69">BS_Greek("CALL","VEGA",$Q69,$B$1,$B$2,$R$3,R$6)</f>
        <v>9.3436309317573526E-5</v>
      </c>
      <c r="S69" s="14" cm="1">
        <f t="array" ref="S69">BS_Greek("CALL","VEGA",$Q69,$B$1,$B$2,$R$3,S$6)</f>
        <v>4.5186973977930974E-3</v>
      </c>
      <c r="T69" s="14" cm="1">
        <f t="array" ref="T69">BS_Greek("CALL","VEGA",$Q69,$B$1,$B$2,$R$3,T$6)</f>
        <v>1.7943197870953598E-2</v>
      </c>
      <c r="U69" s="14" cm="1">
        <f t="array" ref="U69">BS_Greek("CALL","VEGA",$Q69,$B$1,$B$2,$R$3,U$6)</f>
        <v>3.7275610547584388E-2</v>
      </c>
      <c r="V69" s="14" cm="1">
        <f t="array" ref="V69">BS_Greek("CALL","VEGA",$Q69,$B$1,$B$2,$R$3,V$6)</f>
        <v>5.9240833497693511E-2</v>
      </c>
      <c r="W69" s="14" cm="1">
        <f t="array" ref="W69">BS_Greek("CALL","VEGA",$Q69,$B$1,$B$2,$R$3,W$6)</f>
        <v>8.1996646326998254E-2</v>
      </c>
      <c r="X69" s="14" cm="1">
        <f t="array" ref="X69">BS_Greek("CALL","VEGA",$Q69,$B$1,$B$2,$R$3,X$6)</f>
        <v>0.10462155572124113</v>
      </c>
      <c r="Y69" s="14" cm="1">
        <f t="array" ref="Y69">BS_Greek("CALL","VEGA",$Q69,$B$1,$B$2,$R$3,Y$6)</f>
        <v>0.12667719836424343</v>
      </c>
      <c r="Z69" s="14" cm="1">
        <f t="array" ref="Z69">BS_Greek("CALL","VEGA",$Q69,$B$1,$B$2,$R$3,Z$6)</f>
        <v>0.14797070949272112</v>
      </c>
      <c r="AA69" s="14" cm="1">
        <f t="array" ref="AA69">BS_Greek("CALL","VEGA",$Q69,$B$1,$B$2,$R$3,AA$6)</f>
        <v>0.16843384637940811</v>
      </c>
      <c r="AB69" s="14" cm="1">
        <f t="array" ref="AB69">BS_Greek("CALL","VEGA",$Q69,$B$1,$B$2,$R$3,AB$6)</f>
        <v>0.33351628785916154</v>
      </c>
      <c r="AC69" s="14" cm="1">
        <f t="array" ref="AC69">BS_Greek("CALL","VEGA",$Q69,$B$1,$B$2,$R$3,AC$6)</f>
        <v>0.45187800131882505</v>
      </c>
      <c r="AD69" s="14" cm="1">
        <f t="array" ref="AD69">BS_Greek("CALL","VEGA",$Q69,$B$1,$B$2,$R$3,AD$6)</f>
        <v>0.54421505040302265</v>
      </c>
      <c r="AE69" s="23" cm="1">
        <f t="array" ref="AE69">BS_Greek("CALL","VEGA",$Q69,$B$1,$B$2,$R$3,AE$6)</f>
        <v>0.61983217876086938</v>
      </c>
      <c r="AF69" s="5"/>
      <c r="AG69" s="12">
        <v>70</v>
      </c>
      <c r="AH69" s="22" cm="1">
        <f t="array" ref="AH69">BS_Greek("CALL","VEGA",$AG69,$B$1,$B$2,$AH$3,AH$66)</f>
        <v>3.5731275340967399E-29</v>
      </c>
      <c r="AI69" s="14" cm="1">
        <f t="array" ref="AI69">BS_Greek("CALL","VEGA",$AG69,$B$1,$B$2,$AH$3,AI$66)</f>
        <v>3.2770789744139767E-15</v>
      </c>
      <c r="AJ69" s="14" cm="1">
        <f t="array" ref="AJ69">BS_Greek("CALL","VEGA",$AG69,$B$1,$B$2,$AH$3,AJ$66)</f>
        <v>1.6113180804909159E-10</v>
      </c>
      <c r="AK69" s="14" cm="1">
        <f t="array" ref="AK69">BS_Greek("CALL","VEGA",$AG69,$B$1,$B$2,$AH$3,AK$66)</f>
        <v>3.7258960102381544E-8</v>
      </c>
      <c r="AL69" s="14" cm="1">
        <f t="array" ref="AL69">BS_Greek("CALL","VEGA",$AG69,$B$1,$B$2,$AH$3,AL$66)</f>
        <v>1.0010098526373569E-6</v>
      </c>
      <c r="AM69" s="14" cm="1">
        <f t="array" ref="AM69">BS_Greek("CALL","VEGA",$AG69,$B$1,$B$2,$AH$3,AM$66)</f>
        <v>9.1278366359240927E-6</v>
      </c>
      <c r="AN69" s="14" cm="1">
        <f t="array" ref="AN69">BS_Greek("CALL","VEGA",$AG69,$B$1,$B$2,$AH$3,AN$66)</f>
        <v>4.4780256387178206E-5</v>
      </c>
      <c r="AO69" s="14" cm="1">
        <f t="array" ref="AO69">BS_Greek("CALL","VEGA",$AG69,$B$1,$B$2,$AH$3,AO$66)</f>
        <v>1.4889989640669957E-4</v>
      </c>
      <c r="AP69" s="14" cm="1">
        <f t="array" ref="AP69">BS_Greek("CALL","VEGA",$AG69,$B$1,$B$2,$AH$3,AP$66)</f>
        <v>3.8164553510493975E-4</v>
      </c>
      <c r="AQ69" s="14" cm="1">
        <f t="array" ref="AQ69">BS_Greek("CALL","VEGA",$AG69,$B$1,$B$2,$AH$3,AQ$66)</f>
        <v>8.1469084911896738E-4</v>
      </c>
      <c r="AR69" s="14" cm="1">
        <f t="array" ref="AR69">BS_Greek("CALL","VEGA",$AG69,$B$1,$B$2,$AH$3,AR$66)</f>
        <v>2.7407108585812273E-2</v>
      </c>
      <c r="AS69" s="14" cm="1">
        <f t="array" ref="AS69">BS_Greek("CALL","VEGA",$AG69,$B$1,$B$2,$AH$3,AS$66)</f>
        <v>9.5815720461128837E-2</v>
      </c>
      <c r="AT69" s="14" cm="1">
        <f t="array" ref="AT69">BS_Greek("CALL","VEGA",$AG69,$B$1,$B$2,$AH$3,AT$66)</f>
        <v>0.18587765767930997</v>
      </c>
      <c r="AU69" s="23" cm="1">
        <f t="array" ref="AU69">BS_Greek("CALL","VEGA",$AG69,$B$1,$B$2,$AH$3,AU$66)</f>
        <v>0.28243629412307231</v>
      </c>
    </row>
    <row r="70" spans="1:47" x14ac:dyDescent="0.2">
      <c r="A70" s="12">
        <v>75</v>
      </c>
      <c r="B70" s="22" cm="1">
        <f t="array" ref="B70">BS_Greek("CALL","VEGA",$A70,$B$1,$B$2,$B$3,B$6)</f>
        <v>3.7701398975718429E-6</v>
      </c>
      <c r="C70" s="14" cm="1">
        <f t="array" ref="C70">BS_Greek("CALL","VEGA",$A70,$B$1,$B$2,$B$3,C$6)</f>
        <v>9.3928751471449772E-4</v>
      </c>
      <c r="D70" s="14" cm="1">
        <f t="array" ref="D70">BS_Greek("CALL","VEGA",$A70,$B$1,$B$2,$B$3,D$6)</f>
        <v>6.4440735249376054E-3</v>
      </c>
      <c r="E70" s="14" cm="1">
        <f t="array" ref="E70">BS_Greek("CALL","VEGA",$A70,$B$1,$B$2,$B$3,E$6)</f>
        <v>1.7601258389828199E-2</v>
      </c>
      <c r="F70" s="14" cm="1">
        <f t="array" ref="F70">BS_Greek("CALL","VEGA",$A70,$B$1,$B$2,$B$3,F$6)</f>
        <v>3.2972479768503961E-2</v>
      </c>
      <c r="G70" s="14" cm="1">
        <f t="array" ref="G70">BS_Greek("CALL","VEGA",$A70,$B$1,$B$2,$B$3,G$6)</f>
        <v>5.0934802908825044E-2</v>
      </c>
      <c r="H70" s="14" cm="1">
        <f t="array" ref="H70">BS_Greek("CALL","VEGA",$A70,$B$1,$B$2,$B$3,H$6)</f>
        <v>7.0302629740001565E-2</v>
      </c>
      <c r="I70" s="14" cm="1">
        <f t="array" ref="I70">BS_Greek("CALL","VEGA",$A70,$B$1,$B$2,$B$3,I$6)</f>
        <v>9.0304222542602272E-2</v>
      </c>
      <c r="J70" s="14" cm="1">
        <f t="array" ref="J70">BS_Greek("CALL","VEGA",$A70,$B$1,$B$2,$B$3,J$6)</f>
        <v>0.11045773801093517</v>
      </c>
      <c r="K70" s="14" cm="1">
        <f t="array" ref="K70">BS_Greek("CALL","VEGA",$A70,$B$1,$B$2,$B$3,K$6)</f>
        <v>0.13046879019121693</v>
      </c>
      <c r="L70" s="14" cm="1">
        <f t="array" ref="L70">BS_Greek("CALL","VEGA",$A70,$B$1,$B$2,$B$3,L$6)</f>
        <v>0.30603936130050935</v>
      </c>
      <c r="M70" s="14" cm="1">
        <f t="array" ref="M70">BS_Greek("CALL","VEGA",$A70,$B$1,$B$2,$B$3,M$6)</f>
        <v>0.44036986538728895</v>
      </c>
      <c r="N70" s="14" cm="1">
        <f t="array" ref="N70">BS_Greek("CALL","VEGA",$A70,$B$1,$B$2,$B$3,N$6)</f>
        <v>0.54807676647351544</v>
      </c>
      <c r="O70" s="23" cm="1">
        <f t="array" ref="O70">BS_Greek("CALL","VEGA",$A70,$B$1,$B$2,$B$3,O$6)</f>
        <v>0.63807941266216017</v>
      </c>
      <c r="P70" s="5"/>
      <c r="Q70" s="12">
        <v>75</v>
      </c>
      <c r="R70" s="22" cm="1">
        <f t="array" ref="R70">BS_Greek("CALL","VEGA",$Q70,$B$1,$B$2,$R$3,R$6)</f>
        <v>1.1344357018572755E-3</v>
      </c>
      <c r="S70" s="14" cm="1">
        <f t="array" ref="S70">BS_Greek("CALL","VEGA",$Q70,$B$1,$B$2,$R$3,S$6)</f>
        <v>1.5957745936388483E-2</v>
      </c>
      <c r="T70" s="14" cm="1">
        <f t="array" ref="T70">BS_Greek("CALL","VEGA",$Q70,$B$1,$B$2,$R$3,T$6)</f>
        <v>4.1984549048709428E-2</v>
      </c>
      <c r="U70" s="14" cm="1">
        <f t="array" ref="U70">BS_Greek("CALL","VEGA",$Q70,$B$1,$B$2,$R$3,U$6)</f>
        <v>7.0995380577419706E-2</v>
      </c>
      <c r="V70" s="14" cm="1">
        <f t="array" ref="V70">BS_Greek("CALL","VEGA",$Q70,$B$1,$B$2,$R$3,V$6)</f>
        <v>9.972312834283853E-2</v>
      </c>
      <c r="W70" s="14" cm="1">
        <f t="array" ref="W70">BS_Greek("CALL","VEGA",$Q70,$B$1,$B$2,$R$3,W$6)</f>
        <v>0.12712093999325985</v>
      </c>
      <c r="X70" s="14" cm="1">
        <f t="array" ref="X70">BS_Greek("CALL","VEGA",$Q70,$B$1,$B$2,$R$3,X$6)</f>
        <v>0.1529339134731435</v>
      </c>
      <c r="Y70" s="14" cm="1">
        <f t="array" ref="Y70">BS_Greek("CALL","VEGA",$Q70,$B$1,$B$2,$R$3,Y$6)</f>
        <v>0.17718513961379675</v>
      </c>
      <c r="Z70" s="14" cm="1">
        <f t="array" ref="Z70">BS_Greek("CALL","VEGA",$Q70,$B$1,$B$2,$R$3,Z$6)</f>
        <v>0.19998950927794951</v>
      </c>
      <c r="AA70" s="14" cm="1">
        <f t="array" ref="AA70">BS_Greek("CALL","VEGA",$Q70,$B$1,$B$2,$R$3,AA$6)</f>
        <v>0.22148428421066524</v>
      </c>
      <c r="AB70" s="14" cm="1">
        <f t="array" ref="AB70">BS_Greek("CALL","VEGA",$Q70,$B$1,$B$2,$R$3,AB$6)</f>
        <v>0.38761449136581966</v>
      </c>
      <c r="AC70" s="14" cm="1">
        <f t="array" ref="AC70">BS_Greek("CALL","VEGA",$Q70,$B$1,$B$2,$R$3,AC$6)</f>
        <v>0.50399623483227596</v>
      </c>
      <c r="AD70" s="14" cm="1">
        <f t="array" ref="AD70">BS_Greek("CALL","VEGA",$Q70,$B$1,$B$2,$R$3,AD$6)</f>
        <v>0.59461821507388324</v>
      </c>
      <c r="AE70" s="23" cm="1">
        <f t="array" ref="AE70">BS_Greek("CALL","VEGA",$Q70,$B$1,$B$2,$R$3,AE$6)</f>
        <v>0.66892699193410787</v>
      </c>
      <c r="AF70" s="5"/>
      <c r="AG70" s="12">
        <v>75</v>
      </c>
      <c r="AH70" s="22" cm="1">
        <f t="array" ref="AH70">BS_Greek("CALL","VEGA",$AG70,$B$1,$B$2,$AH$3,AH$66)</f>
        <v>1.5544383929947459E-19</v>
      </c>
      <c r="AI70" s="14" cm="1">
        <f t="array" ref="AI70">BS_Greek("CALL","VEGA",$AG70,$B$1,$B$2,$AH$3,AI$66)</f>
        <v>2.1245091218449445E-10</v>
      </c>
      <c r="AJ70" s="14" cm="1">
        <f t="array" ref="AJ70">BS_Greek("CALL","VEGA",$AG70,$B$1,$B$2,$AH$3,AJ$66)</f>
        <v>2.5706041526295759E-7</v>
      </c>
      <c r="AK70" s="14" cm="1">
        <f t="array" ref="AK70">BS_Greek("CALL","VEGA",$AG70,$B$1,$B$2,$AH$3,AK$66)</f>
        <v>9.3245046528342434E-6</v>
      </c>
      <c r="AL70" s="14" cm="1">
        <f t="array" ref="AL70">BS_Greek("CALL","VEGA",$AG70,$B$1,$B$2,$AH$3,AL$66)</f>
        <v>8.2443811591708765E-5</v>
      </c>
      <c r="AM70" s="14" cm="1">
        <f t="array" ref="AM70">BS_Greek("CALL","VEGA",$AG70,$B$1,$B$2,$AH$3,AM$66)</f>
        <v>3.5834719979831777E-4</v>
      </c>
      <c r="AN70" s="14" cm="1">
        <f t="array" ref="AN70">BS_Greek("CALL","VEGA",$AG70,$B$1,$B$2,$AH$3,AN$66)</f>
        <v>1.0355649356059845E-3</v>
      </c>
      <c r="AO70" s="14" cm="1">
        <f t="array" ref="AO70">BS_Greek("CALL","VEGA",$AG70,$B$1,$B$2,$AH$3,AO$66)</f>
        <v>2.3152671506101981E-3</v>
      </c>
      <c r="AP70" s="14" cm="1">
        <f t="array" ref="AP70">BS_Greek("CALL","VEGA",$AG70,$B$1,$B$2,$AH$3,AP$66)</f>
        <v>4.3580320477808066E-3</v>
      </c>
      <c r="AQ70" s="14" cm="1">
        <f t="array" ref="AQ70">BS_Greek("CALL","VEGA",$AG70,$B$1,$B$2,$AH$3,AQ$66)</f>
        <v>7.267112565693663E-3</v>
      </c>
      <c r="AR70" s="14" cm="1">
        <f t="array" ref="AR70">BS_Greek("CALL","VEGA",$AG70,$B$1,$B$2,$AH$3,AR$66)</f>
        <v>8.0455722498671681E-2</v>
      </c>
      <c r="AS70" s="14" cm="1">
        <f t="array" ref="AS70">BS_Greek("CALL","VEGA",$AG70,$B$1,$B$2,$AH$3,AS$66)</f>
        <v>0.19419529853530498</v>
      </c>
      <c r="AT70" s="14" cm="1">
        <f t="array" ref="AT70">BS_Greek("CALL","VEGA",$AG70,$B$1,$B$2,$AH$3,AT$66)</f>
        <v>0.31302804195460354</v>
      </c>
      <c r="AU70" s="23" cm="1">
        <f t="array" ref="AU70">BS_Greek("CALL","VEGA",$AG70,$B$1,$B$2,$AH$3,AU$66)</f>
        <v>0.42560725743199951</v>
      </c>
    </row>
    <row r="71" spans="1:47" x14ac:dyDescent="0.2">
      <c r="A71" s="12">
        <v>80</v>
      </c>
      <c r="B71" s="22" cm="1">
        <f t="array" ref="B71">BS_Greek("CALL","VEGA",$A71,$B$1,$B$2,$B$3,B$6)</f>
        <v>2.3609588828415678E-4</v>
      </c>
      <c r="C71" s="14" cm="1">
        <f t="array" ref="C71">BS_Greek("CALL","VEGA",$A71,$B$1,$B$2,$B$3,C$6)</f>
        <v>7.4932050826936915E-3</v>
      </c>
      <c r="D71" s="14" cm="1">
        <f t="array" ref="D71">BS_Greek("CALL","VEGA",$A71,$B$1,$B$2,$B$3,D$6)</f>
        <v>2.5866773497556825E-2</v>
      </c>
      <c r="E71" s="14" cm="1">
        <f t="array" ref="E71">BS_Greek("CALL","VEGA",$A71,$B$1,$B$2,$B$3,E$6)</f>
        <v>5.0116628118720127E-2</v>
      </c>
      <c r="F71" s="14" cm="1">
        <f t="array" ref="F71">BS_Greek("CALL","VEGA",$A71,$B$1,$B$2,$B$3,F$6)</f>
        <v>7.6401792301498683E-2</v>
      </c>
      <c r="G71" s="14" cm="1">
        <f t="array" ref="G71">BS_Greek("CALL","VEGA",$A71,$B$1,$B$2,$B$3,G$6)</f>
        <v>0.10287482444006045</v>
      </c>
      <c r="H71" s="14" cm="1">
        <f t="array" ref="H71">BS_Greek("CALL","VEGA",$A71,$B$1,$B$2,$B$3,H$6)</f>
        <v>0.12872223646374942</v>
      </c>
      <c r="I71" s="14" cm="1">
        <f t="array" ref="I71">BS_Greek("CALL","VEGA",$A71,$B$1,$B$2,$B$3,I$6)</f>
        <v>0.15361396923011619</v>
      </c>
      <c r="J71" s="14" cm="1">
        <f t="array" ref="J71">BS_Greek("CALL","VEGA",$A71,$B$1,$B$2,$B$3,J$6)</f>
        <v>0.17744408367129641</v>
      </c>
      <c r="K71" s="14" cm="1">
        <f t="array" ref="K71">BS_Greek("CALL","VEGA",$A71,$B$1,$B$2,$B$3,K$6)</f>
        <v>0.20021019742744606</v>
      </c>
      <c r="L71" s="14" cm="1">
        <f t="array" ref="L71">BS_Greek("CALL","VEGA",$A71,$B$1,$B$2,$B$3,L$6)</f>
        <v>0.3821823765301533</v>
      </c>
      <c r="M71" s="14" cm="1">
        <f t="array" ref="M71">BS_Greek("CALL","VEGA",$A71,$B$1,$B$2,$B$3,M$6)</f>
        <v>0.51343117209127098</v>
      </c>
      <c r="N71" s="14" cm="1">
        <f t="array" ref="N71">BS_Greek("CALL","VEGA",$A71,$B$1,$B$2,$B$3,N$6)</f>
        <v>0.61743560179207302</v>
      </c>
      <c r="O71" s="23" cm="1">
        <f t="array" ref="O71">BS_Greek("CALL","VEGA",$A71,$B$1,$B$2,$B$3,O$6)</f>
        <v>0.70416816821210715</v>
      </c>
      <c r="P71" s="5"/>
      <c r="Q71" s="12">
        <v>80</v>
      </c>
      <c r="R71" s="22" cm="1">
        <f t="array" ref="R71">BS_Greek("CALL","VEGA",$Q71,$B$1,$B$2,$R$3,R$6)</f>
        <v>7.2629446543345478E-3</v>
      </c>
      <c r="S71" s="14" cm="1">
        <f t="array" ref="S71">BS_Greek("CALL","VEGA",$Q71,$B$1,$B$2,$R$3,S$6)</f>
        <v>4.0887259297741153E-2</v>
      </c>
      <c r="T71" s="14" cm="1">
        <f t="array" ref="T71">BS_Greek("CALL","VEGA",$Q71,$B$1,$B$2,$R$3,T$6)</f>
        <v>7.9274555446936928E-2</v>
      </c>
      <c r="U71" s="14" cm="1">
        <f t="array" ref="U71">BS_Greek("CALL","VEGA",$Q71,$B$1,$B$2,$R$3,U$6)</f>
        <v>0.11507695143275125</v>
      </c>
      <c r="V71" s="14" cm="1">
        <f t="array" ref="V71">BS_Greek("CALL","VEGA",$Q71,$B$1,$B$2,$R$3,V$6)</f>
        <v>0.14749677041710105</v>
      </c>
      <c r="W71" s="14" cm="1">
        <f t="array" ref="W71">BS_Greek("CALL","VEGA",$Q71,$B$1,$B$2,$R$3,W$6)</f>
        <v>0.17688429965289604</v>
      </c>
      <c r="X71" s="14" cm="1">
        <f t="array" ref="X71">BS_Greek("CALL","VEGA",$Q71,$B$1,$B$2,$R$3,X$6)</f>
        <v>0.20372161802542724</v>
      </c>
      <c r="Y71" s="14" cm="1">
        <f t="array" ref="Y71">BS_Greek("CALL","VEGA",$Q71,$B$1,$B$2,$R$3,Y$6)</f>
        <v>0.22843174271570835</v>
      </c>
      <c r="Z71" s="14" cm="1">
        <f t="array" ref="Z71">BS_Greek("CALL","VEGA",$Q71,$B$1,$B$2,$R$3,Z$6)</f>
        <v>0.25135567501845718</v>
      </c>
      <c r="AA71" s="14" cm="1">
        <f t="array" ref="AA71">BS_Greek("CALL","VEGA",$Q71,$B$1,$B$2,$R$3,AA$6)</f>
        <v>0.27276349949898759</v>
      </c>
      <c r="AB71" s="14" cm="1">
        <f t="array" ref="AB71">BS_Greek("CALL","VEGA",$Q71,$B$1,$B$2,$R$3,AB$6)</f>
        <v>0.4355837845139281</v>
      </c>
      <c r="AC71" s="14" cm="1">
        <f t="array" ref="AC71">BS_Greek("CALL","VEGA",$Q71,$B$1,$B$2,$R$3,AC$6)</f>
        <v>0.5493407011822149</v>
      </c>
      <c r="AD71" s="14" cm="1">
        <f t="array" ref="AD71">BS_Greek("CALL","VEGA",$Q71,$B$1,$B$2,$R$3,AD$6)</f>
        <v>0.63829888800540957</v>
      </c>
      <c r="AE71" s="23" cm="1">
        <f t="array" ref="AE71">BS_Greek("CALL","VEGA",$Q71,$B$1,$B$2,$R$3,AE$6)</f>
        <v>0.71152052988955772</v>
      </c>
      <c r="AF71" s="5"/>
      <c r="AG71" s="12">
        <v>80</v>
      </c>
      <c r="AH71" s="22" cm="1">
        <f t="array" ref="AH71">BS_Greek("CALL","VEGA",$AG71,$B$1,$B$2,$AH$3,AH$66)</f>
        <v>2.1699726533395634E-12</v>
      </c>
      <c r="AI71" s="14" cm="1">
        <f t="array" ref="AI71">BS_Greek("CALL","VEGA",$AG71,$B$1,$B$2,$AH$3,AI$66)</f>
        <v>7.8107330033859321E-7</v>
      </c>
      <c r="AJ71" s="14" cm="1">
        <f t="array" ref="AJ71">BS_Greek("CALL","VEGA",$AG71,$B$1,$B$2,$AH$3,AJ$66)</f>
        <v>6.0578597213752154E-5</v>
      </c>
      <c r="AK71" s="14" cm="1">
        <f t="array" ref="AK71">BS_Greek("CALL","VEGA",$AG71,$B$1,$B$2,$AH$3,AK$66)</f>
        <v>5.5633346565513923E-4</v>
      </c>
      <c r="AL71" s="14" cm="1">
        <f t="array" ref="AL71">BS_Greek("CALL","VEGA",$AG71,$B$1,$B$2,$AH$3,AL$66)</f>
        <v>2.1573604959593175E-3</v>
      </c>
      <c r="AM71" s="14" cm="1">
        <f t="array" ref="AM71">BS_Greek("CALL","VEGA",$AG71,$B$1,$B$2,$AH$3,AM$66)</f>
        <v>5.4130101077600355E-3</v>
      </c>
      <c r="AN71" s="14" cm="1">
        <f t="array" ref="AN71">BS_Greek("CALL","VEGA",$AG71,$B$1,$B$2,$AH$3,AN$66)</f>
        <v>1.0564824233400872E-2</v>
      </c>
      <c r="AO71" s="14" cm="1">
        <f t="array" ref="AO71">BS_Greek("CALL","VEGA",$AG71,$B$1,$B$2,$AH$3,AO$66)</f>
        <v>1.759740529856035E-2</v>
      </c>
      <c r="AP71" s="14" cm="1">
        <f t="array" ref="AP71">BS_Greek("CALL","VEGA",$AG71,$B$1,$B$2,$AH$3,AP$66)</f>
        <v>2.6345645732472472E-2</v>
      </c>
      <c r="AQ71" s="14" cm="1">
        <f t="array" ref="AQ71">BS_Greek("CALL","VEGA",$AG71,$B$1,$B$2,$AH$3,AQ$66)</f>
        <v>3.6579438640896036E-2</v>
      </c>
      <c r="AR71" s="14" cm="1">
        <f t="array" ref="AR71">BS_Greek("CALL","VEGA",$AG71,$B$1,$B$2,$AH$3,AR$66)</f>
        <v>0.17761814611091617</v>
      </c>
      <c r="AS71" s="14" cm="1">
        <f t="array" ref="AS71">BS_Greek("CALL","VEGA",$AG71,$B$1,$B$2,$AH$3,AS$66)</f>
        <v>0.3257273204061763</v>
      </c>
      <c r="AT71" s="14" cm="1">
        <f t="array" ref="AT71">BS_Greek("CALL","VEGA",$AG71,$B$1,$B$2,$AH$3,AT$66)</f>
        <v>0.45765821306048549</v>
      </c>
      <c r="AU71" s="23" cm="1">
        <f t="array" ref="AU71">BS_Greek("CALL","VEGA",$AG71,$B$1,$B$2,$AH$3,AU$66)</f>
        <v>0.57302367456033554</v>
      </c>
    </row>
    <row r="72" spans="1:47" x14ac:dyDescent="0.2">
      <c r="A72" s="12">
        <v>85</v>
      </c>
      <c r="B72" s="22" cm="1">
        <f t="array" ref="B72">BS_Greek("CALL","VEGA",$A72,$B$1,$B$2,$B$3,B$6)</f>
        <v>4.4558558892443621E-3</v>
      </c>
      <c r="C72" s="14" cm="1">
        <f t="array" ref="C72">BS_Greek("CALL","VEGA",$A72,$B$1,$B$2,$B$3,C$6)</f>
        <v>3.2800471961839522E-2</v>
      </c>
      <c r="D72" s="14" cm="1">
        <f t="array" ref="D72">BS_Greek("CALL","VEGA",$A72,$B$1,$B$2,$B$3,D$6)</f>
        <v>6.9568288790958291E-2</v>
      </c>
      <c r="E72" s="14" cm="1">
        <f t="array" ref="E72">BS_Greek("CALL","VEGA",$A72,$B$1,$B$2,$B$3,E$6)</f>
        <v>0.10565235887329337</v>
      </c>
      <c r="F72" s="14" cm="1">
        <f t="array" ref="F72">BS_Greek("CALL","VEGA",$A72,$B$1,$B$2,$B$3,F$6)</f>
        <v>0.13916751647279249</v>
      </c>
      <c r="G72" s="14" cm="1">
        <f t="array" ref="G72">BS_Greek("CALL","VEGA",$A72,$B$1,$B$2,$B$3,G$6)</f>
        <v>0.16999445472389771</v>
      </c>
      <c r="H72" s="14" cm="1">
        <f t="array" ref="H72">BS_Greek("CALL","VEGA",$A72,$B$1,$B$2,$B$3,H$6)</f>
        <v>0.19840779785263229</v>
      </c>
      <c r="I72" s="14" cm="1">
        <f t="array" ref="I72">BS_Greek("CALL","VEGA",$A72,$B$1,$B$2,$B$3,I$6)</f>
        <v>0.22473489195639598</v>
      </c>
      <c r="J72" s="14" cm="1">
        <f t="array" ref="J72">BS_Greek("CALL","VEGA",$A72,$B$1,$B$2,$B$3,J$6)</f>
        <v>0.24927154208382693</v>
      </c>
      <c r="K72" s="14" cm="1">
        <f t="array" ref="K72">BS_Greek("CALL","VEGA",$A72,$B$1,$B$2,$B$3,K$6)</f>
        <v>0.27226666793458265</v>
      </c>
      <c r="L72" s="14" cm="1">
        <f t="array" ref="L72">BS_Greek("CALL","VEGA",$A72,$B$1,$B$2,$B$3,L$6)</f>
        <v>0.44907193585775429</v>
      </c>
      <c r="M72" s="14" cm="1">
        <f t="array" ref="M72">BS_Greek("CALL","VEGA",$A72,$B$1,$B$2,$B$3,M$6)</f>
        <v>0.57460996039653589</v>
      </c>
      <c r="N72" s="14" cm="1">
        <f t="array" ref="N72">BS_Greek("CALL","VEGA",$A72,$B$1,$B$2,$B$3,N$6)</f>
        <v>0.67438113704922498</v>
      </c>
      <c r="O72" s="23" cm="1">
        <f t="array" ref="O72">BS_Greek("CALL","VEGA",$A72,$B$1,$B$2,$B$3,O$6)</f>
        <v>0.75795571731518352</v>
      </c>
      <c r="P72" s="5"/>
      <c r="Q72" s="12">
        <v>85</v>
      </c>
      <c r="R72" s="22" cm="1">
        <f t="array" ref="R72">BS_Greek("CALL","VEGA",$Q72,$B$1,$B$2,$R$3,R$6)</f>
        <v>2.725633977693533E-2</v>
      </c>
      <c r="S72" s="14" cm="1">
        <f t="array" ref="S72">BS_Greek("CALL","VEGA",$Q72,$B$1,$B$2,$R$3,S$6)</f>
        <v>8.0146565468207587E-2</v>
      </c>
      <c r="T72" s="14" cm="1">
        <f t="array" ref="T72">BS_Greek("CALL","VEGA",$Q72,$B$1,$B$2,$R$3,T$6)</f>
        <v>0.12514440458799733</v>
      </c>
      <c r="U72" s="14" cm="1">
        <f t="array" ref="U72">BS_Greek("CALL","VEGA",$Q72,$B$1,$B$2,$R$3,U$6)</f>
        <v>0.16302579321220415</v>
      </c>
      <c r="V72" s="14" cm="1">
        <f t="array" ref="V72">BS_Greek("CALL","VEGA",$Q72,$B$1,$B$2,$R$3,V$6)</f>
        <v>0.19581443166314158</v>
      </c>
      <c r="W72" s="14" cm="1">
        <f t="array" ref="W72">BS_Greek("CALL","VEGA",$Q72,$B$1,$B$2,$R$3,W$6)</f>
        <v>0.22487833277913322</v>
      </c>
      <c r="X72" s="14" cm="1">
        <f t="array" ref="X72">BS_Greek("CALL","VEGA",$Q72,$B$1,$B$2,$R$3,X$6)</f>
        <v>0.25111006208294917</v>
      </c>
      <c r="Y72" s="14" cm="1">
        <f t="array" ref="Y72">BS_Greek("CALL","VEGA",$Q72,$B$1,$B$2,$R$3,Y$6)</f>
        <v>0.2751122670939824</v>
      </c>
      <c r="Z72" s="14" cm="1">
        <f t="array" ref="Z72">BS_Greek("CALL","VEGA",$Q72,$B$1,$B$2,$R$3,Z$6)</f>
        <v>0.29730845258588651</v>
      </c>
      <c r="AA72" s="14" cm="1">
        <f t="array" ref="AA72">BS_Greek("CALL","VEGA",$Q72,$B$1,$B$2,$R$3,AA$6)</f>
        <v>0.31800713357890908</v>
      </c>
      <c r="AB72" s="14" cm="1">
        <f t="array" ref="AB72">BS_Greek("CALL","VEGA",$Q72,$B$1,$B$2,$R$3,AB$6)</f>
        <v>0.47590089770706884</v>
      </c>
      <c r="AC72" s="14" cm="1">
        <f t="array" ref="AC72">BS_Greek("CALL","VEGA",$Q72,$B$1,$B$2,$R$3,AC$6)</f>
        <v>0.58733335877732817</v>
      </c>
      <c r="AD72" s="14" cm="1">
        <f t="array" ref="AD72">BS_Greek("CALL","VEGA",$Q72,$B$1,$B$2,$R$3,AD$6)</f>
        <v>0.67509674458565572</v>
      </c>
      <c r="AE72" s="23" cm="1">
        <f t="array" ref="AE72">BS_Greek("CALL","VEGA",$Q72,$B$1,$B$2,$R$3,AE$6)</f>
        <v>0.74766798153008263</v>
      </c>
      <c r="AF72" s="5"/>
      <c r="AG72" s="12">
        <v>85</v>
      </c>
      <c r="AH72" s="22" cm="1">
        <f t="array" ref="AH72">BS_Greek("CALL","VEGA",$AG72,$B$1,$B$2,$AH$3,AH$66)</f>
        <v>2.5138056835713346E-7</v>
      </c>
      <c r="AI72" s="14" cm="1">
        <f t="array" ref="AI72">BS_Greek("CALL","VEGA",$AG72,$B$1,$B$2,$AH$3,AI$66)</f>
        <v>2.6184740803568223E-4</v>
      </c>
      <c r="AJ72" s="14" cm="1">
        <f t="array" ref="AJ72">BS_Greek("CALL","VEGA",$AG72,$B$1,$B$2,$AH$3,AJ$66)</f>
        <v>2.8940234587731301E-3</v>
      </c>
      <c r="AK72" s="14" cm="1">
        <f t="array" ref="AK72">BS_Greek("CALL","VEGA",$AG72,$B$1,$B$2,$AH$3,AK$66)</f>
        <v>1.0033008819090708E-2</v>
      </c>
      <c r="AL72" s="14" cm="1">
        <f t="array" ref="AL72">BS_Greek("CALL","VEGA",$AG72,$B$1,$B$2,$AH$3,AL$66)</f>
        <v>2.1685359940348946E-2</v>
      </c>
      <c r="AM72" s="14" cm="1">
        <f t="array" ref="AM72">BS_Greek("CALL","VEGA",$AG72,$B$1,$B$2,$AH$3,AM$66)</f>
        <v>3.6850893362287709E-2</v>
      </c>
      <c r="AN72" s="14" cm="1">
        <f t="array" ref="AN72">BS_Greek("CALL","VEGA",$AG72,$B$1,$B$2,$AH$3,AN$66)</f>
        <v>5.4448949916165577E-2</v>
      </c>
      <c r="AO72" s="14" cm="1">
        <f t="array" ref="AO72">BS_Greek("CALL","VEGA",$AG72,$B$1,$B$2,$AH$3,AO$66)</f>
        <v>7.3606201526075665E-2</v>
      </c>
      <c r="AP72" s="14" cm="1">
        <f t="array" ref="AP72">BS_Greek("CALL","VEGA",$AG72,$B$1,$B$2,$AH$3,AP$66)</f>
        <v>9.3682861219506974E-2</v>
      </c>
      <c r="AQ72" s="14" cm="1">
        <f t="array" ref="AQ72">BS_Greek("CALL","VEGA",$AG72,$B$1,$B$2,$AH$3,AQ$66)</f>
        <v>0.11422910084499063</v>
      </c>
      <c r="AR72" s="14" cm="1">
        <f t="array" ref="AR72">BS_Greek("CALL","VEGA",$AG72,$B$1,$B$2,$AH$3,AR$66)</f>
        <v>0.30915406339357615</v>
      </c>
      <c r="AS72" s="14" cm="1">
        <f t="array" ref="AS72">BS_Greek("CALL","VEGA",$AG72,$B$1,$B$2,$AH$3,AS$66)</f>
        <v>0.46657820462206057</v>
      </c>
      <c r="AT72" s="14" cm="1">
        <f t="array" ref="AT72">BS_Greek("CALL","VEGA",$AG72,$B$1,$B$2,$AH$3,AT$66)</f>
        <v>0.59470671051964619</v>
      </c>
      <c r="AU72" s="23" cm="1">
        <f t="array" ref="AU72">BS_Greek("CALL","VEGA",$AG72,$B$1,$B$2,$AH$3,AU$66)</f>
        <v>0.70234247577560904</v>
      </c>
    </row>
    <row r="73" spans="1:47" x14ac:dyDescent="0.2">
      <c r="A73" s="12">
        <v>90</v>
      </c>
      <c r="B73" s="22" cm="1">
        <f t="array" ref="B73">BS_Greek("CALL","VEGA",$A73,$B$1,$B$2,$B$3,B$6)</f>
        <v>3.0644533309865177E-2</v>
      </c>
      <c r="C73" s="14" cm="1">
        <f t="array" ref="C73">BS_Greek("CALL","VEGA",$A73,$B$1,$B$2,$B$3,C$6)</f>
        <v>8.6635119422354204E-2</v>
      </c>
      <c r="D73" s="14" cm="1">
        <f t="array" ref="D73">BS_Greek("CALL","VEGA",$A73,$B$1,$B$2,$B$3,D$6)</f>
        <v>0.13356393635672964</v>
      </c>
      <c r="E73" s="14" cm="1">
        <f t="array" ref="E73">BS_Greek("CALL","VEGA",$A73,$B$1,$B$2,$B$3,E$6)</f>
        <v>0.17293746502576168</v>
      </c>
      <c r="F73" s="14" cm="1">
        <f t="array" ref="F73">BS_Greek("CALL","VEGA",$A73,$B$1,$B$2,$B$3,F$6)</f>
        <v>0.20700792345453845</v>
      </c>
      <c r="G73" s="14" cm="1">
        <f t="array" ref="G73">BS_Greek("CALL","VEGA",$A73,$B$1,$B$2,$B$3,G$6)</f>
        <v>0.23723384471393921</v>
      </c>
      <c r="H73" s="14" cm="1">
        <f t="array" ref="H73">BS_Greek("CALL","VEGA",$A73,$B$1,$B$2,$B$3,H$6)</f>
        <v>0.26455122246358703</v>
      </c>
      <c r="I73" s="14" cm="1">
        <f t="array" ref="I73">BS_Greek("CALL","VEGA",$A73,$B$1,$B$2,$B$3,I$6)</f>
        <v>0.28958655791598931</v>
      </c>
      <c r="J73" s="14" cm="1">
        <f t="array" ref="J73">BS_Greek("CALL","VEGA",$A73,$B$1,$B$2,$B$3,J$6)</f>
        <v>0.3127778048750498</v>
      </c>
      <c r="K73" s="14" cm="1">
        <f t="array" ref="K73">BS_Greek("CALL","VEGA",$A73,$B$1,$B$2,$B$3,K$6)</f>
        <v>0.33444289202725913</v>
      </c>
      <c r="L73" s="14" cm="1">
        <f t="array" ref="L73">BS_Greek("CALL","VEGA",$A73,$B$1,$B$2,$B$3,L$6)</f>
        <v>0.50128257699490841</v>
      </c>
      <c r="M73" s="14" cm="1">
        <f t="array" ref="M73">BS_Greek("CALL","VEGA",$A73,$B$1,$B$2,$B$3,M$6)</f>
        <v>0.62127838620556741</v>
      </c>
      <c r="N73" s="14" cm="1">
        <f t="array" ref="N73">BS_Greek("CALL","VEGA",$A73,$B$1,$B$2,$B$3,N$6)</f>
        <v>0.71761533320686932</v>
      </c>
      <c r="O73" s="23" cm="1">
        <f t="array" ref="O73">BS_Greek("CALL","VEGA",$A73,$B$1,$B$2,$B$3,O$6)</f>
        <v>0.79886620400360497</v>
      </c>
      <c r="P73" s="5"/>
      <c r="Q73" s="12">
        <v>90</v>
      </c>
      <c r="R73" s="22" cm="1">
        <f t="array" ref="R73">BS_Greek("CALL","VEGA",$Q73,$B$1,$B$2,$R$3,R$6)</f>
        <v>6.5245486618251358E-2</v>
      </c>
      <c r="S73" s="14" cm="1">
        <f t="array" ref="S73">BS_Greek("CALL","VEGA",$Q73,$B$1,$B$2,$R$3,S$6)</f>
        <v>0.12538719707021434</v>
      </c>
      <c r="T73" s="14" cm="1">
        <f t="array" ref="T73">BS_Greek("CALL","VEGA",$Q73,$B$1,$B$2,$R$3,T$6)</f>
        <v>0.1699057827332551</v>
      </c>
      <c r="U73" s="14" cm="1">
        <f t="array" ref="U73">BS_Greek("CALL","VEGA",$Q73,$B$1,$B$2,$R$3,U$6)</f>
        <v>0.20618984345800187</v>
      </c>
      <c r="V73" s="14" cm="1">
        <f t="array" ref="V73">BS_Greek("CALL","VEGA",$Q73,$B$1,$B$2,$R$3,V$6)</f>
        <v>0.23734723525071388</v>
      </c>
      <c r="W73" s="14" cm="1">
        <f t="array" ref="W73">BS_Greek("CALL","VEGA",$Q73,$B$1,$B$2,$R$3,W$6)</f>
        <v>0.26495540458839584</v>
      </c>
      <c r="X73" s="14" cm="1">
        <f t="array" ref="X73">BS_Greek("CALL","VEGA",$Q73,$B$1,$B$2,$R$3,X$6)</f>
        <v>0.2899301291838231</v>
      </c>
      <c r="Y73" s="14" cm="1">
        <f t="array" ref="Y73">BS_Greek("CALL","VEGA",$Q73,$B$1,$B$2,$R$3,Y$6)</f>
        <v>0.3128543782986476</v>
      </c>
      <c r="Z73" s="14" cm="1">
        <f t="array" ref="Z73">BS_Greek("CALL","VEGA",$Q73,$B$1,$B$2,$R$3,Z$6)</f>
        <v>0.33412469483092272</v>
      </c>
      <c r="AA73" s="14" cm="1">
        <f t="array" ref="AA73">BS_Greek("CALL","VEGA",$Q73,$B$1,$B$2,$R$3,AA$6)</f>
        <v>0.35402457537592474</v>
      </c>
      <c r="AB73" s="14" cm="1">
        <f t="array" ref="AB73">BS_Greek("CALL","VEGA",$Q73,$B$1,$B$2,$R$3,AB$6)</f>
        <v>0.50774026590962562</v>
      </c>
      <c r="AC73" s="14" cm="1">
        <f t="array" ref="AC73">BS_Greek("CALL","VEGA",$Q73,$B$1,$B$2,$R$3,AC$6)</f>
        <v>0.61780667302057179</v>
      </c>
      <c r="AD73" s="14" cm="1">
        <f t="array" ref="AD73">BS_Greek("CALL","VEGA",$Q73,$B$1,$B$2,$R$3,AD$6)</f>
        <v>0.70510754644860274</v>
      </c>
      <c r="AE73" s="23" cm="1">
        <f t="array" ref="AE73">BS_Greek("CALL","VEGA",$Q73,$B$1,$B$2,$R$3,AE$6)</f>
        <v>0.77759056969031703</v>
      </c>
      <c r="AF73" s="5"/>
      <c r="AG73" s="12">
        <v>90</v>
      </c>
      <c r="AH73" s="22" cm="1">
        <f t="array" ref="AH73">BS_Greek("CALL","VEGA",$AG73,$B$1,$B$2,$AH$3,AH$66)</f>
        <v>5.1615938644774466E-4</v>
      </c>
      <c r="AI73" s="14" cm="1">
        <f t="array" ref="AI73">BS_Greek("CALL","VEGA",$AG73,$B$1,$B$2,$AH$3,AI$66)</f>
        <v>1.1696837223341141E-2</v>
      </c>
      <c r="AJ73" s="14" cm="1">
        <f t="array" ref="AJ73">BS_Greek("CALL","VEGA",$AG73,$B$1,$B$2,$AH$3,AJ$66)</f>
        <v>3.6089280836016521E-2</v>
      </c>
      <c r="AK73" s="14" cm="1">
        <f t="array" ref="AK73">BS_Greek("CALL","VEGA",$AG73,$B$1,$B$2,$AH$3,AK$66)</f>
        <v>6.6105163163659941E-2</v>
      </c>
      <c r="AL73" s="14" cm="1">
        <f t="array" ref="AL73">BS_Greek("CALL","VEGA",$AG73,$B$1,$B$2,$AH$3,AL$66)</f>
        <v>9.7437835238203124E-2</v>
      </c>
      <c r="AM73" s="14" cm="1">
        <f t="array" ref="AM73">BS_Greek("CALL","VEGA",$AG73,$B$1,$B$2,$AH$3,AM$66)</f>
        <v>0.12828628098948194</v>
      </c>
      <c r="AN73" s="14" cm="1">
        <f t="array" ref="AN73">BS_Greek("CALL","VEGA",$AG73,$B$1,$B$2,$AH$3,AN$66)</f>
        <v>0.15796405593882862</v>
      </c>
      <c r="AO73" s="14" cm="1">
        <f t="array" ref="AO73">BS_Greek("CALL","VEGA",$AG73,$B$1,$B$2,$AH$3,AO$66)</f>
        <v>0.18625614252560363</v>
      </c>
      <c r="AP73" s="14" cm="1">
        <f t="array" ref="AP73">BS_Greek("CALL","VEGA",$AG73,$B$1,$B$2,$AH$3,AP$66)</f>
        <v>0.21314624132838869</v>
      </c>
      <c r="AQ73" s="14" cm="1">
        <f t="array" ref="AQ73">BS_Greek("CALL","VEGA",$AG73,$B$1,$B$2,$AH$3,AQ$66)</f>
        <v>0.23869941692283714</v>
      </c>
      <c r="AR73" s="14" cm="1">
        <f t="array" ref="AR73">BS_Greek("CALL","VEGA",$AG73,$B$1,$B$2,$AH$3,AR$66)</f>
        <v>0.44056131835135992</v>
      </c>
      <c r="AS73" s="14" cm="1">
        <f t="array" ref="AS73">BS_Greek("CALL","VEGA",$AG73,$B$1,$B$2,$AH$3,AS$66)</f>
        <v>0.58525004130384151</v>
      </c>
      <c r="AT73" s="14" cm="1">
        <f t="array" ref="AT73">BS_Greek("CALL","VEGA",$AG73,$B$1,$B$2,$AH$3,AT$66)</f>
        <v>0.69986237314498323</v>
      </c>
      <c r="AU73" s="23" cm="1">
        <f t="array" ref="AU73">BS_Greek("CALL","VEGA",$AG73,$B$1,$B$2,$AH$3,AU$66)</f>
        <v>0.7954894433465316</v>
      </c>
    </row>
    <row r="74" spans="1:47" x14ac:dyDescent="0.2">
      <c r="A74" s="12">
        <v>95</v>
      </c>
      <c r="B74" s="22" cm="1">
        <f t="array" ref="B74">BS_Greek("CALL","VEGA",$A74,$B$1,$B$2,$B$3,B$6)</f>
        <v>8.9541358039279734E-2</v>
      </c>
      <c r="C74" s="14" cm="1">
        <f t="array" ref="C74">BS_Greek("CALL","VEGA",$A74,$B$1,$B$2,$B$3,C$6)</f>
        <v>0.14909546983266303</v>
      </c>
      <c r="D74" s="14" cm="1">
        <f t="array" ref="D74">BS_Greek("CALL","VEGA",$A74,$B$1,$B$2,$B$3,D$6)</f>
        <v>0.19267540519079143</v>
      </c>
      <c r="E74" s="14" cm="1">
        <f t="array" ref="E74">BS_Greek("CALL","VEGA",$A74,$B$1,$B$2,$B$3,E$6)</f>
        <v>0.22840702670307461</v>
      </c>
      <c r="F74" s="14" cm="1">
        <f t="array" ref="F74">BS_Greek("CALL","VEGA",$A74,$B$1,$B$2,$B$3,F$6)</f>
        <v>0.25930883920219033</v>
      </c>
      <c r="G74" s="14" cm="1">
        <f t="array" ref="G74">BS_Greek("CALL","VEGA",$A74,$B$1,$B$2,$B$3,G$6)</f>
        <v>0.28686682039024303</v>
      </c>
      <c r="H74" s="14" cm="1">
        <f t="array" ref="H74">BS_Greek("CALL","VEGA",$A74,$B$1,$B$2,$B$3,H$6)</f>
        <v>0.31193622839956392</v>
      </c>
      <c r="I74" s="14" cm="1">
        <f t="array" ref="I74">BS_Greek("CALL","VEGA",$A74,$B$1,$B$2,$B$3,I$6)</f>
        <v>0.33506087760385839</v>
      </c>
      <c r="J74" s="14" cm="1">
        <f t="array" ref="J74">BS_Greek("CALL","VEGA",$A74,$B$1,$B$2,$B$3,J$6)</f>
        <v>0.35661132714949467</v>
      </c>
      <c r="K74" s="14" cm="1">
        <f t="array" ref="K74">BS_Greek("CALL","VEGA",$A74,$B$1,$B$2,$B$3,K$6)</f>
        <v>0.37685326590063861</v>
      </c>
      <c r="L74" s="14" cm="1">
        <f t="array" ref="L74">BS_Greek("CALL","VEGA",$A74,$B$1,$B$2,$B$3,L$6)</f>
        <v>0.53572622142458148</v>
      </c>
      <c r="M74" s="14" cm="1">
        <f t="array" ref="M74">BS_Greek("CALL","VEGA",$A74,$B$1,$B$2,$B$3,M$6)</f>
        <v>0.65235380338435678</v>
      </c>
      <c r="N74" s="14" cm="1">
        <f t="array" ref="N74">BS_Greek("CALL","VEGA",$A74,$B$1,$B$2,$B$3,N$6)</f>
        <v>0.7468905995563202</v>
      </c>
      <c r="O74" s="23" cm="1">
        <f t="array" ref="O74">BS_Greek("CALL","VEGA",$A74,$B$1,$B$2,$B$3,O$6)</f>
        <v>0.82706631007194997</v>
      </c>
      <c r="P74" s="5"/>
      <c r="Q74" s="12">
        <v>95</v>
      </c>
      <c r="R74" s="22" cm="1">
        <f t="array" ref="R74">BS_Greek("CALL","VEGA",$Q74,$B$1,$B$2,$R$3,R$6)</f>
        <v>0.10666888149822518</v>
      </c>
      <c r="S74" s="14" cm="1">
        <f t="array" ref="S74">BS_Greek("CALL","VEGA",$Q74,$B$1,$B$2,$R$3,S$6)</f>
        <v>0.16201774980597236</v>
      </c>
      <c r="T74" s="14" cm="1">
        <f t="array" ref="T74">BS_Greek("CALL","VEGA",$Q74,$B$1,$B$2,$R$3,T$6)</f>
        <v>0.20298234899889014</v>
      </c>
      <c r="U74" s="14" cm="1">
        <f t="array" ref="U74">BS_Greek("CALL","VEGA",$Q74,$B$1,$B$2,$R$3,U$6)</f>
        <v>0.23685782585692991</v>
      </c>
      <c r="V74" s="14" cm="1">
        <f t="array" ref="V74">BS_Greek("CALL","VEGA",$Q74,$B$1,$B$2,$R$3,V$6)</f>
        <v>0.26630962333356739</v>
      </c>
      <c r="W74" s="14" cm="1">
        <f t="array" ref="W74">BS_Greek("CALL","VEGA",$Q74,$B$1,$B$2,$R$3,W$6)</f>
        <v>0.29266016170947756</v>
      </c>
      <c r="X74" s="14" cm="1">
        <f t="array" ref="X74">BS_Greek("CALL","VEGA",$Q74,$B$1,$B$2,$R$3,X$6)</f>
        <v>0.31667848744818322</v>
      </c>
      <c r="Y74" s="14" cm="1">
        <f t="array" ref="Y74">BS_Greek("CALL","VEGA",$Q74,$B$1,$B$2,$R$3,Y$6)</f>
        <v>0.33885838808772822</v>
      </c>
      <c r="Z74" s="14" cm="1">
        <f t="array" ref="Z74">BS_Greek("CALL","VEGA",$Q74,$B$1,$B$2,$R$3,Z$6)</f>
        <v>0.35953924700853612</v>
      </c>
      <c r="AA74" s="14" cm="1">
        <f t="array" ref="AA74">BS_Greek("CALL","VEGA",$Q74,$B$1,$B$2,$R$3,AA$6)</f>
        <v>0.37896623822327191</v>
      </c>
      <c r="AB74" s="14" cm="1">
        <f t="array" ref="AB74">BS_Greek("CALL","VEGA",$Q74,$B$1,$B$2,$R$3,AB$6)</f>
        <v>0.53087335695806648</v>
      </c>
      <c r="AC74" s="14" cm="1">
        <f t="array" ref="AC74">BS_Greek("CALL","VEGA",$Q74,$B$1,$B$2,$R$3,AC$6)</f>
        <v>0.64090843856534729</v>
      </c>
      <c r="AD74" s="14" cm="1">
        <f t="array" ref="AD74">BS_Greek("CALL","VEGA",$Q74,$B$1,$B$2,$R$3,AD$6)</f>
        <v>0.72861111689327795</v>
      </c>
      <c r="AE74" s="23" cm="1">
        <f t="array" ref="AE74">BS_Greek("CALL","VEGA",$Q74,$B$1,$B$2,$R$3,AE$6)</f>
        <v>0.8016220170593169</v>
      </c>
      <c r="AF74" s="5"/>
      <c r="AG74" s="12">
        <v>95</v>
      </c>
      <c r="AH74" s="22" cm="1">
        <f t="array" ref="AH74">BS_Greek("CALL","VEGA",$AG74,$B$1,$B$2,$AH$3,AH$66)</f>
        <v>3.4693238841801241E-2</v>
      </c>
      <c r="AI74" s="14" cm="1">
        <f t="array" ref="AI74">BS_Greek("CALL","VEGA",$AG74,$B$1,$B$2,$AH$3,AI$66)</f>
        <v>9.4608178373498483E-2</v>
      </c>
      <c r="AJ74" s="14" cm="1">
        <f t="array" ref="AJ74">BS_Greek("CALL","VEGA",$AG74,$B$1,$B$2,$AH$3,AJ$66)</f>
        <v>0.14411356711779721</v>
      </c>
      <c r="AK74" s="14" cm="1">
        <f t="array" ref="AK74">BS_Greek("CALL","VEGA",$AG74,$B$1,$B$2,$AH$3,AK$66)</f>
        <v>0.18547920454659683</v>
      </c>
      <c r="AL74" s="14" cm="1">
        <f t="array" ref="AL74">BS_Greek("CALL","VEGA",$AG74,$B$1,$B$2,$AH$3,AL$66)</f>
        <v>0.22122153003014297</v>
      </c>
      <c r="AM74" s="14" cm="1">
        <f t="array" ref="AM74">BS_Greek("CALL","VEGA",$AG74,$B$1,$B$2,$AH$3,AM$66)</f>
        <v>0.25291422770740374</v>
      </c>
      <c r="AN74" s="14" cm="1">
        <f t="array" ref="AN74">BS_Greek("CALL","VEGA",$AG74,$B$1,$B$2,$AH$3,AN$66)</f>
        <v>0.28155342127741201</v>
      </c>
      <c r="AO74" s="14" cm="1">
        <f t="array" ref="AO74">BS_Greek("CALL","VEGA",$AG74,$B$1,$B$2,$AH$3,AO$66)</f>
        <v>0.30780115974298611</v>
      </c>
      <c r="AP74" s="14" cm="1">
        <f t="array" ref="AP74">BS_Greek("CALL","VEGA",$AG74,$B$1,$B$2,$AH$3,AP$66)</f>
        <v>0.33211834114491312</v>
      </c>
      <c r="AQ74" s="14" cm="1">
        <f t="array" ref="AQ74">BS_Greek("CALL","VEGA",$AG74,$B$1,$B$2,$AH$3,AQ$66)</f>
        <v>0.35483868952949416</v>
      </c>
      <c r="AR74" s="14" cm="1">
        <f t="array" ref="AR74">BS_Greek("CALL","VEGA",$AG74,$B$1,$B$2,$AH$3,AR$66)</f>
        <v>0.5299390140117628</v>
      </c>
      <c r="AS74" s="14" cm="1">
        <f t="array" ref="AS74">BS_Greek("CALL","VEGA",$AG74,$B$1,$B$2,$AH$3,AS$66)</f>
        <v>0.65600571654605955</v>
      </c>
      <c r="AT74" s="14" cm="1">
        <f t="array" ref="AT74">BS_Greek("CALL","VEGA",$AG74,$B$1,$B$2,$AH$3,AT$66)</f>
        <v>0.75727241342456975</v>
      </c>
      <c r="AU74" s="23" cm="1">
        <f t="array" ref="AU74">BS_Greek("CALL","VEGA",$AG74,$B$1,$B$2,$AH$3,AU$66)</f>
        <v>0.84270952755154971</v>
      </c>
    </row>
    <row r="75" spans="1:47" x14ac:dyDescent="0.2">
      <c r="A75" s="12">
        <v>100</v>
      </c>
      <c r="B75" s="22" cm="1">
        <f t="array" ref="B75">BS_Greek("CALL","VEGA",$A75,$B$1,$B$2,$B$3,B$6)</f>
        <v>0.12601477970020519</v>
      </c>
      <c r="C75" s="14" cm="1">
        <f t="array" ref="C75">BS_Greek("CALL","VEGA",$A75,$B$1,$B$2,$B$3,C$6)</f>
        <v>0.1780114349570453</v>
      </c>
      <c r="D75" s="14" cm="1">
        <f t="array" ref="D75">BS_Greek("CALL","VEGA",$A75,$B$1,$B$2,$B$3,D$6)</f>
        <v>0.21777345900985229</v>
      </c>
      <c r="E75" s="14" cm="1">
        <f t="array" ref="E75">BS_Greek("CALL","VEGA",$A75,$B$1,$B$2,$B$3,E$6)</f>
        <v>0.25118039341108511</v>
      </c>
      <c r="F75" s="14" cm="1">
        <f t="array" ref="F75">BS_Greek("CALL","VEGA",$A75,$B$1,$B$2,$B$3,F$6)</f>
        <v>0.28051246304186256</v>
      </c>
      <c r="G75" s="14" cm="1">
        <f t="array" ref="G75">BS_Greek("CALL","VEGA",$A75,$B$1,$B$2,$B$3,G$6)</f>
        <v>0.30694050496199521</v>
      </c>
      <c r="H75" s="14" cm="1">
        <f t="array" ref="H75">BS_Greek("CALL","VEGA",$A75,$B$1,$B$2,$B$3,H$6)</f>
        <v>0.3311608714611029</v>
      </c>
      <c r="I75" s="14" cm="1">
        <f t="array" ref="I75">BS_Greek("CALL","VEGA",$A75,$B$1,$B$2,$B$3,I$6)</f>
        <v>0.35362780796997578</v>
      </c>
      <c r="J75" s="14" cm="1">
        <f t="array" ref="J75">BS_Greek("CALL","VEGA",$A75,$B$1,$B$2,$B$3,J$6)</f>
        <v>0.37465720501521849</v>
      </c>
      <c r="K75" s="14" cm="1">
        <f t="array" ref="K75">BS_Greek("CALL","VEGA",$A75,$B$1,$B$2,$B$3,K$6)</f>
        <v>0.39447933090788895</v>
      </c>
      <c r="L75" s="14" cm="1">
        <f t="array" ref="L75">BS_Greek("CALL","VEGA",$A75,$B$1,$B$2,$B$3,L$6)</f>
        <v>0.55163706332541196</v>
      </c>
      <c r="M75" s="14" cm="1">
        <f t="array" ref="M75">BS_Greek("CALL","VEGA",$A75,$B$1,$B$2,$B$3,M$6)</f>
        <v>0.66805659306916709</v>
      </c>
      <c r="N75" s="14" cm="1">
        <f t="array" ref="N75">BS_Greek("CALL","VEGA",$A75,$B$1,$B$2,$B$3,N$6)</f>
        <v>0.76277563092104816</v>
      </c>
      <c r="O75" s="23" cm="1">
        <f t="array" ref="O75">BS_Greek("CALL","VEGA",$A75,$B$1,$B$2,$B$3,O$6)</f>
        <v>0.84326874401380636</v>
      </c>
      <c r="P75" s="5"/>
      <c r="Q75" s="12">
        <v>100</v>
      </c>
      <c r="R75" s="22" cm="1">
        <f t="array" ref="R75">BS_Greek("CALL","VEGA",$Q75,$B$1,$B$2,$R$3,R$6)</f>
        <v>0.12594479093238514</v>
      </c>
      <c r="S75" s="14" cm="1">
        <f t="array" ref="S75">BS_Greek("CALL","VEGA",$Q75,$B$1,$B$2,$R$3,S$6)</f>
        <v>0.1778137543166752</v>
      </c>
      <c r="T75" s="14" cm="1">
        <f t="array" ref="T75">BS_Greek("CALL","VEGA",$Q75,$B$1,$B$2,$R$3,T$6)</f>
        <v>0.2174108055400083</v>
      </c>
      <c r="U75" s="14" cm="1">
        <f t="array" ref="U75">BS_Greek("CALL","VEGA",$Q75,$B$1,$B$2,$R$3,U$6)</f>
        <v>0.25062283449841155</v>
      </c>
      <c r="V75" s="14" cm="1">
        <f t="array" ref="V75">BS_Greek("CALL","VEGA",$Q75,$B$1,$B$2,$R$3,V$6)</f>
        <v>0.27973434297827998</v>
      </c>
      <c r="W75" s="14" cm="1">
        <f t="array" ref="W75">BS_Greek("CALL","VEGA",$Q75,$B$1,$B$2,$R$3,W$6)</f>
        <v>0.30591907327736617</v>
      </c>
      <c r="X75" s="14" cm="1">
        <f t="array" ref="X75">BS_Greek("CALL","VEGA",$Q75,$B$1,$B$2,$R$3,X$6)</f>
        <v>0.32987552453324304</v>
      </c>
      <c r="Y75" s="14" cm="1">
        <f t="array" ref="Y75">BS_Greek("CALL","VEGA",$Q75,$B$1,$B$2,$R$3,Y$6)</f>
        <v>0.35205961627525989</v>
      </c>
      <c r="Z75" s="14" cm="1">
        <f t="array" ref="Z75">BS_Greek("CALL","VEGA",$Q75,$B$1,$B$2,$R$3,Z$6)</f>
        <v>0.37278859440959361</v>
      </c>
      <c r="AA75" s="14" cm="1">
        <f t="array" ref="AA75">BS_Greek("CALL","VEGA",$Q75,$B$1,$B$2,$R$3,AA$6)</f>
        <v>0.39229385545573259</v>
      </c>
      <c r="AB75" s="14" cm="1">
        <f t="array" ref="AB75">BS_Greek("CALL","VEGA",$Q75,$B$1,$B$2,$R$3,AB$6)</f>
        <v>0.54554168852462226</v>
      </c>
      <c r="AC75" s="14" cm="1">
        <f t="array" ref="AC75">BS_Greek("CALL","VEGA",$Q75,$B$1,$B$2,$R$3,AC$6)</f>
        <v>0.65701458882085051</v>
      </c>
      <c r="AD75" s="14" cm="1">
        <f t="array" ref="AD75">BS_Greek("CALL","VEGA",$Q75,$B$1,$B$2,$R$3,AD$6)</f>
        <v>0.74601201361465708</v>
      </c>
      <c r="AE75" s="23" cm="1">
        <f t="array" ref="AE75">BS_Greek("CALL","VEGA",$Q75,$B$1,$B$2,$R$3,AE$6)</f>
        <v>0.82016695584010779</v>
      </c>
      <c r="AF75" s="5"/>
      <c r="AG75" s="12">
        <v>100</v>
      </c>
      <c r="AH75" s="22" cm="1">
        <f t="array" ref="AH75">BS_Greek("CALL","VEGA",$AG75,$B$1,$B$2,$AH$3,AH$66)</f>
        <v>0.12601477970020519</v>
      </c>
      <c r="AI75" s="14" cm="1">
        <f t="array" ref="AI75">BS_Greek("CALL","VEGA",$AG75,$B$1,$B$2,$AH$3,AI$66)</f>
        <v>0.1780114349570453</v>
      </c>
      <c r="AJ75" s="14" cm="1">
        <f t="array" ref="AJ75">BS_Greek("CALL","VEGA",$AG75,$B$1,$B$2,$AH$3,AJ$66)</f>
        <v>0.21777345900985229</v>
      </c>
      <c r="AK75" s="14" cm="1">
        <f t="array" ref="AK75">BS_Greek("CALL","VEGA",$AG75,$B$1,$B$2,$AH$3,AK$66)</f>
        <v>0.25118039341108511</v>
      </c>
      <c r="AL75" s="14" cm="1">
        <f t="array" ref="AL75">BS_Greek("CALL","VEGA",$AG75,$B$1,$B$2,$AH$3,AL$66)</f>
        <v>0.28051246304186256</v>
      </c>
      <c r="AM75" s="14" cm="1">
        <f t="array" ref="AM75">BS_Greek("CALL","VEGA",$AG75,$B$1,$B$2,$AH$3,AM$66)</f>
        <v>0.30694050496199521</v>
      </c>
      <c r="AN75" s="14" cm="1">
        <f t="array" ref="AN75">BS_Greek("CALL","VEGA",$AG75,$B$1,$B$2,$AH$3,AN$66)</f>
        <v>0.3311608714611029</v>
      </c>
      <c r="AO75" s="14" cm="1">
        <f t="array" ref="AO75">BS_Greek("CALL","VEGA",$AG75,$B$1,$B$2,$AH$3,AO$66)</f>
        <v>0.35362780796997578</v>
      </c>
      <c r="AP75" s="14" cm="1">
        <f t="array" ref="AP75">BS_Greek("CALL","VEGA",$AG75,$B$1,$B$2,$AH$3,AP$66)</f>
        <v>0.37465720501521849</v>
      </c>
      <c r="AQ75" s="14" cm="1">
        <f t="array" ref="AQ75">BS_Greek("CALL","VEGA",$AG75,$B$1,$B$2,$AH$3,AQ$66)</f>
        <v>0.39447933090788895</v>
      </c>
      <c r="AR75" s="14" cm="1">
        <f t="array" ref="AR75">BS_Greek("CALL","VEGA",$AG75,$B$1,$B$2,$AH$3,AR$66)</f>
        <v>0.55163706332541196</v>
      </c>
      <c r="AS75" s="14" cm="1">
        <f t="array" ref="AS75">BS_Greek("CALL","VEGA",$AG75,$B$1,$B$2,$AH$3,AS$66)</f>
        <v>0.66805659306916709</v>
      </c>
      <c r="AT75" s="14" cm="1">
        <f t="array" ref="AT75">BS_Greek("CALL","VEGA",$AG75,$B$1,$B$2,$AH$3,AT$66)</f>
        <v>0.76277563092104828</v>
      </c>
      <c r="AU75" s="23" cm="1">
        <f t="array" ref="AU75">BS_Greek("CALL","VEGA",$AG75,$B$1,$B$2,$AH$3,AU$66)</f>
        <v>0.84326874401380636</v>
      </c>
    </row>
    <row r="76" spans="1:47" x14ac:dyDescent="0.2">
      <c r="A76" s="12">
        <v>105</v>
      </c>
      <c r="B76" s="22" cm="1">
        <f t="array" ref="B76">BS_Greek("CALL","VEGA",$A76,$B$1,$B$2,$B$3,B$6)</f>
        <v>9.4730567005775854E-2</v>
      </c>
      <c r="C76" s="14" cm="1">
        <f t="array" ref="C76">BS_Greek("CALL","VEGA",$A76,$B$1,$B$2,$B$3,C$6)</f>
        <v>0.15528549456541477</v>
      </c>
      <c r="D76" s="14" cm="1">
        <f t="array" ref="D76">BS_Greek("CALL","VEGA",$A76,$B$1,$B$2,$B$3,D$6)</f>
        <v>0.19963011175668893</v>
      </c>
      <c r="E76" s="14" cm="1">
        <f t="array" ref="E76">BS_Greek("CALL","VEGA",$A76,$B$1,$B$2,$B$3,E$6)</f>
        <v>0.2360347210135211</v>
      </c>
      <c r="F76" s="14" cm="1">
        <f t="array" ref="F76">BS_Greek("CALL","VEGA",$A76,$B$1,$B$2,$B$3,F$6)</f>
        <v>0.26754925856393441</v>
      </c>
      <c r="G76" s="14" cm="1">
        <f t="array" ref="G76">BS_Greek("CALL","VEGA",$A76,$B$1,$B$2,$B$3,G$6)</f>
        <v>0.29567419013929408</v>
      </c>
      <c r="H76" s="14" cm="1">
        <f t="array" ref="H76">BS_Greek("CALL","VEGA",$A76,$B$1,$B$2,$B$3,H$6)</f>
        <v>0.32127364650068385</v>
      </c>
      <c r="I76" s="14" cm="1">
        <f t="array" ref="I76">BS_Greek("CALL","VEGA",$A76,$B$1,$B$2,$B$3,I$6)</f>
        <v>0.34489758203526322</v>
      </c>
      <c r="J76" s="14" cm="1">
        <f t="array" ref="J76">BS_Greek("CALL","VEGA",$A76,$B$1,$B$2,$B$3,J$6)</f>
        <v>0.36692108772311305</v>
      </c>
      <c r="K76" s="14" cm="1">
        <f t="array" ref="K76">BS_Greek("CALL","VEGA",$A76,$B$1,$B$2,$B$3,K$6)</f>
        <v>0.38761333572648299</v>
      </c>
      <c r="L76" s="14" cm="1">
        <f t="array" ref="L76">BS_Greek("CALL","VEGA",$A76,$B$1,$B$2,$B$3,L$6)</f>
        <v>0.5501604023542791</v>
      </c>
      <c r="M76" s="14" cm="1">
        <f t="array" ref="M76">BS_Greek("CALL","VEGA",$A76,$B$1,$B$2,$B$3,M$6)</f>
        <v>0.669580745803801</v>
      </c>
      <c r="N76" s="14" cm="1">
        <f t="array" ref="N76">BS_Greek("CALL","VEGA",$A76,$B$1,$B$2,$B$3,N$6)</f>
        <v>0.76641397953105828</v>
      </c>
      <c r="O76" s="23" cm="1">
        <f t="array" ref="O76">BS_Greek("CALL","VEGA",$A76,$B$1,$B$2,$B$3,O$6)</f>
        <v>0.84855257304543275</v>
      </c>
      <c r="P76" s="5"/>
      <c r="Q76" s="12">
        <v>105</v>
      </c>
      <c r="R76" s="22" cm="1">
        <f t="array" ref="R76">BS_Greek("CALL","VEGA",$Q76,$B$1,$B$2,$R$3,R$6)</f>
        <v>0.11245674973430272</v>
      </c>
      <c r="S76" s="14" cm="1">
        <f t="array" ref="S76">BS_Greek("CALL","VEGA",$Q76,$B$1,$B$2,$R$3,S$6)</f>
        <v>0.16962433257069015</v>
      </c>
      <c r="T76" s="14" cm="1">
        <f t="array" ref="T76">BS_Greek("CALL","VEGA",$Q76,$B$1,$B$2,$R$3,T$6)</f>
        <v>0.21201979956829656</v>
      </c>
      <c r="U76" s="14" cm="1">
        <f t="array" ref="U76">BS_Greek("CALL","VEGA",$Q76,$B$1,$B$2,$R$3,U$6)</f>
        <v>0.2471167473923678</v>
      </c>
      <c r="V76" s="14" cm="1">
        <f t="array" ref="V76">BS_Greek("CALL","VEGA",$Q76,$B$1,$B$2,$R$3,V$6)</f>
        <v>0.27765089504983581</v>
      </c>
      <c r="W76" s="14" cm="1">
        <f t="array" ref="W76">BS_Greek("CALL","VEGA",$Q76,$B$1,$B$2,$R$3,W$6)</f>
        <v>0.30498209522504144</v>
      </c>
      <c r="X76" s="14" cm="1">
        <f t="array" ref="X76">BS_Greek("CALL","VEGA",$Q76,$B$1,$B$2,$R$3,X$6)</f>
        <v>0.3299023291202639</v>
      </c>
      <c r="Y76" s="14" cm="1">
        <f t="array" ref="Y76">BS_Greek("CALL","VEGA",$Q76,$B$1,$B$2,$R$3,Y$6)</f>
        <v>0.35292069317520947</v>
      </c>
      <c r="Z76" s="14" cm="1">
        <f t="array" ref="Z76">BS_Greek("CALL","VEGA",$Q76,$B$1,$B$2,$R$3,Z$6)</f>
        <v>0.37438741076876991</v>
      </c>
      <c r="AA76" s="14" cm="1">
        <f t="array" ref="AA76">BS_Greek("CALL","VEGA",$Q76,$B$1,$B$2,$R$3,AA$6)</f>
        <v>0.39455567305177858</v>
      </c>
      <c r="AB76" s="14" cm="1">
        <f t="array" ref="AB76">BS_Greek("CALL","VEGA",$Q76,$B$1,$B$2,$R$3,AB$6)</f>
        <v>0.55232725998867294</v>
      </c>
      <c r="AC76" s="14" cm="1">
        <f t="array" ref="AC76">BS_Greek("CALL","VEGA",$Q76,$B$1,$B$2,$R$3,AC$6)</f>
        <v>0.66665447263519584</v>
      </c>
      <c r="AD76" s="14" cm="1">
        <f t="array" ref="AD76">BS_Greek("CALL","VEGA",$Q76,$B$1,$B$2,$R$3,AD$6)</f>
        <v>0.75779237344430017</v>
      </c>
      <c r="AE76" s="23" cm="1">
        <f t="array" ref="AE76">BS_Greek("CALL","VEGA",$Q76,$B$1,$B$2,$R$3,AE$6)</f>
        <v>0.83366938178088834</v>
      </c>
      <c r="AF76" s="5"/>
      <c r="AG76" s="12">
        <v>105</v>
      </c>
      <c r="AH76" s="22" cm="1">
        <f t="array" ref="AH76">BS_Greek("CALL","VEGA",$AG76,$B$1,$B$2,$AH$3,AH$66)</f>
        <v>3.7403491562746784E-2</v>
      </c>
      <c r="AI76" s="14" cm="1">
        <f t="array" ref="AI76">BS_Greek("CALL","VEGA",$AG76,$B$1,$B$2,$AH$3,AI$66)</f>
        <v>9.5806705523719587E-2</v>
      </c>
      <c r="AJ76" s="14" cm="1">
        <f t="array" ref="AJ76">BS_Greek("CALL","VEGA",$AG76,$B$1,$B$2,$AH$3,AJ$66)</f>
        <v>0.14292407924672715</v>
      </c>
      <c r="AK76" s="14" cm="1">
        <f t="array" ref="AK76">BS_Greek("CALL","VEGA",$AG76,$B$1,$B$2,$AH$3,AK$66)</f>
        <v>0.18203815041877494</v>
      </c>
      <c r="AL76" s="14" cm="1">
        <f t="array" ref="AL76">BS_Greek("CALL","VEGA",$AG76,$B$1,$B$2,$AH$3,AL$66)</f>
        <v>0.2157618086402236</v>
      </c>
      <c r="AM76" s="14" cm="1">
        <f t="array" ref="AM76">BS_Greek("CALL","VEGA",$AG76,$B$1,$B$2,$AH$3,AM$66)</f>
        <v>0.24564453432089614</v>
      </c>
      <c r="AN76" s="14" cm="1">
        <f t="array" ref="AN76">BS_Greek("CALL","VEGA",$AG76,$B$1,$B$2,$AH$3,AN$66)</f>
        <v>0.27264617640732547</v>
      </c>
      <c r="AO76" s="14" cm="1">
        <f t="array" ref="AO76">BS_Greek("CALL","VEGA",$AG76,$B$1,$B$2,$AH$3,AO$66)</f>
        <v>0.29739757516778265</v>
      </c>
      <c r="AP76" s="14" cm="1">
        <f t="array" ref="AP76">BS_Greek("CALL","VEGA",$AG76,$B$1,$B$2,$AH$3,AP$66)</f>
        <v>0.32033505994229872</v>
      </c>
      <c r="AQ76" s="14" cm="1">
        <f t="array" ref="AQ76">BS_Greek("CALL","VEGA",$AG76,$B$1,$B$2,$AH$3,AQ$66)</f>
        <v>0.34177330202865702</v>
      </c>
      <c r="AR76" s="14" cm="1">
        <f t="array" ref="AR76">BS_Greek("CALL","VEGA",$AG76,$B$1,$B$2,$AH$3,AR$66)</f>
        <v>0.5072394859703554</v>
      </c>
      <c r="AS76" s="14" cm="1">
        <f t="array" ref="AS76">BS_Greek("CALL","VEGA",$AG76,$B$1,$B$2,$AH$3,AS$66)</f>
        <v>0.62659671715556564</v>
      </c>
      <c r="AT76" s="14" cm="1">
        <f t="array" ref="AT76">BS_Greek("CALL","VEGA",$AG76,$B$1,$B$2,$AH$3,AT$66)</f>
        <v>0.72256894624086909</v>
      </c>
      <c r="AU76" s="23" cm="1">
        <f t="array" ref="AU76">BS_Greek("CALL","VEGA",$AG76,$B$1,$B$2,$AH$3,AU$66)</f>
        <v>0.8035872917870398</v>
      </c>
    </row>
    <row r="77" spans="1:47" x14ac:dyDescent="0.2">
      <c r="A77" s="12">
        <v>110</v>
      </c>
      <c r="B77" s="22" cm="1">
        <f t="array" ref="B77">BS_Greek("CALL","VEGA",$A77,$B$1,$B$2,$B$3,B$6)</f>
        <v>4.1459744625109485E-2</v>
      </c>
      <c r="C77" s="14" cm="1">
        <f t="array" ref="C77">BS_Greek("CALL","VEGA",$A77,$B$1,$B$2,$B$3,C$6)</f>
        <v>0.10332955422391688</v>
      </c>
      <c r="D77" s="14" cm="1">
        <f t="array" ref="D77">BS_Greek("CALL","VEGA",$A77,$B$1,$B$2,$B$3,D$6)</f>
        <v>0.15274679608962338</v>
      </c>
      <c r="E77" s="14" cm="1">
        <f t="array" ref="E77">BS_Greek("CALL","VEGA",$A77,$B$1,$B$2,$B$3,E$6)</f>
        <v>0.19366366629160026</v>
      </c>
      <c r="F77" s="14" cm="1">
        <f t="array" ref="F77">BS_Greek("CALL","VEGA",$A77,$B$1,$B$2,$B$3,F$6)</f>
        <v>0.22891366897286511</v>
      </c>
      <c r="G77" s="14" cm="1">
        <f t="array" ref="G77">BS_Greek("CALL","VEGA",$A77,$B$1,$B$2,$B$3,G$6)</f>
        <v>0.26014283512817948</v>
      </c>
      <c r="H77" s="14" cm="1">
        <f t="array" ref="H77">BS_Greek("CALL","VEGA",$A77,$B$1,$B$2,$B$3,H$6)</f>
        <v>0.28836210247206256</v>
      </c>
      <c r="I77" s="14" cm="1">
        <f t="array" ref="I77">BS_Greek("CALL","VEGA",$A77,$B$1,$B$2,$B$3,I$6)</f>
        <v>0.31423293448931328</v>
      </c>
      <c r="J77" s="14" cm="1">
        <f t="array" ref="J77">BS_Greek("CALL","VEGA",$A77,$B$1,$B$2,$B$3,J$6)</f>
        <v>0.33821167077407693</v>
      </c>
      <c r="K77" s="14" cm="1">
        <f t="array" ref="K77">BS_Greek("CALL","VEGA",$A77,$B$1,$B$2,$B$3,K$6)</f>
        <v>0.36062690186445989</v>
      </c>
      <c r="L77" s="14" cm="1">
        <f t="array" ref="L77">BS_Greek("CALL","VEGA",$A77,$B$1,$B$2,$B$3,L$6)</f>
        <v>0.53375807389774843</v>
      </c>
      <c r="M77" s="14" cm="1">
        <f t="array" ref="M77">BS_Greek("CALL","VEGA",$A77,$B$1,$B$2,$B$3,M$6)</f>
        <v>0.658754089959111</v>
      </c>
      <c r="N77" s="14" cm="1">
        <f t="array" ref="N77">BS_Greek("CALL","VEGA",$A77,$B$1,$B$2,$B$3,N$6)</f>
        <v>0.75930525448770614</v>
      </c>
      <c r="O77" s="23" cm="1">
        <f t="array" ref="O77">BS_Greek("CALL","VEGA",$A77,$B$1,$B$2,$B$3,O$6)</f>
        <v>0.84421159741338547</v>
      </c>
      <c r="P77" s="5"/>
      <c r="Q77" s="12">
        <v>110</v>
      </c>
      <c r="R77" s="22" cm="1">
        <f t="array" ref="R77">BS_Greek("CALL","VEGA",$Q77,$B$1,$B$2,$R$3,R$6)</f>
        <v>7.8904665626496825E-2</v>
      </c>
      <c r="S77" s="14" cm="1">
        <f t="array" ref="S77">BS_Greek("CALL","VEGA",$Q77,$B$1,$B$2,$R$3,S$6)</f>
        <v>0.14337557290741063</v>
      </c>
      <c r="T77" s="14" cm="1">
        <f t="array" ref="T77">BS_Greek("CALL","VEGA",$Q77,$B$1,$B$2,$R$3,T$6)</f>
        <v>0.19068654650481343</v>
      </c>
      <c r="U77" s="14" cm="1">
        <f t="array" ref="U77">BS_Greek("CALL","VEGA",$Q77,$B$1,$B$2,$R$3,U$6)</f>
        <v>0.22925780102263243</v>
      </c>
      <c r="V77" s="14" cm="1">
        <f t="array" ref="V77">BS_Greek("CALL","VEGA",$Q77,$B$1,$B$2,$R$3,V$6)</f>
        <v>0.26242669261937368</v>
      </c>
      <c r="W77" s="14" cm="1">
        <f t="array" ref="W77">BS_Greek("CALL","VEGA",$Q77,$B$1,$B$2,$R$3,W$6)</f>
        <v>0.29186001251802374</v>
      </c>
      <c r="X77" s="14" cm="1">
        <f t="array" ref="X77">BS_Greek("CALL","VEGA",$Q77,$B$1,$B$2,$R$3,X$6)</f>
        <v>0.31851990708534011</v>
      </c>
      <c r="Y77" s="14" cm="1">
        <f t="array" ref="Y77">BS_Greek("CALL","VEGA",$Q77,$B$1,$B$2,$R$3,Y$6)</f>
        <v>0.34301770068622467</v>
      </c>
      <c r="Z77" s="14" cm="1">
        <f t="array" ref="Z77">BS_Greek("CALL","VEGA",$Q77,$B$1,$B$2,$R$3,Z$6)</f>
        <v>0.36576911327852019</v>
      </c>
      <c r="AA77" s="14" cm="1">
        <f t="array" ref="AA77">BS_Greek("CALL","VEGA",$Q77,$B$1,$B$2,$R$3,AA$6)</f>
        <v>0.38707149777283795</v>
      </c>
      <c r="AB77" s="14" cm="1">
        <f t="array" ref="AB77">BS_Greek("CALL","VEGA",$Q77,$B$1,$B$2,$R$3,AB$6)</f>
        <v>0.55203468373902709</v>
      </c>
      <c r="AC77" s="14" cm="1">
        <f t="array" ref="AC77">BS_Greek("CALL","VEGA",$Q77,$B$1,$B$2,$R$3,AC$6)</f>
        <v>0.6704499236841015</v>
      </c>
      <c r="AD77" s="14" cm="1">
        <f t="array" ref="AD77">BS_Greek("CALL","VEGA",$Q77,$B$1,$B$2,$R$3,AD$6)</f>
        <v>0.7644755668303399</v>
      </c>
      <c r="AE77" s="23" cm="1">
        <f t="array" ref="AE77">BS_Greek("CALL","VEGA",$Q77,$B$1,$B$2,$R$3,AE$6)</f>
        <v>0.84258928010075762</v>
      </c>
      <c r="AF77" s="5"/>
      <c r="AG77" s="12">
        <v>110</v>
      </c>
      <c r="AH77" s="22" cm="1">
        <f t="array" ref="AH77">BS_Greek("CALL","VEGA",$AG77,$B$1,$B$2,$AH$3,AH$66)</f>
        <v>1.2798321316875713E-3</v>
      </c>
      <c r="AI77" s="14" cm="1">
        <f t="array" ref="AI77">BS_Greek("CALL","VEGA",$AG77,$B$1,$B$2,$AH$3,AI$66)</f>
        <v>1.7517232418946857E-2</v>
      </c>
      <c r="AJ77" s="14" cm="1">
        <f t="array" ref="AJ77">BS_Greek("CALL","VEGA",$AG77,$B$1,$B$2,$AH$3,AJ$66)</f>
        <v>4.5686150128548209E-2</v>
      </c>
      <c r="AK77" s="14" cm="1">
        <f t="array" ref="AK77">BS_Greek("CALL","VEGA",$AG77,$B$1,$B$2,$AH$3,AK$66)</f>
        <v>7.6938968689493709E-2</v>
      </c>
      <c r="AL77" s="14" cm="1">
        <f t="array" ref="AL77">BS_Greek("CALL","VEGA",$AG77,$B$1,$B$2,$AH$3,AL$66)</f>
        <v>0.10783044375026943</v>
      </c>
      <c r="AM77" s="14" cm="1">
        <f t="array" ref="AM77">BS_Greek("CALL","VEGA",$AG77,$B$1,$B$2,$AH$3,AM$66)</f>
        <v>0.13727638643411783</v>
      </c>
      <c r="AN77" s="14" cm="1">
        <f t="array" ref="AN77">BS_Greek("CALL","VEGA",$AG77,$B$1,$B$2,$AH$3,AN$66)</f>
        <v>0.16502382731650939</v>
      </c>
      <c r="AO77" s="14" cm="1">
        <f t="array" ref="AO77">BS_Greek("CALL","VEGA",$AG77,$B$1,$B$2,$AH$3,AO$66)</f>
        <v>0.19110786021475307</v>
      </c>
      <c r="AP77" s="14" cm="1">
        <f t="array" ref="AP77">BS_Greek("CALL","VEGA",$AG77,$B$1,$B$2,$AH$3,AP$66)</f>
        <v>0.21565675444124369</v>
      </c>
      <c r="AQ77" s="14" cm="1">
        <f t="array" ref="AQ77">BS_Greek("CALL","VEGA",$AG77,$B$1,$B$2,$AH$3,AQ$66)</f>
        <v>0.23882000168449916</v>
      </c>
      <c r="AR77" s="14" cm="1">
        <f t="array" ref="AR77">BS_Greek("CALL","VEGA",$AG77,$B$1,$B$2,$AH$3,AR$66)</f>
        <v>0.41911044907526823</v>
      </c>
      <c r="AS77" s="14" cm="1">
        <f t="array" ref="AS77">BS_Greek("CALL","VEGA",$AG77,$B$1,$B$2,$AH$3,AS$66)</f>
        <v>0.54747527123167761</v>
      </c>
      <c r="AT77" s="14" cm="1">
        <f t="array" ref="AT77">BS_Greek("CALL","VEGA",$AG77,$B$1,$B$2,$AH$3,AT$66)</f>
        <v>0.64921143972907114</v>
      </c>
      <c r="AU77" s="23" cm="1">
        <f t="array" ref="AU77">BS_Greek("CALL","VEGA",$AG77,$B$1,$B$2,$AH$3,AU$66)</f>
        <v>0.73420648836426439</v>
      </c>
    </row>
    <row r="78" spans="1:47" x14ac:dyDescent="0.2">
      <c r="A78" s="12">
        <v>115</v>
      </c>
      <c r="B78" s="22" cm="1">
        <f t="array" ref="B78">BS_Greek("CALL","VEGA",$A78,$B$1,$B$2,$B$3,B$6)</f>
        <v>1.1355073152064601E-2</v>
      </c>
      <c r="C78" s="14" cm="1">
        <f t="array" ref="C78">BS_Greek("CALL","VEGA",$A78,$B$1,$B$2,$B$3,C$6)</f>
        <v>5.4377515022381848E-2</v>
      </c>
      <c r="D78" s="14" cm="1">
        <f t="array" ref="D78">BS_Greek("CALL","VEGA",$A78,$B$1,$B$2,$B$3,D$6)</f>
        <v>9.9933417595957988E-2</v>
      </c>
      <c r="E78" s="14" cm="1">
        <f t="array" ref="E78">BS_Greek("CALL","VEGA",$A78,$B$1,$B$2,$B$3,E$6)</f>
        <v>0.14127284601816148</v>
      </c>
      <c r="F78" s="14" cm="1">
        <f t="array" ref="F78">BS_Greek("CALL","VEGA",$A78,$B$1,$B$2,$B$3,F$6)</f>
        <v>0.17825651843380041</v>
      </c>
      <c r="G78" s="14" cm="1">
        <f t="array" ref="G78">BS_Greek("CALL","VEGA",$A78,$B$1,$B$2,$B$3,G$6)</f>
        <v>0.21158960540408661</v>
      </c>
      <c r="H78" s="14" cm="1">
        <f t="array" ref="H78">BS_Greek("CALL","VEGA",$A78,$B$1,$B$2,$B$3,H$6)</f>
        <v>0.24195071188978151</v>
      </c>
      <c r="I78" s="14" cm="1">
        <f t="array" ref="I78">BS_Greek("CALL","VEGA",$A78,$B$1,$B$2,$B$3,I$6)</f>
        <v>0.2698796374360215</v>
      </c>
      <c r="J78" s="14" cm="1">
        <f t="array" ref="J78">BS_Greek("CALL","VEGA",$A78,$B$1,$B$2,$B$3,J$6)</f>
        <v>0.29579147918734405</v>
      </c>
      <c r="K78" s="14" cm="1">
        <f t="array" ref="K78">BS_Greek("CALL","VEGA",$A78,$B$1,$B$2,$B$3,K$6)</f>
        <v>0.32000599329500923</v>
      </c>
      <c r="L78" s="14" cm="1">
        <f t="array" ref="L78">BS_Greek("CALL","VEGA",$A78,$B$1,$B$2,$B$3,L$6)</f>
        <v>0.50560061959578539</v>
      </c>
      <c r="M78" s="14" cm="1">
        <f t="array" ref="M78">BS_Greek("CALL","VEGA",$A78,$B$1,$B$2,$B$3,M$6)</f>
        <v>0.63773587385453712</v>
      </c>
      <c r="N78" s="14" cm="1">
        <f t="array" ref="N78">BS_Greek("CALL","VEGA",$A78,$B$1,$B$2,$B$3,N$6)</f>
        <v>0.74312371276717004</v>
      </c>
      <c r="O78" s="23" cm="1">
        <f t="array" ref="O78">BS_Greek("CALL","VEGA",$A78,$B$1,$B$2,$B$3,O$6)</f>
        <v>0.83163420463033955</v>
      </c>
      <c r="P78" s="5"/>
      <c r="Q78" s="12">
        <v>115</v>
      </c>
      <c r="R78" s="22" cm="1">
        <f t="array" ref="R78">BS_Greek("CALL","VEGA",$Q78,$B$1,$B$2,$R$3,R$6)</f>
        <v>4.4925546239266929E-2</v>
      </c>
      <c r="S78" s="14" cm="1">
        <f t="array" ref="S78">BS_Greek("CALL","VEGA",$Q78,$B$1,$B$2,$R$3,S$6)</f>
        <v>0.10912500779394536</v>
      </c>
      <c r="T78" s="14" cm="1">
        <f t="array" ref="T78">BS_Greek("CALL","VEGA",$Q78,$B$1,$B$2,$R$3,T$6)</f>
        <v>0.1598779807314763</v>
      </c>
      <c r="U78" s="14" cm="1">
        <f t="array" ref="U78">BS_Greek("CALL","VEGA",$Q78,$B$1,$B$2,$R$3,U$6)</f>
        <v>0.20174485287319666</v>
      </c>
      <c r="V78" s="14" cm="1">
        <f t="array" ref="V78">BS_Greek("CALL","VEGA",$Q78,$B$1,$B$2,$R$3,V$6)</f>
        <v>0.23773448946649212</v>
      </c>
      <c r="W78" s="14" cm="1">
        <f t="array" ref="W78">BS_Greek("CALL","VEGA",$Q78,$B$1,$B$2,$R$3,W$6)</f>
        <v>0.2695644874512334</v>
      </c>
      <c r="X78" s="14" cm="1">
        <f t="array" ref="X78">BS_Greek("CALL","VEGA",$Q78,$B$1,$B$2,$R$3,X$6)</f>
        <v>0.29828227300311022</v>
      </c>
      <c r="Y78" s="14" cm="1">
        <f t="array" ref="Y78">BS_Greek("CALL","VEGA",$Q78,$B$1,$B$2,$R$3,Y$6)</f>
        <v>0.3245708269894787</v>
      </c>
      <c r="Z78" s="14" cm="1">
        <f t="array" ref="Z78">BS_Greek("CALL","VEGA",$Q78,$B$1,$B$2,$R$3,Z$6)</f>
        <v>0.34890050929444222</v>
      </c>
      <c r="AA78" s="14" cm="1">
        <f t="array" ref="AA78">BS_Greek("CALL","VEGA",$Q78,$B$1,$B$2,$R$3,AA$6)</f>
        <v>0.37160972039984985</v>
      </c>
      <c r="AB78" s="14" cm="1">
        <f t="array" ref="AB78">BS_Greek("CALL","VEGA",$Q78,$B$1,$B$2,$R$3,AB$6)</f>
        <v>0.54559211011452069</v>
      </c>
      <c r="AC78" s="14" cm="1">
        <f t="array" ref="AC78">BS_Greek("CALL","VEGA",$Q78,$B$1,$B$2,$R$3,AC$6)</f>
        <v>0.66906761646336721</v>
      </c>
      <c r="AD78" s="14" cm="1">
        <f t="array" ref="AD78">BS_Greek("CALL","VEGA",$Q78,$B$1,$B$2,$R$3,AD$6)</f>
        <v>0.76659899934282538</v>
      </c>
      <c r="AE78" s="23" cm="1">
        <f t="array" ref="AE78">BS_Greek("CALL","VEGA",$Q78,$B$1,$B$2,$R$3,AE$6)</f>
        <v>0.84738574187741245</v>
      </c>
      <c r="AF78" s="5"/>
      <c r="AG78" s="12">
        <v>115</v>
      </c>
      <c r="AH78" s="22" cm="1">
        <f t="array" ref="AH78">BS_Greek("CALL","VEGA",$AG78,$B$1,$B$2,$AH$3,AH$66)</f>
        <v>6.7367205338682614E-6</v>
      </c>
      <c r="AI78" s="14" cm="1">
        <f t="array" ref="AI78">BS_Greek("CALL","VEGA",$AG78,$B$1,$B$2,$AH$3,AI$66)</f>
        <v>1.2568601723670415E-3</v>
      </c>
      <c r="AJ78" s="14" cm="1">
        <f t="array" ref="AJ78">BS_Greek("CALL","VEGA",$AG78,$B$1,$B$2,$AH$3,AJ$66)</f>
        <v>7.8303531906443388E-3</v>
      </c>
      <c r="AK78" s="14" cm="1">
        <f t="array" ref="AK78">BS_Greek("CALL","VEGA",$AG78,$B$1,$B$2,$AH$3,AK$66)</f>
        <v>2.0381249613524027E-2</v>
      </c>
      <c r="AL78" s="14" cm="1">
        <f t="array" ref="AL78">BS_Greek("CALL","VEGA",$AG78,$B$1,$B$2,$AH$3,AL$66)</f>
        <v>3.709184487135108E-2</v>
      </c>
      <c r="AM78" s="14" cm="1">
        <f t="array" ref="AM78">BS_Greek("CALL","VEGA",$AG78,$B$1,$B$2,$AH$3,AM$66)</f>
        <v>5.620409306957521E-2</v>
      </c>
      <c r="AN78" s="14" cm="1">
        <f t="array" ref="AN78">BS_Greek("CALL","VEGA",$AG78,$B$1,$B$2,$AH$3,AN$66)</f>
        <v>7.6514510849957473E-2</v>
      </c>
      <c r="AO78" s="14" cm="1">
        <f t="array" ref="AO78">BS_Greek("CALL","VEGA",$AG78,$B$1,$B$2,$AH$3,AO$66)</f>
        <v>9.7273487048199256E-2</v>
      </c>
      <c r="AP78" s="14" cm="1">
        <f t="array" ref="AP78">BS_Greek("CALL","VEGA",$AG78,$B$1,$B$2,$AH$3,AP$66)</f>
        <v>0.11803032678147579</v>
      </c>
      <c r="AQ78" s="14" cm="1">
        <f t="array" ref="AQ78">BS_Greek("CALL","VEGA",$AG78,$B$1,$B$2,$AH$3,AQ$66)</f>
        <v>0.13852014243074293</v>
      </c>
      <c r="AR78" s="14" cm="1">
        <f t="array" ref="AR78">BS_Greek("CALL","VEGA",$AG78,$B$1,$B$2,$AH$3,AR$66)</f>
        <v>0.31566273567519071</v>
      </c>
      <c r="AS78" s="14" cm="1">
        <f t="array" ref="AS78">BS_Greek("CALL","VEGA",$AG78,$B$1,$B$2,$AH$3,AS$66)</f>
        <v>0.44985946919602909</v>
      </c>
      <c r="AT78" s="14" cm="1">
        <f t="array" ref="AT78">BS_Greek("CALL","VEGA",$AG78,$B$1,$B$2,$AH$3,AT$66)</f>
        <v>0.55719510030463626</v>
      </c>
      <c r="AU78" s="23" cm="1">
        <f t="array" ref="AU78">BS_Greek("CALL","VEGA",$AG78,$B$1,$B$2,$AH$3,AU$66)</f>
        <v>0.64682173138278298</v>
      </c>
    </row>
    <row r="79" spans="1:47" x14ac:dyDescent="0.2">
      <c r="A79" s="12">
        <v>120</v>
      </c>
      <c r="B79" s="22" cm="1">
        <f t="array" ref="B79">BS_Greek("CALL","VEGA",$A79,$B$1,$B$2,$B$3,B$6)</f>
        <v>2.0685250757256838E-3</v>
      </c>
      <c r="C79" s="14" cm="1">
        <f t="array" ref="C79">BS_Greek("CALL","VEGA",$A79,$B$1,$B$2,$B$3,C$6)</f>
        <v>2.3332711412433971E-2</v>
      </c>
      <c r="D79" s="14" cm="1">
        <f t="array" ref="D79">BS_Greek("CALL","VEGA",$A79,$B$1,$B$2,$B$3,D$6)</f>
        <v>5.7053408088958327E-2</v>
      </c>
      <c r="E79" s="14" cm="1">
        <f t="array" ref="E79">BS_Greek("CALL","VEGA",$A79,$B$1,$B$2,$B$3,E$6)</f>
        <v>9.3034075502440541E-2</v>
      </c>
      <c r="F79" s="14" cm="1">
        <f t="array" ref="F79">BS_Greek("CALL","VEGA",$A79,$B$1,$B$2,$B$3,F$6)</f>
        <v>0.12788990708238193</v>
      </c>
      <c r="G79" s="14" cm="1">
        <f t="array" ref="G79">BS_Greek("CALL","VEGA",$A79,$B$1,$B$2,$B$3,G$6)</f>
        <v>0.16072749659884919</v>
      </c>
      <c r="H79" s="14" cm="1">
        <f t="array" ref="H79">BS_Greek("CALL","VEGA",$A79,$B$1,$B$2,$B$3,H$6)</f>
        <v>0.19144349454685666</v>
      </c>
      <c r="I79" s="14" cm="1">
        <f t="array" ref="I79">BS_Greek("CALL","VEGA",$A79,$B$1,$B$2,$B$3,I$6)</f>
        <v>0.22017713675499853</v>
      </c>
      <c r="J79" s="14" cm="1">
        <f t="array" ref="J79">BS_Greek("CALL","VEGA",$A79,$B$1,$B$2,$B$3,J$6)</f>
        <v>0.24712869597243461</v>
      </c>
      <c r="K79" s="14" cm="1">
        <f t="array" ref="K79">BS_Greek("CALL","VEGA",$A79,$B$1,$B$2,$B$3,K$6)</f>
        <v>0.27249840451049845</v>
      </c>
      <c r="L79" s="14" cm="1">
        <f t="array" ref="L79">BS_Greek("CALL","VEGA",$A79,$B$1,$B$2,$B$3,L$6)</f>
        <v>0.46905195347320522</v>
      </c>
      <c r="M79" s="14" cm="1">
        <f t="array" ref="M79">BS_Greek("CALL","VEGA",$A79,$B$1,$B$2,$B$3,M$6)</f>
        <v>0.60877484538879079</v>
      </c>
      <c r="N79" s="14" cm="1">
        <f t="array" ref="N79">BS_Greek("CALL","VEGA",$A79,$B$1,$B$2,$B$3,N$6)</f>
        <v>0.71957857026067118</v>
      </c>
      <c r="O79" s="23" cm="1">
        <f t="array" ref="O79">BS_Greek("CALL","VEGA",$A79,$B$1,$B$2,$B$3,O$6)</f>
        <v>0.81221348325030684</v>
      </c>
      <c r="P79" s="5"/>
      <c r="Q79" s="12">
        <v>120</v>
      </c>
      <c r="R79" s="22" cm="1">
        <f t="array" ref="R79">BS_Greek("CALL","VEGA",$Q79,$B$1,$B$2,$R$3,R$6)</f>
        <v>2.1327896525065605E-2</v>
      </c>
      <c r="S79" s="14" cm="1">
        <f t="array" ref="S79">BS_Greek("CALL","VEGA",$Q79,$B$1,$B$2,$R$3,S$6)</f>
        <v>7.5813336945485379E-2</v>
      </c>
      <c r="T79" s="14" cm="1">
        <f t="array" ref="T79">BS_Greek("CALL","VEGA",$Q79,$B$1,$B$2,$R$3,T$6)</f>
        <v>0.12610496950196404</v>
      </c>
      <c r="U79" s="14" cm="1">
        <f t="array" ref="U79">BS_Greek("CALL","VEGA",$Q79,$B$1,$B$2,$R$3,U$6)</f>
        <v>0.16955364143103455</v>
      </c>
      <c r="V79" s="14" cm="1">
        <f t="array" ref="V79">BS_Greek("CALL","VEGA",$Q79,$B$1,$B$2,$R$3,V$6)</f>
        <v>0.20755515123786619</v>
      </c>
      <c r="W79" s="14" cm="1">
        <f t="array" ref="W79">BS_Greek("CALL","VEGA",$Q79,$B$1,$B$2,$R$3,W$6)</f>
        <v>0.2413950979277403</v>
      </c>
      <c r="X79" s="14" cm="1">
        <f t="array" ref="X79">BS_Greek("CALL","VEGA",$Q79,$B$1,$B$2,$R$3,X$6)</f>
        <v>0.27199931861420884</v>
      </c>
      <c r="Y79" s="14" cm="1">
        <f t="array" ref="Y79">BS_Greek("CALL","VEGA",$Q79,$B$1,$B$2,$R$3,Y$6)</f>
        <v>0.30002386856514912</v>
      </c>
      <c r="Z79" s="14" cm="1">
        <f t="array" ref="Z79">BS_Greek("CALL","VEGA",$Q79,$B$1,$B$2,$R$3,Z$6)</f>
        <v>0.32594284085625297</v>
      </c>
      <c r="AA79" s="14" cm="1">
        <f t="array" ref="AA79">BS_Greek("CALL","VEGA",$Q79,$B$1,$B$2,$R$3,AA$6)</f>
        <v>0.35010774918133886</v>
      </c>
      <c r="AB79" s="14" cm="1">
        <f t="array" ref="AB79">BS_Greek("CALL","VEGA",$Q79,$B$1,$B$2,$R$3,AB$6)</f>
        <v>0.53397313281358616</v>
      </c>
      <c r="AC79" s="14" cm="1">
        <f t="array" ref="AC79">BS_Greek("CALL","VEGA",$Q79,$B$1,$B$2,$R$3,AC$6)</f>
        <v>0.66318326233497216</v>
      </c>
      <c r="AD79" s="14" cm="1">
        <f t="array" ref="AD79">BS_Greek("CALL","VEGA",$Q79,$B$1,$B$2,$R$3,AD$6)</f>
        <v>0.76469439302491626</v>
      </c>
      <c r="AE79" s="23" cm="1">
        <f t="array" ref="AE79">BS_Greek("CALL","VEGA",$Q79,$B$1,$B$2,$R$3,AE$6)</f>
        <v>0.84850513852620746</v>
      </c>
      <c r="AF79" s="5"/>
      <c r="AG79" s="12">
        <v>120</v>
      </c>
      <c r="AH79" s="22" cm="1">
        <f t="array" ref="AH79">BS_Greek("CALL","VEGA",$AG79,$B$1,$B$2,$AH$3,AH$66)</f>
        <v>6.9599615016725047E-9</v>
      </c>
      <c r="AI79" s="14" cm="1">
        <f t="array" ref="AI79">BS_Greek("CALL","VEGA",$AG79,$B$1,$B$2,$AH$3,AI$66)</f>
        <v>3.9971023224294199E-5</v>
      </c>
      <c r="AJ79" s="14" cm="1">
        <f t="array" ref="AJ79">BS_Greek("CALL","VEGA",$AG79,$B$1,$B$2,$AH$3,AJ$66)</f>
        <v>7.8044023598122856E-4</v>
      </c>
      <c r="AK79" s="14" cm="1">
        <f t="array" ref="AK79">BS_Greek("CALL","VEGA",$AG79,$B$1,$B$2,$AH$3,AK$66)</f>
        <v>3.5961608377988131E-3</v>
      </c>
      <c r="AL79" s="14" cm="1">
        <f t="array" ref="AL79">BS_Greek("CALL","VEGA",$AG79,$B$1,$B$2,$AH$3,AL$66)</f>
        <v>9.2196988092317321E-3</v>
      </c>
      <c r="AM79" s="14" cm="1">
        <f t="array" ref="AM79">BS_Greek("CALL","VEGA",$AG79,$B$1,$B$2,$AH$3,AM$66)</f>
        <v>1.7556027112756591E-2</v>
      </c>
      <c r="AN79" s="14" cm="1">
        <f t="array" ref="AN79">BS_Greek("CALL","VEGA",$AG79,$B$1,$B$2,$AH$3,AN$66)</f>
        <v>2.8136724172845171E-2</v>
      </c>
      <c r="AO79" s="14" cm="1">
        <f t="array" ref="AO79">BS_Greek("CALL","VEGA",$AG79,$B$1,$B$2,$AH$3,AO$66)</f>
        <v>4.0427583513910757E-2</v>
      </c>
      <c r="AP79" s="14" cm="1">
        <f t="array" ref="AP79">BS_Greek("CALL","VEGA",$AG79,$B$1,$B$2,$AH$3,AP$66)</f>
        <v>5.3953369730765102E-2</v>
      </c>
      <c r="AQ79" s="14" cm="1">
        <f t="array" ref="AQ79">BS_Greek("CALL","VEGA",$AG79,$B$1,$B$2,$AH$3,AQ$66)</f>
        <v>6.8329969593104792E-2</v>
      </c>
      <c r="AR79" s="14" cm="1">
        <f t="array" ref="AR79">BS_Greek("CALL","VEGA",$AG79,$B$1,$B$2,$AH$3,AR$66)</f>
        <v>0.21935705841356859</v>
      </c>
      <c r="AS79" s="14" cm="1">
        <f t="array" ref="AS79">BS_Greek("CALL","VEGA",$AG79,$B$1,$B$2,$AH$3,AS$66)</f>
        <v>0.35044120413266605</v>
      </c>
      <c r="AT79" s="14" cm="1">
        <f t="array" ref="AT79">BS_Greek("CALL","VEGA",$AG79,$B$1,$B$2,$AH$3,AT$66)</f>
        <v>0.45956885215668847</v>
      </c>
      <c r="AU79" s="23" cm="1">
        <f t="array" ref="AU79">BS_Greek("CALL","VEGA",$AG79,$B$1,$B$2,$AH$3,AU$66)</f>
        <v>0.55209129543356328</v>
      </c>
    </row>
    <row r="80" spans="1:47" x14ac:dyDescent="0.2">
      <c r="A80" s="12">
        <v>125</v>
      </c>
      <c r="B80" s="22" cm="1">
        <f t="array" ref="B80">BS_Greek("CALL","VEGA",$A80,$B$1,$B$2,$B$3,B$6)</f>
        <v>2.6396322770578433E-4</v>
      </c>
      <c r="C80" s="14" cm="1">
        <f t="array" ref="C80">BS_Greek("CALL","VEGA",$A80,$B$1,$B$2,$B$3,C$6)</f>
        <v>8.3776579671249966E-3</v>
      </c>
      <c r="D80" s="14" cm="1">
        <f t="array" ref="D80">BS_Greek("CALL","VEGA",$A80,$B$1,$B$2,$B$3,D$6)</f>
        <v>2.8919931949563497E-2</v>
      </c>
      <c r="E80" s="14" cm="1">
        <f t="array" ref="E80">BS_Greek("CALL","VEGA",$A80,$B$1,$B$2,$B$3,E$6)</f>
        <v>5.6032093638267749E-2</v>
      </c>
      <c r="F80" s="14" cm="1">
        <f t="array" ref="F80">BS_Greek("CALL","VEGA",$A80,$B$1,$B$2,$B$3,F$6)</f>
        <v>8.5419800594485493E-2</v>
      </c>
      <c r="G80" s="14" cm="1">
        <f t="array" ref="G80">BS_Greek("CALL","VEGA",$A80,$B$1,$B$2,$B$3,G$6)</f>
        <v>0.11501755031066585</v>
      </c>
      <c r="H80" s="14" cm="1">
        <f t="array" ref="H80">BS_Greek("CALL","VEGA",$A80,$B$1,$B$2,$B$3,H$6)</f>
        <v>0.14391583547437295</v>
      </c>
      <c r="I80" s="14" cm="1">
        <f t="array" ref="I80">BS_Greek("CALL","VEGA",$A80,$B$1,$B$2,$B$3,I$6)</f>
        <v>0.17174563874605031</v>
      </c>
      <c r="J80" s="14" cm="1">
        <f t="array" ref="J80">BS_Greek("CALL","VEGA",$A80,$B$1,$B$2,$B$3,J$6)</f>
        <v>0.19838851664708948</v>
      </c>
      <c r="K80" s="14" cm="1">
        <f t="array" ref="K80">BS_Greek("CALL","VEGA",$A80,$B$1,$B$2,$B$3,K$6)</f>
        <v>0.22384180561821135</v>
      </c>
      <c r="L80" s="14" cm="1">
        <f t="array" ref="L80">BS_Greek("CALL","VEGA",$A80,$B$1,$B$2,$B$3,L$6)</f>
        <v>0.42729288686192146</v>
      </c>
      <c r="M80" s="14" cm="1">
        <f t="array" ref="M80">BS_Greek("CALL","VEGA",$A80,$B$1,$B$2,$B$3,M$6)</f>
        <v>0.57403350128173725</v>
      </c>
      <c r="N80" s="14" cm="1">
        <f t="array" ref="N80">BS_Greek("CALL","VEGA",$A80,$B$1,$B$2,$B$3,N$6)</f>
        <v>0.69031398866778304</v>
      </c>
      <c r="O80" s="23" cm="1">
        <f t="array" ref="O80">BS_Greek("CALL","VEGA",$A80,$B$1,$B$2,$B$3,O$6)</f>
        <v>0.78728394585688899</v>
      </c>
      <c r="P80" s="5"/>
      <c r="Q80" s="12">
        <v>125</v>
      </c>
      <c r="R80" s="22" cm="1">
        <f t="array" ref="R80">BS_Greek("CALL","VEGA",$Q80,$B$1,$B$2,$R$3,R$6)</f>
        <v>8.6394717581212612E-3</v>
      </c>
      <c r="S80" s="14" cm="1">
        <f t="array" ref="S80">BS_Greek("CALL","VEGA",$Q80,$B$1,$B$2,$R$3,S$6)</f>
        <v>4.8636515735941702E-2</v>
      </c>
      <c r="T80" s="14" cm="1">
        <f t="array" ref="T80">BS_Greek("CALL","VEGA",$Q80,$B$1,$B$2,$R$3,T$6)</f>
        <v>9.4299256777715612E-2</v>
      </c>
      <c r="U80" s="14" cm="1">
        <f t="array" ref="U80">BS_Greek("CALL","VEGA",$Q80,$B$1,$B$2,$R$3,U$6)</f>
        <v>0.13688718821788132</v>
      </c>
      <c r="V80" s="14" cm="1">
        <f t="array" ref="V80">BS_Greek("CALL","VEGA",$Q80,$B$1,$B$2,$R$3,V$6)</f>
        <v>0.17545145159162673</v>
      </c>
      <c r="W80" s="14" cm="1">
        <f t="array" ref="W80">BS_Greek("CALL","VEGA",$Q80,$B$1,$B$2,$R$3,W$6)</f>
        <v>0.21040872318836001</v>
      </c>
      <c r="X80" s="14" cm="1">
        <f t="array" ref="X80">BS_Greek("CALL","VEGA",$Q80,$B$1,$B$2,$R$3,X$6)</f>
        <v>0.24233244905687773</v>
      </c>
      <c r="Y80" s="14" cm="1">
        <f t="array" ref="Y80">BS_Greek("CALL","VEGA",$Q80,$B$1,$B$2,$R$3,Y$6)</f>
        <v>0.27172581972973991</v>
      </c>
      <c r="Z80" s="14" cm="1">
        <f t="array" ref="Z80">BS_Greek("CALL","VEGA",$Q80,$B$1,$B$2,$R$3,Z$6)</f>
        <v>0.29899446559453879</v>
      </c>
      <c r="AA80" s="14" cm="1">
        <f t="array" ref="AA80">BS_Greek("CALL","VEGA",$Q80,$B$1,$B$2,$R$3,AA$6)</f>
        <v>0.32445965964527135</v>
      </c>
      <c r="AB80" s="14" cm="1">
        <f t="array" ref="AB80">BS_Greek("CALL","VEGA",$Q80,$B$1,$B$2,$R$3,AB$6)</f>
        <v>0.51813885189910802</v>
      </c>
      <c r="AC80" s="14" cm="1">
        <f t="array" ref="AC80">BS_Greek("CALL","VEGA",$Q80,$B$1,$B$2,$R$3,AC$6)</f>
        <v>0.65345582257987478</v>
      </c>
      <c r="AD80" s="14" cm="1">
        <f t="array" ref="AD80">BS_Greek("CALL","VEGA",$Q80,$B$1,$B$2,$R$3,AD$6)</f>
        <v>0.75927402432728752</v>
      </c>
      <c r="AE80" s="23" cm="1">
        <f t="array" ref="AE80">BS_Greek("CALL","VEGA",$Q80,$B$1,$B$2,$R$3,AE$6)</f>
        <v>0.84637317449963989</v>
      </c>
      <c r="AF80" s="5"/>
      <c r="AG80" s="12">
        <v>125</v>
      </c>
      <c r="AH80" s="22" cm="1">
        <f t="array" ref="AH80">BS_Greek("CALL","VEGA",$AG80,$B$1,$B$2,$AH$3,AH$66)</f>
        <v>1.735978122671637E-12</v>
      </c>
      <c r="AI80" s="14" cm="1">
        <f t="array" ref="AI80">BS_Greek("CALL","VEGA",$AG80,$B$1,$B$2,$AH$3,AI$66)</f>
        <v>6.2485864027086943E-7</v>
      </c>
      <c r="AJ80" s="14" cm="1">
        <f t="array" ref="AJ80">BS_Greek("CALL","VEGA",$AG80,$B$1,$B$2,$AH$3,AJ$66)</f>
        <v>4.8462877771001518E-5</v>
      </c>
      <c r="AK80" s="14" cm="1">
        <f t="array" ref="AK80">BS_Greek("CALL","VEGA",$AG80,$B$1,$B$2,$AH$3,AK$66)</f>
        <v>4.4506677252410988E-4</v>
      </c>
      <c r="AL80" s="14" cm="1">
        <f t="array" ref="AL80">BS_Greek("CALL","VEGA",$AG80,$B$1,$B$2,$AH$3,AL$66)</f>
        <v>1.7258883967674482E-3</v>
      </c>
      <c r="AM80" s="14" cm="1">
        <f t="array" ref="AM80">BS_Greek("CALL","VEGA",$AG80,$B$1,$B$2,$AH$3,AM$66)</f>
        <v>4.3304080862080164E-3</v>
      </c>
      <c r="AN80" s="14" cm="1">
        <f t="array" ref="AN80">BS_Greek("CALL","VEGA",$AG80,$B$1,$B$2,$AH$3,AN$66)</f>
        <v>8.4518593867206771E-3</v>
      </c>
      <c r="AO80" s="14" cm="1">
        <f t="array" ref="AO80">BS_Greek("CALL","VEGA",$AG80,$B$1,$B$2,$AH$3,AO$66)</f>
        <v>1.4077924238848249E-2</v>
      </c>
      <c r="AP80" s="14" cm="1">
        <f t="array" ref="AP80">BS_Greek("CALL","VEGA",$AG80,$B$1,$B$2,$AH$3,AP$66)</f>
        <v>2.1076516585977947E-2</v>
      </c>
      <c r="AQ80" s="14" cm="1">
        <f t="array" ref="AQ80">BS_Greek("CALL","VEGA",$AG80,$B$1,$B$2,$AH$3,AQ$66)</f>
        <v>2.9263550912716776E-2</v>
      </c>
      <c r="AR80" s="14" cm="1">
        <f t="array" ref="AR80">BS_Greek("CALL","VEGA",$AG80,$B$1,$B$2,$AH$3,AR$66)</f>
        <v>0.14209451688873281</v>
      </c>
      <c r="AS80" s="14" cm="1">
        <f t="array" ref="AS80">BS_Greek("CALL","VEGA",$AG80,$B$1,$B$2,$AH$3,AS$66)</f>
        <v>0.26058185632494107</v>
      </c>
      <c r="AT80" s="14" cm="1">
        <f t="array" ref="AT80">BS_Greek("CALL","VEGA",$AG80,$B$1,$B$2,$AH$3,AT$66)</f>
        <v>0.36612657044838831</v>
      </c>
      <c r="AU80" s="23" cm="1">
        <f t="array" ref="AU80">BS_Greek("CALL","VEGA",$AG80,$B$1,$B$2,$AH$3,AU$66)</f>
        <v>0.45841893964826835</v>
      </c>
    </row>
    <row r="81" spans="1:54" x14ac:dyDescent="0.2">
      <c r="A81" s="12">
        <v>130</v>
      </c>
      <c r="B81" s="22" cm="1">
        <f t="array" ref="B81">BS_Greek("CALL","VEGA",$A81,$B$1,$B$2,$B$3,B$6)</f>
        <v>2.4664615253611665E-5</v>
      </c>
      <c r="C81" s="14" cm="1">
        <f t="array" ref="C81">BS_Greek("CALL","VEGA",$A81,$B$1,$B$2,$B$3,C$6)</f>
        <v>2.5734589818730601E-3</v>
      </c>
      <c r="D81" s="14" cm="1">
        <f t="array" ref="D81">BS_Greek("CALL","VEGA",$A81,$B$1,$B$2,$B$3,D$6)</f>
        <v>1.3209299733984305E-2</v>
      </c>
      <c r="E81" s="14" cm="1">
        <f t="array" ref="E81">BS_Greek("CALL","VEGA",$A81,$B$1,$B$2,$B$3,E$6)</f>
        <v>3.1207812645797247E-2</v>
      </c>
      <c r="F81" s="14" cm="1">
        <f t="array" ref="F81">BS_Greek("CALL","VEGA",$A81,$B$1,$B$2,$B$3,F$6)</f>
        <v>5.3588475727461456E-2</v>
      </c>
      <c r="G81" s="14" cm="1">
        <f t="array" ref="G81">BS_Greek("CALL","VEGA",$A81,$B$1,$B$2,$B$3,G$6)</f>
        <v>7.8115019427058494E-2</v>
      </c>
      <c r="H81" s="14" cm="1">
        <f t="array" ref="H81">BS_Greek("CALL","VEGA",$A81,$B$1,$B$2,$B$3,H$6)</f>
        <v>0.1034407289521341</v>
      </c>
      <c r="I81" s="14" cm="1">
        <f t="array" ref="I81">BS_Greek("CALL","VEGA",$A81,$B$1,$B$2,$B$3,I$6)</f>
        <v>0.12880363658795951</v>
      </c>
      <c r="J81" s="14" cm="1">
        <f t="array" ref="J81">BS_Greek("CALL","VEGA",$A81,$B$1,$B$2,$B$3,J$6)</f>
        <v>0.15378580943041786</v>
      </c>
      <c r="K81" s="14" cm="1">
        <f t="array" ref="K81">BS_Greek("CALL","VEGA",$A81,$B$1,$B$2,$B$3,K$6)</f>
        <v>0.17816680549913186</v>
      </c>
      <c r="L81" s="14" cm="1">
        <f t="array" ref="L81">BS_Greek("CALL","VEGA",$A81,$B$1,$B$2,$B$3,L$6)</f>
        <v>0.38308718744736653</v>
      </c>
      <c r="M81" s="14" cm="1">
        <f t="array" ref="M81">BS_Greek("CALL","VEGA",$A81,$B$1,$B$2,$B$3,M$6)</f>
        <v>0.53547351271025079</v>
      </c>
      <c r="N81" s="14" cm="1">
        <f t="array" ref="N81">BS_Greek("CALL","VEGA",$A81,$B$1,$B$2,$B$3,N$6)</f>
        <v>0.65684337427013217</v>
      </c>
      <c r="O81" s="23" cm="1">
        <f t="array" ref="O81">BS_Greek("CALL","VEGA",$A81,$B$1,$B$2,$B$3,O$6)</f>
        <v>0.75808024938338048</v>
      </c>
      <c r="P81" s="5"/>
      <c r="Q81" s="12">
        <v>130</v>
      </c>
      <c r="R81" s="22" cm="1">
        <f t="array" ref="R81">BS_Greek("CALL","VEGA",$Q81,$B$1,$B$2,$R$3,R$6)</f>
        <v>3.0456280025937242E-3</v>
      </c>
      <c r="S81" s="14" cm="1">
        <f t="array" ref="S81">BS_Greek("CALL","VEGA",$Q81,$B$1,$B$2,$R$3,S$6)</f>
        <v>2.9098414567491456E-2</v>
      </c>
      <c r="T81" s="14" cm="1">
        <f t="array" ref="T81">BS_Greek("CALL","VEGA",$Q81,$B$1,$B$2,$R$3,T$6)</f>
        <v>6.7295735384344496E-2</v>
      </c>
      <c r="U81" s="14" cm="1">
        <f t="array" ref="U81">BS_Greek("CALL","VEGA",$Q81,$B$1,$B$2,$R$3,U$6)</f>
        <v>0.10669112068562889</v>
      </c>
      <c r="V81" s="14" cm="1">
        <f t="array" ref="V81">BS_Greek("CALL","VEGA",$Q81,$B$1,$B$2,$R$3,V$6)</f>
        <v>0.1441763943815362</v>
      </c>
      <c r="W81" s="14" cm="1">
        <f t="array" ref="W81">BS_Greek("CALL","VEGA",$Q81,$B$1,$B$2,$R$3,W$6)</f>
        <v>0.17910817795815684</v>
      </c>
      <c r="X81" s="14" cm="1">
        <f t="array" ref="X81">BS_Greek("CALL","VEGA",$Q81,$B$1,$B$2,$R$3,X$6)</f>
        <v>0.21154470571896186</v>
      </c>
      <c r="Y81" s="14" cm="1">
        <f t="array" ref="Y81">BS_Greek("CALL","VEGA",$Q81,$B$1,$B$2,$R$3,Y$6)</f>
        <v>0.24172728981926178</v>
      </c>
      <c r="Z81" s="14" cm="1">
        <f t="array" ref="Z81">BS_Greek("CALL","VEGA",$Q81,$B$1,$B$2,$R$3,Z$6)</f>
        <v>0.26992241961759356</v>
      </c>
      <c r="AA81" s="14" cm="1">
        <f t="array" ref="AA81">BS_Greek("CALL","VEGA",$Q81,$B$1,$B$2,$R$3,AA$6)</f>
        <v>0.29637484768584299</v>
      </c>
      <c r="AB81" s="14" cm="1">
        <f t="array" ref="AB81">BS_Greek("CALL","VEGA",$Q81,$B$1,$B$2,$R$3,AB$6)</f>
        <v>0.49899766616306857</v>
      </c>
      <c r="AC81" s="14" cm="1">
        <f t="array" ref="AC81">BS_Greek("CALL","VEGA",$Q81,$B$1,$B$2,$R$3,AC$6)</f>
        <v>0.64050987256156366</v>
      </c>
      <c r="AD81" s="14" cm="1">
        <f t="array" ref="AD81">BS_Greek("CALL","VEGA",$Q81,$B$1,$B$2,$R$3,AD$6)</f>
        <v>0.7508216007760149</v>
      </c>
      <c r="AE81" s="23" cm="1">
        <f t="array" ref="AE81">BS_Greek("CALL","VEGA",$Q81,$B$1,$B$2,$R$3,AE$6)</f>
        <v>0.84138986871529842</v>
      </c>
      <c r="AF81" s="5"/>
      <c r="AG81" s="12">
        <v>130</v>
      </c>
      <c r="AH81" s="22" cm="1">
        <f t="array" ref="AH81">BS_Greek("CALL","VEGA",$AG81,$B$1,$B$2,$AH$3,AH$66)</f>
        <v>1.2477221902307327E-16</v>
      </c>
      <c r="AI81" s="14" cm="1">
        <f t="array" ref="AI81">BS_Greek("CALL","VEGA",$AG81,$B$1,$B$2,$AH$3,AI$66)</f>
        <v>5.2457823818334002E-9</v>
      </c>
      <c r="AJ81" s="14" cm="1">
        <f t="array" ref="AJ81">BS_Greek("CALL","VEGA",$AG81,$B$1,$B$2,$AH$3,AJ$66)</f>
        <v>1.9887917206308637E-6</v>
      </c>
      <c r="AK81" s="14" cm="1">
        <f t="array" ref="AK81">BS_Greek("CALL","VEGA",$AG81,$B$1,$B$2,$AH$3,AK$66)</f>
        <v>4.038137314557552E-5</v>
      </c>
      <c r="AL81" s="14" cm="1">
        <f t="array" ref="AL81">BS_Greek("CALL","VEGA",$AG81,$B$1,$B$2,$AH$3,AL$66)</f>
        <v>2.5206590353609034E-4</v>
      </c>
      <c r="AM81" s="14" cm="1">
        <f t="array" ref="AM81">BS_Greek("CALL","VEGA",$AG81,$B$1,$B$2,$AH$3,AM$66)</f>
        <v>8.6868143918896563E-4</v>
      </c>
      <c r="AN81" s="14" cm="1">
        <f t="array" ref="AN81">BS_Greek("CALL","VEGA",$AG81,$B$1,$B$2,$AH$3,AN$66)</f>
        <v>2.1268370180966027E-3</v>
      </c>
      <c r="AO81" s="14" cm="1">
        <f t="array" ref="AO81">BS_Greek("CALL","VEGA",$AG81,$B$1,$B$2,$AH$3,AO$66)</f>
        <v>4.1991195969349748E-3</v>
      </c>
      <c r="AP81" s="14" cm="1">
        <f t="array" ref="AP81">BS_Greek("CALL","VEGA",$AG81,$B$1,$B$2,$AH$3,AP$66)</f>
        <v>7.1754270940931385E-3</v>
      </c>
      <c r="AQ81" s="14" cm="1">
        <f t="array" ref="AQ81">BS_Greek("CALL","VEGA",$AG81,$B$1,$B$2,$AH$3,AQ$66)</f>
        <v>1.1074379087941755E-2</v>
      </c>
      <c r="AR81" s="14" cm="1">
        <f t="array" ref="AR81">BS_Greek("CALL","VEGA",$AG81,$B$1,$B$2,$AH$3,AR$66)</f>
        <v>8.6559585117731042E-2</v>
      </c>
      <c r="AS81" s="14" cm="1">
        <f t="array" ref="AS81">BS_Greek("CALL","VEGA",$AG81,$B$1,$B$2,$AH$3,AS$66)</f>
        <v>0.18603608061799032</v>
      </c>
      <c r="AT81" s="14" cm="1">
        <f t="array" ref="AT81">BS_Greek("CALL","VEGA",$AG81,$B$1,$B$2,$AH$3,AT$66)</f>
        <v>0.28297093897443343</v>
      </c>
      <c r="AU81" s="23" cm="1">
        <f t="array" ref="AU81">BS_Greek("CALL","VEGA",$AG81,$B$1,$B$2,$AH$3,AU$66)</f>
        <v>0.37157602890379687</v>
      </c>
    </row>
    <row r="82" spans="1:54" x14ac:dyDescent="0.2">
      <c r="A82" s="12">
        <v>135</v>
      </c>
      <c r="B82" s="22" cm="1">
        <f t="array" ref="B82">BS_Greek("CALL","VEGA",$A82,$B$1,$B$2,$B$3,B$6)</f>
        <v>1.7530109023145037E-6</v>
      </c>
      <c r="C82" s="14" cm="1">
        <f t="array" ref="C82">BS_Greek("CALL","VEGA",$A82,$B$1,$B$2,$B$3,C$6)</f>
        <v>6.89320490541164E-4</v>
      </c>
      <c r="D82" s="14" cm="1">
        <f t="array" ref="D82">BS_Greek("CALL","VEGA",$A82,$B$1,$B$2,$B$3,D$6)</f>
        <v>5.5061531676659147E-3</v>
      </c>
      <c r="E82" s="14" cm="1">
        <f t="array" ref="E82">BS_Greek("CALL","VEGA",$A82,$B$1,$B$2,$B$3,E$6)</f>
        <v>1.6227966445448341E-2</v>
      </c>
      <c r="F82" s="14" cm="1">
        <f t="array" ref="F82">BS_Greek("CALL","VEGA",$A82,$B$1,$B$2,$B$3,F$6)</f>
        <v>3.1819367439192565E-2</v>
      </c>
      <c r="G82" s="14" cm="1">
        <f t="array" ref="G82">BS_Greek("CALL","VEGA",$A82,$B$1,$B$2,$B$3,G$6)</f>
        <v>5.0671947233936789E-2</v>
      </c>
      <c r="H82" s="14" cm="1">
        <f t="array" ref="H82">BS_Greek("CALL","VEGA",$A82,$B$1,$B$2,$B$3,H$6)</f>
        <v>7.1476357882319846E-2</v>
      </c>
      <c r="I82" s="14" cm="1">
        <f t="array" ref="I82">BS_Greek("CALL","VEGA",$A82,$B$1,$B$2,$B$3,I$6)</f>
        <v>9.3320554875542944E-2</v>
      </c>
      <c r="J82" s="14" cm="1">
        <f t="array" ref="J82">BS_Greek("CALL","VEGA",$A82,$B$1,$B$2,$B$3,J$6)</f>
        <v>0.11560345928134989</v>
      </c>
      <c r="K82" s="14" cm="1">
        <f t="array" ref="K82">BS_Greek("CALL","VEGA",$A82,$B$1,$B$2,$B$3,K$6)</f>
        <v>0.13793855243276576</v>
      </c>
      <c r="L82" s="14" cm="1">
        <f t="array" ref="L82">BS_Greek("CALL","VEGA",$A82,$B$1,$B$2,$B$3,L$6)</f>
        <v>0.33866932678137174</v>
      </c>
      <c r="M82" s="14" cm="1">
        <f t="array" ref="M82">BS_Greek("CALL","VEGA",$A82,$B$1,$B$2,$B$3,M$6)</f>
        <v>0.4947920194343377</v>
      </c>
      <c r="N82" s="14" cm="1">
        <f t="array" ref="N82">BS_Greek("CALL","VEGA",$A82,$B$1,$B$2,$B$3,N$6)</f>
        <v>0.62051137062691952</v>
      </c>
      <c r="O82" s="23" cm="1">
        <f t="array" ref="O82">BS_Greek("CALL","VEGA",$A82,$B$1,$B$2,$B$3,O$6)</f>
        <v>0.72571322803396554</v>
      </c>
      <c r="P82" s="5"/>
      <c r="Q82" s="12">
        <v>135</v>
      </c>
      <c r="R82" s="22" cm="1">
        <f t="array" ref="R82">BS_Greek("CALL","VEGA",$Q82,$B$1,$B$2,$R$3,R$6)</f>
        <v>9.503394546450289E-4</v>
      </c>
      <c r="S82" s="14" cm="1">
        <f t="array" ref="S82">BS_Greek("CALL","VEGA",$Q82,$B$1,$B$2,$R$3,S$6)</f>
        <v>1.6374094930515438E-2</v>
      </c>
      <c r="T82" s="14" cm="1">
        <f t="array" ref="T82">BS_Greek("CALL","VEGA",$Q82,$B$1,$B$2,$R$3,T$6)</f>
        <v>4.6093272696781741E-2</v>
      </c>
      <c r="U82" s="14" cm="1">
        <f t="array" ref="U82">BS_Greek("CALL","VEGA",$Q82,$B$1,$B$2,$R$3,U$6)</f>
        <v>8.062306246902104E-2</v>
      </c>
      <c r="V82" s="14" cm="1">
        <f t="array" ref="V82">BS_Greek("CALL","VEGA",$Q82,$B$1,$B$2,$R$3,V$6)</f>
        <v>0.11556698455080512</v>
      </c>
      <c r="W82" s="14" cm="1">
        <f t="array" ref="W82">BS_Greek("CALL","VEGA",$Q82,$B$1,$B$2,$R$3,W$6)</f>
        <v>0.14932325285649342</v>
      </c>
      <c r="X82" s="14" cm="1">
        <f t="array" ref="X82">BS_Greek("CALL","VEGA",$Q82,$B$1,$B$2,$R$3,X$6)</f>
        <v>0.18138808755412683</v>
      </c>
      <c r="Y82" s="14" cm="1">
        <f t="array" ref="Y82">BS_Greek("CALL","VEGA",$Q82,$B$1,$B$2,$R$3,Y$6)</f>
        <v>0.21167921445105367</v>
      </c>
      <c r="Z82" s="14" cm="1">
        <f t="array" ref="Z82">BS_Greek("CALL","VEGA",$Q82,$B$1,$B$2,$R$3,Z$6)</f>
        <v>0.24027301202528753</v>
      </c>
      <c r="AA82" s="14" cm="1">
        <f t="array" ref="AA82">BS_Greek("CALL","VEGA",$Q82,$B$1,$B$2,$R$3,AA$6)</f>
        <v>0.26729952054680561</v>
      </c>
      <c r="AB82" s="14" cm="1">
        <f t="array" ref="AB82">BS_Greek("CALL","VEGA",$Q82,$B$1,$B$2,$R$3,AB$6)</f>
        <v>0.47737971160509768</v>
      </c>
      <c r="AC82" s="14" cm="1">
        <f t="array" ref="AC82">BS_Greek("CALL","VEGA",$Q82,$B$1,$B$2,$R$3,AC$6)</f>
        <v>0.6249243886103204</v>
      </c>
      <c r="AD82" s="14" cm="1">
        <f t="array" ref="AD82">BS_Greek("CALL","VEGA",$Q82,$B$1,$B$2,$R$3,AD$6)</f>
        <v>0.73978667680739463</v>
      </c>
      <c r="AE82" s="23" cm="1">
        <f t="array" ref="AE82">BS_Greek("CALL","VEGA",$Q82,$B$1,$B$2,$R$3,AE$6)</f>
        <v>0.83392671372802984</v>
      </c>
      <c r="AF82" s="5"/>
      <c r="AG82" s="12">
        <v>135</v>
      </c>
      <c r="AH82" s="22" cm="1">
        <f t="array" ref="AH82">BS_Greek("CALL","VEGA",$AG82,$B$1,$B$2,$AH$3,AH$66)</f>
        <v>3.0086617304103602E-21</v>
      </c>
      <c r="AI82" s="14" cm="1">
        <f t="array" ref="AI82">BS_Greek("CALL","VEGA",$AG82,$B$1,$B$2,$AH$3,AI$66)</f>
        <v>2.551763362376573E-11</v>
      </c>
      <c r="AJ82" s="14" cm="1">
        <f t="array" ref="AJ82">BS_Greek("CALL","VEGA",$AG82,$B$1,$B$2,$AH$3,AJ$66)</f>
        <v>5.6738474150032412E-8</v>
      </c>
      <c r="AK82" s="14" cm="1">
        <f t="array" ref="AK82">BS_Greek("CALL","VEGA",$AG82,$B$1,$B$2,$AH$3,AK$66)</f>
        <v>2.7899636340967845E-6</v>
      </c>
      <c r="AL82" s="14" cm="1">
        <f t="array" ref="AL82">BS_Greek("CALL","VEGA",$AG82,$B$1,$B$2,$AH$3,AL$66)</f>
        <v>2.9607997104108362E-5</v>
      </c>
      <c r="AM82" s="14" cm="1">
        <f t="array" ref="AM82">BS_Greek("CALL","VEGA",$AG82,$B$1,$B$2,$AH$3,AM$66)</f>
        <v>1.4534734818581386E-4</v>
      </c>
      <c r="AN82" s="14" cm="1">
        <f t="array" ref="AN82">BS_Greek("CALL","VEGA",$AG82,$B$1,$B$2,$AH$3,AN$66)</f>
        <v>4.5817559828766936E-4</v>
      </c>
      <c r="AO82" s="14" cm="1">
        <f t="array" ref="AO82">BS_Greek("CALL","VEGA",$AG82,$B$1,$B$2,$AH$3,AO$66)</f>
        <v>1.0933755800638381E-3</v>
      </c>
      <c r="AP82" s="14" cm="1">
        <f t="array" ref="AP82">BS_Greek("CALL","VEGA",$AG82,$B$1,$B$2,$AH$3,AP$66)</f>
        <v>2.1651121661498728E-3</v>
      </c>
      <c r="AQ82" s="14" cm="1">
        <f t="array" ref="AQ82">BS_Greek("CALL","VEGA",$AG82,$B$1,$B$2,$AH$3,AQ$66)</f>
        <v>3.7598389688949102E-3</v>
      </c>
      <c r="AR82" s="14" cm="1">
        <f t="array" ref="AR82">BS_Greek("CALL","VEGA",$AG82,$B$1,$B$2,$AH$3,AR$66)</f>
        <v>4.9962307922047977E-2</v>
      </c>
      <c r="AS82" s="14" cm="1">
        <f t="array" ref="AS82">BS_Greek("CALL","VEGA",$AG82,$B$1,$B$2,$AH$3,AS$66)</f>
        <v>0.12815935968047903</v>
      </c>
      <c r="AT82" s="14" cm="1">
        <f t="array" ref="AT82">BS_Greek("CALL","VEGA",$AG82,$B$1,$B$2,$AH$3,AT$66)</f>
        <v>0.21296483325512208</v>
      </c>
      <c r="AU82" s="23" cm="1">
        <f t="array" ref="AU82">BS_Greek("CALL","VEGA",$AG82,$B$1,$B$2,$AH$3,AU$66)</f>
        <v>0.29489098382107909</v>
      </c>
    </row>
    <row r="83" spans="1:54" x14ac:dyDescent="0.2">
      <c r="A83" s="12">
        <v>140</v>
      </c>
      <c r="B83" s="24" cm="1">
        <f t="array" ref="B83">BS_Greek("CALL","VEGA",$A83,$B$1,$B$2,$B$3,B$6)</f>
        <v>9.7937749170318661E-8</v>
      </c>
      <c r="C83" s="25" cm="1">
        <f t="array" ref="C83">BS_Greek("CALL","VEGA",$A83,$B$1,$B$2,$B$3,C$6)</f>
        <v>1.6367344465552193E-4</v>
      </c>
      <c r="D83" s="25" cm="1">
        <f t="array" ref="D83">BS_Greek("CALL","VEGA",$A83,$B$1,$B$2,$B$3,D$6)</f>
        <v>2.1177230646577411E-3</v>
      </c>
      <c r="E83" s="25" cm="1">
        <f t="array" ref="E83">BS_Greek("CALL","VEGA",$A83,$B$1,$B$2,$B$3,E$6)</f>
        <v>7.9435914841497826E-3</v>
      </c>
      <c r="F83" s="25" cm="1">
        <f t="array" ref="F83">BS_Greek("CALL","VEGA",$A83,$B$1,$B$2,$B$3,F$6)</f>
        <v>1.8000455519786449E-2</v>
      </c>
      <c r="G83" s="25" cm="1">
        <f t="array" ref="G83">BS_Greek("CALL","VEGA",$A83,$B$1,$B$2,$B$3,G$6)</f>
        <v>3.1568381504252202E-2</v>
      </c>
      <c r="H83" s="25" cm="1">
        <f t="array" ref="H83">BS_Greek("CALL","VEGA",$A83,$B$1,$B$2,$B$3,H$6)</f>
        <v>4.7705729750376957E-2</v>
      </c>
      <c r="I83" s="25" cm="1">
        <f t="array" ref="I83">BS_Greek("CALL","VEGA",$A83,$B$1,$B$2,$B$3,I$6)</f>
        <v>6.5588544899120943E-2</v>
      </c>
      <c r="J83" s="25" cm="1">
        <f t="array" ref="J83">BS_Greek("CALL","VEGA",$A83,$B$1,$B$2,$B$3,J$6)</f>
        <v>8.4581782621465387E-2</v>
      </c>
      <c r="K83" s="25" cm="1">
        <f t="array" ref="K83">BS_Greek("CALL","VEGA",$A83,$B$1,$B$2,$B$3,K$6)</f>
        <v>0.10422116521119737</v>
      </c>
      <c r="L83" s="25" cm="1">
        <f t="array" ref="L83">BS_Greek("CALL","VEGA",$A83,$B$1,$B$2,$B$3,L$6)</f>
        <v>0.29572311895113684</v>
      </c>
      <c r="M83" s="25" cm="1">
        <f t="array" ref="M83">BS_Greek("CALL","VEGA",$A83,$B$1,$B$2,$B$3,M$6)</f>
        <v>0.45339683503257278</v>
      </c>
      <c r="N83" s="25" cm="1">
        <f t="array" ref="N83">BS_Greek("CALL","VEGA",$A83,$B$1,$B$2,$B$3,N$6)</f>
        <v>0.58247693709726123</v>
      </c>
      <c r="O83" s="26" cm="1">
        <f t="array" ref="O83">BS_Greek("CALL","VEGA",$A83,$B$1,$B$2,$B$3,O$6)</f>
        <v>0.69115896371880392</v>
      </c>
      <c r="P83" s="5"/>
      <c r="Q83" s="12">
        <v>140</v>
      </c>
      <c r="R83" s="24" cm="1">
        <f t="array" ref="R83">BS_Greek("CALL","VEGA",$Q83,$B$1,$B$2,$R$3,R$6)</f>
        <v>2.6634878733576296E-4</v>
      </c>
      <c r="S83" s="25" cm="1">
        <f t="array" ref="S83">BS_Greek("CALL","VEGA",$Q83,$B$1,$B$2,$R$3,S$6)</f>
        <v>8.7300030082944954E-3</v>
      </c>
      <c r="T83" s="25" cm="1">
        <f t="array" ref="T83">BS_Greek("CALL","VEGA",$Q83,$B$1,$B$2,$R$3,T$6)</f>
        <v>3.0450166811718984E-2</v>
      </c>
      <c r="U83" s="25" cm="1">
        <f t="array" ref="U83">BS_Greek("CALL","VEGA",$Q83,$B$1,$B$2,$R$3,U$6)</f>
        <v>5.9286927376384885E-2</v>
      </c>
      <c r="V83" s="25" cm="1">
        <f t="array" ref="V83">BS_Greek("CALL","VEGA",$Q83,$B$1,$B$2,$R$3,V$6)</f>
        <v>9.0627906162675978E-2</v>
      </c>
      <c r="W83" s="25" cm="1">
        <f t="array" ref="W83">BS_Greek("CALL","VEGA",$Q83,$B$1,$B$2,$R$3,W$6)</f>
        <v>0.12222910034137176</v>
      </c>
      <c r="X83" s="25" cm="1">
        <f t="array" ref="X83">BS_Greek("CALL","VEGA",$Q83,$B$1,$B$2,$R$3,X$6)</f>
        <v>0.15309296235130823</v>
      </c>
      <c r="Y83" s="25" cm="1">
        <f t="array" ref="Y83">BS_Greek("CALL","VEGA",$Q83,$B$1,$B$2,$R$3,Y$6)</f>
        <v>0.18280966330758439</v>
      </c>
      <c r="Z83" s="25" cm="1">
        <f t="array" ref="Z83">BS_Greek("CALL","VEGA",$Q83,$B$1,$B$2,$R$3,Z$6)</f>
        <v>0.21124373927845524</v>
      </c>
      <c r="AA83" s="25" cm="1">
        <f t="array" ref="AA83">BS_Greek("CALL","VEGA",$Q83,$B$1,$B$2,$R$3,AA$6)</f>
        <v>0.23838743989858863</v>
      </c>
      <c r="AB83" s="25" cm="1">
        <f t="array" ref="AB83">BS_Greek("CALL","VEGA",$Q83,$B$1,$B$2,$R$3,AB$6)</f>
        <v>0.45402279742050033</v>
      </c>
      <c r="AC83" s="25" cm="1">
        <f t="array" ref="AC83">BS_Greek("CALL","VEGA",$Q83,$B$1,$B$2,$R$3,AC$6)</f>
        <v>0.60722645003921238</v>
      </c>
      <c r="AD83" s="25" cm="1">
        <f t="array" ref="AD83">BS_Greek("CALL","VEGA",$Q83,$B$1,$B$2,$R$3,AD$6)</f>
        <v>0.72658171509209224</v>
      </c>
      <c r="AE83" s="26" cm="1">
        <f t="array" ref="AE83">BS_Greek("CALL","VEGA",$Q83,$B$1,$B$2,$R$3,AE$6)</f>
        <v>0.8243254267575959</v>
      </c>
      <c r="AF83" s="5"/>
      <c r="AG83" s="12">
        <v>140</v>
      </c>
      <c r="AH83" s="24" cm="1">
        <f t="array" ref="AH83">BS_Greek("CALL","VEGA",$AG83,$B$1,$B$2,$AH$3,AH$66)</f>
        <v>2.7755174863825503E-26</v>
      </c>
      <c r="AI83" s="25" cm="1">
        <f t="array" ref="AI83">BS_Greek("CALL","VEGA",$AG83,$B$1,$B$2,$AH$3,AI$66)</f>
        <v>7.6802814218934886E-14</v>
      </c>
      <c r="AJ83" s="25" cm="1">
        <f t="array" ref="AJ83">BS_Greek("CALL","VEGA",$AG83,$B$1,$B$2,$AH$3,AJ$66)</f>
        <v>1.1756275778131189E-9</v>
      </c>
      <c r="AK83" s="25" cm="1">
        <f t="array" ref="AK83">BS_Greek("CALL","VEGA",$AG83,$B$1,$B$2,$AH$3,AK$66)</f>
        <v>1.5167651578010652E-7</v>
      </c>
      <c r="AL83" s="25" cm="1">
        <f t="array" ref="AL83">BS_Greek("CALL","VEGA",$AG83,$B$1,$B$2,$AH$3,AL$66)</f>
        <v>2.8713454403848715E-6</v>
      </c>
      <c r="AM83" s="25" cm="1">
        <f t="array" ref="AM83">BS_Greek("CALL","VEGA",$AG83,$B$1,$B$2,$AH$3,AM$66)</f>
        <v>2.0732639788992961E-5</v>
      </c>
      <c r="AN83" s="25" cm="1">
        <f t="array" ref="AN83">BS_Greek("CALL","VEGA",$AG83,$B$1,$B$2,$AH$3,AN$66)</f>
        <v>8.6094036586961629E-5</v>
      </c>
      <c r="AO83" s="25" cm="1">
        <f t="array" ref="AO83">BS_Greek("CALL","VEGA",$AG83,$B$1,$B$2,$AH$3,AO$66)</f>
        <v>2.5262754622349385E-4</v>
      </c>
      <c r="AP83" s="25" cm="1">
        <f t="array" ref="AP83">BS_Greek("CALL","VEGA",$AG83,$B$1,$B$2,$AH$3,AP$66)</f>
        <v>5.8750695962988023E-4</v>
      </c>
      <c r="AQ83" s="25" cm="1">
        <f t="array" ref="AQ83">BS_Greek("CALL","VEGA",$AG83,$B$1,$B$2,$AH$3,AQ$66)</f>
        <v>1.1602695242521599E-3</v>
      </c>
      <c r="AR83" s="25" cm="1">
        <f t="array" ref="AR83">BS_Greek("CALL","VEGA",$AG83,$B$1,$B$2,$AH$3,AR$66)</f>
        <v>2.7503549451983311E-2</v>
      </c>
      <c r="AS83" s="25" cm="1">
        <f t="array" ref="AS83">BS_Greek("CALL","VEGA",$AG83,$B$1,$B$2,$AH$3,AS$66)</f>
        <v>8.5562234911034263E-2</v>
      </c>
      <c r="AT83" s="25" cm="1">
        <f t="array" ref="AT83">BS_Greek("CALL","VEGA",$AG83,$B$1,$B$2,$AH$3,AT$66)</f>
        <v>0.15657861761389583</v>
      </c>
      <c r="AU83" s="26" cm="1">
        <f t="array" ref="AU83">BS_Greek("CALL","VEGA",$AG83,$B$1,$B$2,$AH$3,AU$66)</f>
        <v>0.22973211747964487</v>
      </c>
    </row>
    <row r="85" spans="1:54" x14ac:dyDescent="0.2">
      <c r="A85" s="107" t="s">
        <v>12</v>
      </c>
      <c r="B85" s="107"/>
      <c r="C85" s="107"/>
      <c r="D85" s="107"/>
      <c r="E85" s="107"/>
      <c r="F85" s="107"/>
      <c r="G85" s="107"/>
      <c r="H85" s="107"/>
      <c r="I85" s="107"/>
      <c r="J85" s="107"/>
      <c r="K85" s="107"/>
      <c r="L85" s="107"/>
      <c r="M85" s="107"/>
      <c r="N85" s="107"/>
      <c r="O85" s="107"/>
      <c r="Q85" s="107" t="s">
        <v>13</v>
      </c>
      <c r="R85" s="107"/>
      <c r="S85" s="107"/>
      <c r="T85" s="107"/>
      <c r="U85" s="107"/>
      <c r="V85" s="107"/>
      <c r="W85" s="107"/>
      <c r="X85" s="107"/>
      <c r="Y85" s="107"/>
      <c r="Z85" s="107"/>
      <c r="AA85" s="107"/>
      <c r="AB85" s="107"/>
      <c r="AC85" s="107"/>
      <c r="AD85" s="107"/>
      <c r="AE85" s="107"/>
      <c r="AG85" s="107" t="s">
        <v>19</v>
      </c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R85" s="107"/>
      <c r="AS85" s="107"/>
      <c r="AT85" s="107"/>
      <c r="AU85" s="107"/>
    </row>
    <row r="86" spans="1:54" x14ac:dyDescent="0.2">
      <c r="A86" s="8"/>
      <c r="B86" s="17">
        <v>0.1</v>
      </c>
      <c r="C86" s="17">
        <v>0.2</v>
      </c>
      <c r="D86" s="17">
        <v>0.3</v>
      </c>
      <c r="E86" s="17">
        <v>0.4</v>
      </c>
      <c r="F86" s="17">
        <v>0.5</v>
      </c>
      <c r="G86" s="17">
        <v>0.6</v>
      </c>
      <c r="H86" s="17">
        <v>0.7</v>
      </c>
      <c r="I86" s="17">
        <v>0.8</v>
      </c>
      <c r="J86" s="17">
        <v>0.9</v>
      </c>
      <c r="K86" s="17">
        <v>1</v>
      </c>
      <c r="L86" s="17">
        <v>2</v>
      </c>
      <c r="M86" s="17">
        <v>3</v>
      </c>
      <c r="N86" s="17">
        <v>4</v>
      </c>
      <c r="O86" s="17">
        <v>5</v>
      </c>
      <c r="P86" s="11"/>
      <c r="Q86" s="8"/>
      <c r="R86" s="17">
        <v>0.1</v>
      </c>
      <c r="S86" s="17">
        <v>0.2</v>
      </c>
      <c r="T86" s="17">
        <v>0.3</v>
      </c>
      <c r="U86" s="17">
        <v>0.4</v>
      </c>
      <c r="V86" s="17">
        <v>0.5</v>
      </c>
      <c r="W86" s="17">
        <v>0.6</v>
      </c>
      <c r="X86" s="17">
        <v>0.7</v>
      </c>
      <c r="Y86" s="17">
        <v>0.8</v>
      </c>
      <c r="Z86" s="17">
        <v>0.9</v>
      </c>
      <c r="AA86" s="17">
        <v>1</v>
      </c>
      <c r="AB86" s="17">
        <v>2</v>
      </c>
      <c r="AC86" s="17">
        <v>3</v>
      </c>
      <c r="AD86" s="17">
        <v>4</v>
      </c>
      <c r="AE86" s="17">
        <v>5</v>
      </c>
      <c r="AF86" s="11"/>
      <c r="AG86" s="8"/>
      <c r="AH86" s="17">
        <v>0.1</v>
      </c>
      <c r="AI86" s="17">
        <v>0.2</v>
      </c>
      <c r="AJ86" s="17">
        <v>0.3</v>
      </c>
      <c r="AK86" s="17">
        <v>0.4</v>
      </c>
      <c r="AL86" s="17">
        <v>0.5</v>
      </c>
      <c r="AM86" s="17">
        <v>0.6</v>
      </c>
      <c r="AN86" s="17">
        <v>0.7</v>
      </c>
      <c r="AO86" s="17">
        <v>0.8</v>
      </c>
      <c r="AP86" s="17">
        <v>0.9</v>
      </c>
      <c r="AQ86" s="17">
        <v>1</v>
      </c>
      <c r="AR86" s="17">
        <v>2</v>
      </c>
      <c r="AS86" s="17">
        <v>3</v>
      </c>
      <c r="AT86" s="17">
        <v>4</v>
      </c>
      <c r="AU86" s="17">
        <v>5</v>
      </c>
      <c r="AV86" s="5"/>
      <c r="AW86" s="5"/>
      <c r="AX86" s="5"/>
      <c r="AY86" s="5"/>
      <c r="AZ86" s="5"/>
      <c r="BA86" s="5"/>
      <c r="BB86" s="5"/>
    </row>
    <row r="87" spans="1:54" x14ac:dyDescent="0.2">
      <c r="A87" s="12">
        <v>60</v>
      </c>
      <c r="B87" s="19" cm="1">
        <f t="array" ref="B87">BS_Greek("CALL","RHO",$A87,$B$1,$B$2,$B$3,B$6)</f>
        <v>2.9155373317769776E-17</v>
      </c>
      <c r="C87" s="20" cm="1">
        <f t="array" ref="C87">BS_Greek("CALL","RHO",$A87,$B$1,$B$2,$B$3,C$6)</f>
        <v>9.8144996773923601E-10</v>
      </c>
      <c r="D87" s="20" cm="1">
        <f t="array" ref="D87">BS_Greek("CALL","RHO",$A87,$B$1,$B$2,$B$3,D$6)</f>
        <v>4.0745379654174122E-7</v>
      </c>
      <c r="E87" s="20" cm="1">
        <f t="array" ref="E87">BS_Greek("CALL","RHO",$A87,$B$1,$B$2,$B$3,E$6)</f>
        <v>9.3629247971002419E-6</v>
      </c>
      <c r="F87" s="20" cm="1">
        <f t="array" ref="F87">BS_Greek("CALL","RHO",$A87,$B$1,$B$2,$B$3,F$6)</f>
        <v>6.588679923516248E-5</v>
      </c>
      <c r="G87" s="20" cm="1">
        <f t="array" ref="G87">BS_Greek("CALL","RHO",$A87,$B$1,$B$2,$B$3,G$6)</f>
        <v>2.533675469040199E-4</v>
      </c>
      <c r="H87" s="20" cm="1">
        <f t="array" ref="H87">BS_Greek("CALL","RHO",$A87,$B$1,$B$2,$B$3,H$6)</f>
        <v>6.8496313647904109E-4</v>
      </c>
      <c r="I87" s="20" cm="1">
        <f t="array" ref="I87">BS_Greek("CALL","RHO",$A87,$B$1,$B$2,$B$3,I$6)</f>
        <v>1.479229983212314E-3</v>
      </c>
      <c r="J87" s="20" cm="1">
        <f t="array" ref="J87">BS_Greek("CALL","RHO",$A87,$B$1,$B$2,$B$3,J$6)</f>
        <v>2.742313900181243E-3</v>
      </c>
      <c r="K87" s="20" cm="1">
        <f t="array" ref="K87">BS_Greek("CALL","RHO",$A87,$B$1,$B$2,$B$3,K$6)</f>
        <v>4.5595912570109308E-3</v>
      </c>
      <c r="L87" s="20" cm="1">
        <f t="array" ref="L87">BS_Greek("CALL","RHO",$A87,$B$1,$B$2,$B$3,L$6)</f>
        <v>5.9353081456012938E-2</v>
      </c>
      <c r="M87" s="20" cm="1">
        <f t="array" ref="M87">BS_Greek("CALL","RHO",$A87,$B$1,$B$2,$B$3,M$6)</f>
        <v>0.17245259544138367</v>
      </c>
      <c r="N87" s="20" cm="1">
        <f t="array" ref="N87">BS_Greek("CALL","RHO",$A87,$B$1,$B$2,$B$3,N$6)</f>
        <v>0.3237715202046243</v>
      </c>
      <c r="O87" s="21" cm="1">
        <f t="array" ref="O87">BS_Greek("CALL","RHO",$A87,$B$1,$B$2,$B$3,O$6)</f>
        <v>0.4989815054427264</v>
      </c>
      <c r="P87" s="5"/>
      <c r="Q87" s="12">
        <v>60</v>
      </c>
      <c r="R87" s="19" cm="1">
        <f t="array" ref="R87">BS_Greek("CALL","RHO",$Q87,$B$1,$B$2,$R$3,R$6)</f>
        <v>2.9526232275500707E-9</v>
      </c>
      <c r="S87" s="20" cm="1">
        <f t="array" ref="S87">BS_Greek("CALL","RHO",$Q87,$B$1,$B$2,$R$3,S$6)</f>
        <v>1.1332530343148011E-5</v>
      </c>
      <c r="T87" s="20" cm="1">
        <f t="array" ref="T87">BS_Greek("CALL","RHO",$Q87,$B$1,$B$2,$R$3,T$6)</f>
        <v>2.2587447202926817E-4</v>
      </c>
      <c r="U87" s="20" cm="1">
        <f t="array" ref="U87">BS_Greek("CALL","RHO",$Q87,$B$1,$B$2,$R$3,U$6)</f>
        <v>1.1301837002767317E-3</v>
      </c>
      <c r="V87" s="20" cm="1">
        <f t="array" ref="V87">BS_Greek("CALL","RHO",$Q87,$B$1,$B$2,$R$3,V$6)</f>
        <v>3.1727274899903952E-3</v>
      </c>
      <c r="W87" s="20" cm="1">
        <f t="array" ref="W87">BS_Greek("CALL","RHO",$Q87,$B$1,$B$2,$R$3,W$6)</f>
        <v>6.5908885371946321E-3</v>
      </c>
      <c r="X87" s="20" cm="1">
        <f t="array" ref="X87">BS_Greek("CALL","RHO",$Q87,$B$1,$B$2,$R$3,X$6)</f>
        <v>1.1449306418409966E-2</v>
      </c>
      <c r="Y87" s="20" cm="1">
        <f t="array" ref="Y87">BS_Greek("CALL","RHO",$Q87,$B$1,$B$2,$R$3,Y$6)</f>
        <v>1.7711463627698015E-2</v>
      </c>
      <c r="Z87" s="20" cm="1">
        <f t="array" ref="Z87">BS_Greek("CALL","RHO",$Q87,$B$1,$B$2,$R$3,Z$6)</f>
        <v>2.5290931687880013E-2</v>
      </c>
      <c r="AA87" s="20" cm="1">
        <f t="array" ref="AA87">BS_Greek("CALL","RHO",$Q87,$B$1,$B$2,$R$3,AA$6)</f>
        <v>3.4081262074599154E-2</v>
      </c>
      <c r="AB87" s="20" cm="1">
        <f t="array" ref="AB87">BS_Greek("CALL","RHO",$Q87,$B$1,$B$2,$R$3,AB$6)</f>
        <v>0.16760740288014706</v>
      </c>
      <c r="AC87" s="20" cm="1">
        <f t="array" ref="AC87">BS_Greek("CALL","RHO",$Q87,$B$1,$B$2,$R$3,AC$6)</f>
        <v>0.34347278354932753</v>
      </c>
      <c r="AD87" s="20" cm="1">
        <f t="array" ref="AD87">BS_Greek("CALL","RHO",$Q87,$B$1,$B$2,$R$3,AD$6)</f>
        <v>0.53429576659871825</v>
      </c>
      <c r="AE87" s="21" cm="1">
        <f t="array" ref="AE87">BS_Greek("CALL","RHO",$Q87,$B$1,$B$2,$R$3,AE$6)</f>
        <v>0.72913289318308616</v>
      </c>
      <c r="AF87" s="5"/>
      <c r="AG87" s="12">
        <v>60</v>
      </c>
      <c r="AH87" s="19" cm="1">
        <f t="array" ref="AH87">BS_Greek("CALL","RHO",$AG87,$B$1,$B$2,$AH$3,AH$86)</f>
        <v>6.8997547428960883E-60</v>
      </c>
      <c r="AI87" s="20" cm="1">
        <f t="array" ref="AI87">BS_Greek("CALL","RHO",$AG87,$B$1,$B$2,$AH$3,AI$86)</f>
        <v>4.170560038365355E-31</v>
      </c>
      <c r="AJ87" s="20" cm="1">
        <f t="array" ref="AJ87">BS_Greek("CALL","RHO",$AG87,$B$1,$B$2,$AH$3,AJ$86)</f>
        <v>2.1207973599216589E-21</v>
      </c>
      <c r="AK87" s="20" cm="1">
        <f t="array" ref="AK87">BS_Greek("CALL","RHO",$AG87,$B$1,$B$2,$AH$3,AK$86)</f>
        <v>1.714665717394172E-16</v>
      </c>
      <c r="AL87" s="20" cm="1">
        <f t="array" ref="AL87">BS_Greek("CALL","RHO",$AG87,$B$1,$B$2,$AH$3,AL$86)</f>
        <v>1.6258128709111356E-13</v>
      </c>
      <c r="AM87" s="20" cm="1">
        <f t="array" ref="AM87">BS_Greek("CALL","RHO",$AG87,$B$1,$B$2,$AH$3,AM$86)</f>
        <v>1.6481813086334282E-11</v>
      </c>
      <c r="AN87" s="20" cm="1">
        <f t="array" ref="AN87">BS_Greek("CALL","RHO",$AG87,$B$1,$B$2,$AH$3,AN$86)</f>
        <v>4.6233752509654259E-10</v>
      </c>
      <c r="AO87" s="20" cm="1">
        <f t="array" ref="AO87">BS_Greek("CALL","RHO",$AG87,$B$1,$B$2,$AH$3,AO$86)</f>
        <v>5.7838836856354669E-9</v>
      </c>
      <c r="AP87" s="20" cm="1">
        <f t="array" ref="AP87">BS_Greek("CALL","RHO",$AG87,$B$1,$B$2,$AH$3,AP$86)</f>
        <v>4.2109995631038738E-8</v>
      </c>
      <c r="AQ87" s="20" cm="1">
        <f t="array" ref="AQ87">BS_Greek("CALL","RHO",$AG87,$B$1,$B$2,$AH$3,AQ$86)</f>
        <v>2.0944883154902556E-7</v>
      </c>
      <c r="AR87" s="20" cm="1">
        <f t="array" ref="AR87">BS_Greek("CALL","RHO",$AG87,$B$1,$B$2,$AH$3,AR$86)</f>
        <v>3.9017006065321998E-4</v>
      </c>
      <c r="AS87" s="20" cm="1">
        <f t="array" ref="AS87">BS_Greek("CALL","RHO",$AG87,$B$1,$B$2,$AH$3,AS$86)</f>
        <v>6.1154603756096351E-3</v>
      </c>
      <c r="AT87" s="20" cm="1">
        <f t="array" ref="AT87">BS_Greek("CALL","RHO",$AG87,$B$1,$B$2,$AH$3,AT$86)</f>
        <v>2.7137815674117115E-2</v>
      </c>
      <c r="AU87" s="21" cm="1">
        <f t="array" ref="AU87">BS_Greek("CALL","RHO",$AG87,$B$1,$B$2,$AH$3,AU$86)</f>
        <v>7.0877394865647203E-2</v>
      </c>
      <c r="AV87" s="5"/>
      <c r="AW87" s="5"/>
      <c r="AX87" s="5"/>
      <c r="AY87" s="5"/>
      <c r="AZ87" s="5"/>
      <c r="BA87" s="5"/>
      <c r="BB87" s="5"/>
    </row>
    <row r="88" spans="1:54" x14ac:dyDescent="0.2">
      <c r="A88" s="12">
        <v>65</v>
      </c>
      <c r="B88" s="22" cm="1">
        <f t="array" ref="B88">BS_Greek("CALL","RHO",$A88,$B$1,$B$2,$B$3,B$6)</f>
        <v>4.3284662987202276E-13</v>
      </c>
      <c r="C88" s="14" cm="1">
        <f t="array" ref="C88">BS_Greek("CALL","RHO",$A88,$B$1,$B$2,$B$3,C$6)</f>
        <v>1.3045620291245921E-7</v>
      </c>
      <c r="D88" s="14" cm="1">
        <f t="array" ref="D88">BS_Greek("CALL","RHO",$A88,$B$1,$B$2,$B$3,D$6)</f>
        <v>1.1214508890306986E-5</v>
      </c>
      <c r="E88" s="14" cm="1">
        <f t="array" ref="E88">BS_Greek("CALL","RHO",$A88,$B$1,$B$2,$B$3,E$6)</f>
        <v>1.1705675325644333E-4</v>
      </c>
      <c r="F88" s="14" cm="1">
        <f t="array" ref="F88">BS_Greek("CALL","RHO",$A88,$B$1,$B$2,$B$3,F$6)</f>
        <v>5.1241821470043641E-4</v>
      </c>
      <c r="G88" s="14" cm="1">
        <f t="array" ref="G88">BS_Greek("CALL","RHO",$A88,$B$1,$B$2,$B$3,G$6)</f>
        <v>1.4346745368583711E-3</v>
      </c>
      <c r="H88" s="14" cm="1">
        <f t="array" ref="H88">BS_Greek("CALL","RHO",$A88,$B$1,$B$2,$B$3,H$6)</f>
        <v>3.0898154554743779E-3</v>
      </c>
      <c r="I88" s="14" cm="1">
        <f t="array" ref="I88">BS_Greek("CALL","RHO",$A88,$B$1,$B$2,$B$3,I$6)</f>
        <v>5.6236751489784883E-3</v>
      </c>
      <c r="J88" s="14" cm="1">
        <f t="array" ref="J88">BS_Greek("CALL","RHO",$A88,$B$1,$B$2,$B$3,J$6)</f>
        <v>9.1231525678742362E-3</v>
      </c>
      <c r="K88" s="14" cm="1">
        <f t="array" ref="K88">BS_Greek("CALL","RHO",$A88,$B$1,$B$2,$B$3,K$6)</f>
        <v>1.3628210187071797E-2</v>
      </c>
      <c r="L88" s="14" cm="1">
        <f t="array" ref="L88">BS_Greek("CALL","RHO",$A88,$B$1,$B$2,$B$3,L$6)</f>
        <v>0.10879243138680189</v>
      </c>
      <c r="M88" s="14" cm="1">
        <f t="array" ref="M88">BS_Greek("CALL","RHO",$A88,$B$1,$B$2,$B$3,M$6)</f>
        <v>0.26706226544028677</v>
      </c>
      <c r="N88" s="14" cm="1">
        <f t="array" ref="N88">BS_Greek("CALL","RHO",$A88,$B$1,$B$2,$B$3,N$6)</f>
        <v>0.45966579050016665</v>
      </c>
      <c r="O88" s="23" cm="1">
        <f t="array" ref="O88">BS_Greek("CALL","RHO",$A88,$B$1,$B$2,$B$3,O$6)</f>
        <v>0.67144050131601474</v>
      </c>
      <c r="P88" s="5"/>
      <c r="Q88" s="12">
        <v>65</v>
      </c>
      <c r="R88" s="22" cm="1">
        <f t="array" ref="R88">BS_Greek("CALL","RHO",$Q88,$B$1,$B$2,$R$3,R$6)</f>
        <v>2.3477394326331545E-7</v>
      </c>
      <c r="S88" s="14" cm="1">
        <f t="array" ref="S88">BS_Greek("CALL","RHO",$Q88,$B$1,$B$2,$R$3,S$6)</f>
        <v>1.1000326823056659E-4</v>
      </c>
      <c r="T88" s="14" cm="1">
        <f t="array" ref="T88">BS_Greek("CALL","RHO",$Q88,$B$1,$B$2,$R$3,T$6)</f>
        <v>1.0828646304118206E-3</v>
      </c>
      <c r="U88" s="14" cm="1">
        <f t="array" ref="U88">BS_Greek("CALL","RHO",$Q88,$B$1,$B$2,$R$3,U$6)</f>
        <v>3.7982446397381536E-3</v>
      </c>
      <c r="V88" s="14" cm="1">
        <f t="array" ref="V88">BS_Greek("CALL","RHO",$Q88,$B$1,$B$2,$R$3,V$6)</f>
        <v>8.6022397763405953E-3</v>
      </c>
      <c r="W88" s="14" cm="1">
        <f t="array" ref="W88">BS_Greek("CALL","RHO",$Q88,$B$1,$B$2,$R$3,W$6)</f>
        <v>1.5469602201022621E-2</v>
      </c>
      <c r="X88" s="14" cm="1">
        <f t="array" ref="X88">BS_Greek("CALL","RHO",$Q88,$B$1,$B$2,$R$3,X$6)</f>
        <v>2.4222946495275677E-2</v>
      </c>
      <c r="Y88" s="14" cm="1">
        <f t="array" ref="Y88">BS_Greek("CALL","RHO",$Q88,$B$1,$B$2,$R$3,Y$6)</f>
        <v>3.4644139974960207E-2</v>
      </c>
      <c r="Z88" s="14" cm="1">
        <f t="array" ref="Z88">BS_Greek("CALL","RHO",$Q88,$B$1,$B$2,$R$3,Z$6)</f>
        <v>4.652006501990831E-2</v>
      </c>
      <c r="AA88" s="14" cm="1">
        <f t="array" ref="AA88">BS_Greek("CALL","RHO",$Q88,$B$1,$B$2,$R$3,AA$6)</f>
        <v>5.9658621895937708E-2</v>
      </c>
      <c r="AB88" s="14" cm="1">
        <f t="array" ref="AB88">BS_Greek("CALL","RHO",$Q88,$B$1,$B$2,$R$3,AB$6)</f>
        <v>0.23314848276281694</v>
      </c>
      <c r="AC88" s="14" cm="1">
        <f t="array" ref="AC88">BS_Greek("CALL","RHO",$Q88,$B$1,$B$2,$R$3,AC$6)</f>
        <v>0.44032078635685484</v>
      </c>
      <c r="AD88" s="14" cm="1">
        <f t="array" ref="AD88">BS_Greek("CALL","RHO",$Q88,$B$1,$B$2,$R$3,AD$6)</f>
        <v>0.65612241719610553</v>
      </c>
      <c r="AE88" s="23" cm="1">
        <f t="array" ref="AE88">BS_Greek("CALL","RHO",$Q88,$B$1,$B$2,$R$3,AE$6)</f>
        <v>0.87156514480259173</v>
      </c>
      <c r="AF88" s="5"/>
      <c r="AG88" s="12">
        <v>65</v>
      </c>
      <c r="AH88" s="22" cm="1">
        <f t="array" ref="AH88">BS_Greek("CALL","RHO",$AG88,$B$1,$B$2,$AH$3,AH$86)</f>
        <v>1.8240256915210586E-43</v>
      </c>
      <c r="AI88" s="14" cm="1">
        <f t="array" ref="AI88">BS_Greek("CALL","RHO",$AG88,$B$1,$B$2,$AH$3,AI$86)</f>
        <v>7.2236755311601065E-23</v>
      </c>
      <c r="AJ88" s="14" cm="1">
        <f t="array" ref="AJ88">BS_Greek("CALL","RHO",$AG88,$B$1,$B$2,$AH$3,AJ$86)</f>
        <v>6.8680684372739577E-16</v>
      </c>
      <c r="AK88" s="14" cm="1">
        <f t="array" ref="AK88">BS_Greek("CALL","RHO",$AG88,$B$1,$B$2,$AH$3,AK$86)</f>
        <v>2.3996762916801387E-12</v>
      </c>
      <c r="AL88" s="14" cm="1">
        <f t="array" ref="AL88">BS_Greek("CALL","RHO",$AG88,$B$1,$B$2,$AH$3,AL$86)</f>
        <v>3.4533346751725238E-10</v>
      </c>
      <c r="AM88" s="14" cm="1">
        <f t="array" ref="AM88">BS_Greek("CALL","RHO",$AG88,$B$1,$B$2,$AH$3,AM$86)</f>
        <v>9.9575989539410715E-9</v>
      </c>
      <c r="AN88" s="14" cm="1">
        <f t="array" ref="AN88">BS_Greek("CALL","RHO",$AG88,$B$1,$B$2,$AH$3,AN$86)</f>
        <v>1.1375608625566585E-7</v>
      </c>
      <c r="AO88" s="14" cm="1">
        <f t="array" ref="AO88">BS_Greek("CALL","RHO",$AG88,$B$1,$B$2,$AH$3,AO$86)</f>
        <v>7.2532656593866103E-7</v>
      </c>
      <c r="AP88" s="14" cm="1">
        <f t="array" ref="AP88">BS_Greek("CALL","RHO",$AG88,$B$1,$B$2,$AH$3,AP$86)</f>
        <v>3.1257694746679374E-6</v>
      </c>
      <c r="AQ88" s="14" cm="1">
        <f t="array" ref="AQ88">BS_Greek("CALL","RHO",$AG88,$B$1,$B$2,$AH$3,AQ$86)</f>
        <v>1.0218383303882987E-5</v>
      </c>
      <c r="AR88" s="14" cm="1">
        <f t="array" ref="AR88">BS_Greek("CALL","RHO",$AG88,$B$1,$B$2,$AH$3,AR$86)</f>
        <v>2.8682719393543542E-3</v>
      </c>
      <c r="AS88" s="14" cm="1">
        <f t="array" ref="AS88">BS_Greek("CALL","RHO",$AG88,$B$1,$B$2,$AH$3,AS$86)</f>
        <v>2.3831658067032864E-2</v>
      </c>
      <c r="AT88" s="14" cm="1">
        <f t="array" ref="AT88">BS_Greek("CALL","RHO",$AG88,$B$1,$B$2,$AH$3,AT$86)</f>
        <v>7.6832332776932757E-2</v>
      </c>
      <c r="AU88" s="23" cm="1">
        <f t="array" ref="AU88">BS_Greek("CALL","RHO",$AG88,$B$1,$B$2,$AH$3,AU$86)</f>
        <v>0.16543665197834301</v>
      </c>
      <c r="AV88" s="5"/>
      <c r="AW88" s="5"/>
      <c r="AX88" s="5"/>
      <c r="AY88" s="5"/>
      <c r="AZ88" s="5"/>
      <c r="BA88" s="5"/>
      <c r="BB88" s="5"/>
    </row>
    <row r="89" spans="1:54" x14ac:dyDescent="0.2">
      <c r="A89" s="12">
        <v>70</v>
      </c>
      <c r="B89" s="22" cm="1">
        <f t="array" ref="B89">BS_Greek("CALL","RHO",$A89,$B$1,$B$2,$B$3,B$6)</f>
        <v>7.7692467200589754E-10</v>
      </c>
      <c r="C89" s="14" cm="1">
        <f t="array" ref="C89">BS_Greek("CALL","RHO",$A89,$B$1,$B$2,$B$3,C$6)</f>
        <v>6.0569776566511083E-6</v>
      </c>
      <c r="D89" s="14" cm="1">
        <f t="array" ref="D89">BS_Greek("CALL","RHO",$A89,$B$1,$B$2,$B$3,D$6)</f>
        <v>1.5340110803905882E-4</v>
      </c>
      <c r="E89" s="14" cm="1">
        <f t="array" ref="E89">BS_Greek("CALL","RHO",$A89,$B$1,$B$2,$B$3,E$6)</f>
        <v>8.6710702538517648E-4</v>
      </c>
      <c r="F89" s="14" cm="1">
        <f t="array" ref="F89">BS_Greek("CALL","RHO",$A89,$B$1,$B$2,$B$3,F$6)</f>
        <v>2.6230859396038069E-3</v>
      </c>
      <c r="G89" s="14" cm="1">
        <f t="array" ref="G89">BS_Greek("CALL","RHO",$A89,$B$1,$B$2,$B$3,G$6)</f>
        <v>5.7342650040421751E-3</v>
      </c>
      <c r="H89" s="14" cm="1">
        <f t="array" ref="H89">BS_Greek("CALL","RHO",$A89,$B$1,$B$2,$B$3,H$6)</f>
        <v>1.0340638105047843E-2</v>
      </c>
      <c r="I89" s="14" cm="1">
        <f t="array" ref="I89">BS_Greek("CALL","RHO",$A89,$B$1,$B$2,$B$3,I$6)</f>
        <v>1.6463949579291828E-2</v>
      </c>
      <c r="J89" s="14" cm="1">
        <f t="array" ref="J89">BS_Greek("CALL","RHO",$A89,$B$1,$B$2,$B$3,J$6)</f>
        <v>2.4057851465664689E-2</v>
      </c>
      <c r="K89" s="14" cm="1">
        <f t="array" ref="K89">BS_Greek("CALL","RHO",$A89,$B$1,$B$2,$B$3,K$6)</f>
        <v>3.3041361033821035E-2</v>
      </c>
      <c r="L89" s="14" cm="1">
        <f t="array" ref="L89">BS_Greek("CALL","RHO",$A89,$B$1,$B$2,$B$3,L$6)</f>
        <v>0.17932080685197074</v>
      </c>
      <c r="M89" s="14" cm="1">
        <f t="array" ref="M89">BS_Greek("CALL","RHO",$A89,$B$1,$B$2,$B$3,M$6)</f>
        <v>0.38476487533043752</v>
      </c>
      <c r="N89" s="14" cm="1">
        <f t="array" ref="N89">BS_Greek("CALL","RHO",$A89,$B$1,$B$2,$B$3,N$6)</f>
        <v>0.6174994858488011</v>
      </c>
      <c r="O89" s="23" cm="1">
        <f t="array" ref="O89">BS_Greek("CALL","RHO",$A89,$B$1,$B$2,$B$3,O$6)</f>
        <v>0.8636305114580537</v>
      </c>
      <c r="P89" s="5"/>
      <c r="Q89" s="12">
        <v>70</v>
      </c>
      <c r="R89" s="22" cm="1">
        <f t="array" ref="R89">BS_Greek("CALL","RHO",$Q89,$B$1,$B$2,$R$3,R$6)</f>
        <v>7.3280508906908508E-6</v>
      </c>
      <c r="S89" s="14" cm="1">
        <f t="array" ref="S89">BS_Greek("CALL","RHO",$Q89,$B$1,$B$2,$R$3,S$6)</f>
        <v>6.7012653150436683E-4</v>
      </c>
      <c r="T89" s="14" cm="1">
        <f t="array" ref="T89">BS_Greek("CALL","RHO",$Q89,$B$1,$B$2,$R$3,T$6)</f>
        <v>3.8055475002660962E-3</v>
      </c>
      <c r="U89" s="14" cm="1">
        <f t="array" ref="U89">BS_Greek("CALL","RHO",$Q89,$B$1,$B$2,$R$3,U$6)</f>
        <v>1.0108518694220893E-2</v>
      </c>
      <c r="V89" s="14" cm="1">
        <f t="array" ref="V89">BS_Greek("CALL","RHO",$Q89,$B$1,$B$2,$R$3,V$6)</f>
        <v>1.9341199007050006E-2</v>
      </c>
      <c r="W89" s="14" cm="1">
        <f t="array" ref="W89">BS_Greek("CALL","RHO",$Q89,$B$1,$B$2,$R$3,W$6)</f>
        <v>3.1045688556190533E-2</v>
      </c>
      <c r="X89" s="14" cm="1">
        <f t="array" ref="X89">BS_Greek("CALL","RHO",$Q89,$B$1,$B$2,$R$3,X$6)</f>
        <v>4.4784244022574075E-2</v>
      </c>
      <c r="Y89" s="14" cm="1">
        <f t="array" ref="Y89">BS_Greek("CALL","RHO",$Q89,$B$1,$B$2,$R$3,Y$6)</f>
        <v>6.0191244882771687E-2</v>
      </c>
      <c r="Z89" s="14" cm="1">
        <f t="array" ref="Z89">BS_Greek("CALL","RHO",$Q89,$B$1,$B$2,$R$3,Z$6)</f>
        <v>7.6972593895436286E-2</v>
      </c>
      <c r="AA89" s="14" cm="1">
        <f t="array" ref="AA89">BS_Greek("CALL","RHO",$Q89,$B$1,$B$2,$R$3,AA$6)</f>
        <v>9.4893482029156054E-2</v>
      </c>
      <c r="AB89" s="14" cm="1">
        <f t="array" ref="AB89">BS_Greek("CALL","RHO",$Q89,$B$1,$B$2,$R$3,AB$6)</f>
        <v>0.30833945975697685</v>
      </c>
      <c r="AC89" s="14" cm="1">
        <f t="array" ref="AC89">BS_Greek("CALL","RHO",$Q89,$B$1,$B$2,$R$3,AC$6)</f>
        <v>0.5448204944927838</v>
      </c>
      <c r="AD89" s="14" cm="1">
        <f t="array" ref="AD89">BS_Greek("CALL","RHO",$Q89,$B$1,$B$2,$R$3,AD$6)</f>
        <v>0.78359786030381173</v>
      </c>
      <c r="AE89" s="23" cm="1">
        <f t="array" ref="AE89">BS_Greek("CALL","RHO",$Q89,$B$1,$B$2,$R$3,AE$6)</f>
        <v>1.0178771687584245</v>
      </c>
      <c r="AF89" s="5"/>
      <c r="AG89" s="12">
        <v>70</v>
      </c>
      <c r="AH89" s="22" cm="1">
        <f t="array" ref="AH89">BS_Greek("CALL","RHO",$AG89,$B$1,$B$2,$AH$3,AH$86)</f>
        <v>9.9546668867393023E-31</v>
      </c>
      <c r="AI89" s="14" cm="1">
        <f t="array" ref="AI89">BS_Greek("CALL","RHO",$AG89,$B$1,$B$2,$AH$3,AI$86)</f>
        <v>1.814888191633914E-16</v>
      </c>
      <c r="AJ89" s="14" cm="1">
        <f t="array" ref="AJ89">BS_Greek("CALL","RHO",$AG89,$B$1,$B$2,$AH$3,AJ$86)</f>
        <v>1.3307124507183836E-11</v>
      </c>
      <c r="AK89" s="14" cm="1">
        <f t="array" ref="AK89">BS_Greek("CALL","RHO",$AG89,$B$1,$B$2,$AH$3,AK$86)</f>
        <v>4.0794980511215176E-9</v>
      </c>
      <c r="AL89" s="14" cm="1">
        <f t="array" ref="AL89">BS_Greek("CALL","RHO",$AG89,$B$1,$B$2,$AH$3,AL$86)</f>
        <v>1.3625021969122366E-7</v>
      </c>
      <c r="AM89" s="14" cm="1">
        <f t="array" ref="AM89">BS_Greek("CALL","RHO",$AG89,$B$1,$B$2,$AH$3,AM$86)</f>
        <v>1.4829729609667341E-6</v>
      </c>
      <c r="AN89" s="14" cm="1">
        <f t="array" ref="AN89">BS_Greek("CALL","RHO",$AG89,$B$1,$B$2,$AH$3,AN$86)</f>
        <v>8.4440564273303519E-6</v>
      </c>
      <c r="AO89" s="14" cm="1">
        <f t="array" ref="AO89">BS_Greek("CALL","RHO",$AG89,$B$1,$B$2,$AH$3,AO$86)</f>
        <v>3.1927561083099139E-5</v>
      </c>
      <c r="AP89" s="14" cm="1">
        <f t="array" ref="AP89">BS_Greek("CALL","RHO",$AG89,$B$1,$B$2,$AH$3,AP$86)</f>
        <v>9.1613031212593089E-5</v>
      </c>
      <c r="AQ89" s="14" cm="1">
        <f t="array" ref="AQ89">BS_Greek("CALL","RHO",$AG89,$B$1,$B$2,$AH$3,AQ$86)</f>
        <v>2.1625953663559439E-4</v>
      </c>
      <c r="AR89" s="14" cm="1">
        <f t="array" ref="AR89">BS_Greek("CALL","RHO",$AG89,$B$1,$B$2,$AH$3,AR$86)</f>
        <v>1.3949867109230144E-2</v>
      </c>
      <c r="AS89" s="14" cm="1">
        <f t="array" ref="AS89">BS_Greek("CALL","RHO",$AG89,$B$1,$B$2,$AH$3,AS$86)</f>
        <v>7.0649659059548314E-2</v>
      </c>
      <c r="AT89" s="14" cm="1">
        <f t="array" ref="AT89">BS_Greek("CALL","RHO",$AG89,$B$1,$B$2,$AH$3,AT$86)</f>
        <v>0.17736667658110342</v>
      </c>
      <c r="AU89" s="23" cm="1">
        <f t="array" ref="AU89">BS_Greek("CALL","RHO",$AG89,$B$1,$B$2,$AH$3,AU$86)</f>
        <v>0.32816447931472725</v>
      </c>
      <c r="AV89" s="5"/>
      <c r="AW89" s="5"/>
      <c r="AX89" s="5"/>
      <c r="AY89" s="5"/>
      <c r="AZ89" s="5"/>
      <c r="BA89" s="5"/>
      <c r="BB89" s="5"/>
    </row>
    <row r="90" spans="1:54" x14ac:dyDescent="0.2">
      <c r="A90" s="12">
        <v>75</v>
      </c>
      <c r="B90" s="22" cm="1">
        <f t="array" ref="B90">BS_Greek("CALL","RHO",$A90,$B$1,$B$2,$B$3,B$6)</f>
        <v>2.5013539023405383E-7</v>
      </c>
      <c r="C90" s="14" cm="1">
        <f t="array" ref="C90">BS_Greek("CALL","RHO",$A90,$B$1,$B$2,$B$3,C$6)</f>
        <v>1.198173930924223E-4</v>
      </c>
      <c r="D90" s="14" cm="1">
        <f t="array" ref="D90">BS_Greek("CALL","RHO",$A90,$B$1,$B$2,$B$3,D$6)</f>
        <v>1.1911631216126905E-3</v>
      </c>
      <c r="E90" s="14" cm="1">
        <f t="array" ref="E90">BS_Greek("CALL","RHO",$A90,$B$1,$B$2,$B$3,E$6)</f>
        <v>4.2058365657656558E-3</v>
      </c>
      <c r="F90" s="14" cm="1">
        <f t="array" ref="F90">BS_Greek("CALL","RHO",$A90,$B$1,$B$2,$B$3,F$6)</f>
        <v>9.5750502791312735E-3</v>
      </c>
      <c r="G90" s="14" cm="1">
        <f t="array" ref="G90">BS_Greek("CALL","RHO",$A90,$B$1,$B$2,$B$3,G$6)</f>
        <v>1.7295450873604516E-2</v>
      </c>
      <c r="H90" s="14" cm="1">
        <f t="array" ref="H90">BS_Greek("CALL","RHO",$A90,$B$1,$B$2,$B$3,H$6)</f>
        <v>2.7188766452768531E-2</v>
      </c>
      <c r="I90" s="14" cm="1">
        <f t="array" ref="I90">BS_Greek("CALL","RHO",$A90,$B$1,$B$2,$B$3,I$6)</f>
        <v>3.9025965710024674E-2</v>
      </c>
      <c r="J90" s="14" cm="1">
        <f t="array" ref="J90">BS_Greek("CALL","RHO",$A90,$B$1,$B$2,$B$3,J$6)</f>
        <v>5.2579361449743296E-2</v>
      </c>
      <c r="K90" s="14" cm="1">
        <f t="array" ref="K90">BS_Greek("CALL","RHO",$A90,$B$1,$B$2,$B$3,K$6)</f>
        <v>6.7641543932963441E-2</v>
      </c>
      <c r="L90" s="14" cm="1">
        <f t="array" ref="L90">BS_Greek("CALL","RHO",$A90,$B$1,$B$2,$B$3,L$6)</f>
        <v>0.27119588189475019</v>
      </c>
      <c r="M90" s="14" cm="1">
        <f t="array" ref="M90">BS_Greek("CALL","RHO",$A90,$B$1,$B$2,$B$3,M$6)</f>
        <v>0.52273981099216771</v>
      </c>
      <c r="N90" s="14" cm="1">
        <f t="array" ref="N90">BS_Greek("CALL","RHO",$A90,$B$1,$B$2,$B$3,N$6)</f>
        <v>0.79297672467890534</v>
      </c>
      <c r="O90" s="23" cm="1">
        <f t="array" ref="O90">BS_Greek("CALL","RHO",$A90,$B$1,$B$2,$B$3,O$6)</f>
        <v>1.070610955886903</v>
      </c>
      <c r="P90" s="5"/>
      <c r="Q90" s="12">
        <v>75</v>
      </c>
      <c r="R90" s="22" cm="1">
        <f t="array" ref="R90">BS_Greek("CALL","RHO",$Q90,$B$1,$B$2,$R$3,R$6)</f>
        <v>1.0716304021740663E-4</v>
      </c>
      <c r="S90" s="14" cm="1">
        <f t="array" ref="S90">BS_Greek("CALL","RHO",$Q90,$B$1,$B$2,$R$3,S$6)</f>
        <v>2.8005079404176503E-3</v>
      </c>
      <c r="T90" s="14" cm="1">
        <f t="array" ref="T90">BS_Greek("CALL","RHO",$Q90,$B$1,$B$2,$R$3,T$6)</f>
        <v>1.0404743079329299E-2</v>
      </c>
      <c r="U90" s="14" cm="1">
        <f t="array" ref="U90">BS_Greek("CALL","RHO",$Q90,$B$1,$B$2,$R$3,U$6)</f>
        <v>2.2277486403587093E-2</v>
      </c>
      <c r="V90" s="14" cm="1">
        <f t="array" ref="V90">BS_Greek("CALL","RHO",$Q90,$B$1,$B$2,$R$3,V$6)</f>
        <v>3.7375642733991833E-2</v>
      </c>
      <c r="W90" s="14" cm="1">
        <f t="array" ref="W90">BS_Greek("CALL","RHO",$Q90,$B$1,$B$2,$R$3,W$6)</f>
        <v>5.4887827575266571E-2</v>
      </c>
      <c r="X90" s="14" cm="1">
        <f t="array" ref="X90">BS_Greek("CALL","RHO",$Q90,$B$1,$B$2,$R$3,X$6)</f>
        <v>7.4233901250503026E-2</v>
      </c>
      <c r="Y90" s="14" cm="1">
        <f t="array" ref="Y90">BS_Greek("CALL","RHO",$Q90,$B$1,$B$2,$R$3,Y$6)</f>
        <v>9.4998591027931845E-2</v>
      </c>
      <c r="Z90" s="14" cm="1">
        <f t="array" ref="Z90">BS_Greek("CALL","RHO",$Q90,$B$1,$B$2,$R$3,Z$6)</f>
        <v>0.11687876444341773</v>
      </c>
      <c r="AA90" s="14" cm="1">
        <f t="array" ref="AA90">BS_Greek("CALL","RHO",$Q90,$B$1,$B$2,$R$3,AA$6)</f>
        <v>0.13964806192115639</v>
      </c>
      <c r="AB90" s="14" cm="1">
        <f t="array" ref="AB90">BS_Greek("CALL","RHO",$Q90,$B$1,$B$2,$R$3,AB$6)</f>
        <v>0.3912877070729931</v>
      </c>
      <c r="AC90" s="14" cm="1">
        <f t="array" ref="AC90">BS_Greek("CALL","RHO",$Q90,$B$1,$B$2,$R$3,AC$6)</f>
        <v>0.65478709737318352</v>
      </c>
      <c r="AD90" s="14" cm="1">
        <f t="array" ref="AD90">BS_Greek("CALL","RHO",$Q90,$B$1,$B$2,$R$3,AD$6)</f>
        <v>0.91460887943075664</v>
      </c>
      <c r="AE90" s="23" cm="1">
        <f t="array" ref="AE90">BS_Greek("CALL","RHO",$Q90,$B$1,$B$2,$R$3,AE$6)</f>
        <v>1.1661280707499488</v>
      </c>
      <c r="AF90" s="5"/>
      <c r="AG90" s="12">
        <v>75</v>
      </c>
      <c r="AH90" s="22" cm="1">
        <f t="array" ref="AH90">BS_Greek("CALL","RHO",$AG90,$B$1,$B$2,$AH$3,AH$86)</f>
        <v>5.3493516241294038E-21</v>
      </c>
      <c r="AI90" s="14" cm="1">
        <f t="array" ref="AI90">BS_Greek("CALL","RHO",$AG90,$B$1,$B$2,$AH$3,AI$86)</f>
        <v>1.4484262281308253E-11</v>
      </c>
      <c r="AJ90" s="14" cm="1">
        <f t="array" ref="AJ90">BS_Greek("CALL","RHO",$AG90,$B$1,$B$2,$AH$3,AJ$86)</f>
        <v>2.6052631871411217E-8</v>
      </c>
      <c r="AK90" s="14" cm="1">
        <f t="array" ref="AK90">BS_Greek("CALL","RHO",$AG90,$B$1,$B$2,$AH$3,AK$86)</f>
        <v>1.2492523960331801E-6</v>
      </c>
      <c r="AL90" s="14" cm="1">
        <f t="array" ref="AL90">BS_Greek("CALL","RHO",$AG90,$B$1,$B$2,$AH$3,AL$86)</f>
        <v>1.3693783854780401E-5</v>
      </c>
      <c r="AM90" s="14" cm="1">
        <f t="array" ref="AM90">BS_Greek("CALL","RHO",$AG90,$B$1,$B$2,$AH$3,AM$86)</f>
        <v>7.086417706053456E-5</v>
      </c>
      <c r="AN90" s="14" cm="1">
        <f t="array" ref="AN90">BS_Greek("CALL","RHO",$AG90,$B$1,$B$2,$AH$3,AN$86)</f>
        <v>2.3711237792182929E-4</v>
      </c>
      <c r="AO90" s="14" cm="1">
        <f t="array" ref="AO90">BS_Greek("CALL","RHO",$AG90,$B$1,$B$2,$AH$3,AO$86)</f>
        <v>6.0144636736595401E-4</v>
      </c>
      <c r="AP90" s="14" cm="1">
        <f t="array" ref="AP90">BS_Greek("CALL","RHO",$AG90,$B$1,$B$2,$AH$3,AP$86)</f>
        <v>1.2646643565367435E-3</v>
      </c>
      <c r="AQ90" s="14" cm="1">
        <f t="array" ref="AQ90">BS_Greek("CALL","RHO",$AG90,$B$1,$B$2,$AH$3,AQ$86)</f>
        <v>2.3272427909089093E-3</v>
      </c>
      <c r="AR90" s="14" cm="1">
        <f t="array" ref="AR90">BS_Greek("CALL","RHO",$AG90,$B$1,$B$2,$AH$3,AR$86)</f>
        <v>4.8605196983075763E-2</v>
      </c>
      <c r="AS90" s="14" cm="1">
        <f t="array" ref="AS90">BS_Greek("CALL","RHO",$AG90,$B$1,$B$2,$AH$3,AS$86)</f>
        <v>0.16800016425945097</v>
      </c>
      <c r="AT90" s="14" cm="1">
        <f t="array" ref="AT90">BS_Greek("CALL","RHO",$AG90,$B$1,$B$2,$AH$3,AT$86)</f>
        <v>0.34734979174896125</v>
      </c>
      <c r="AU90" s="23" cm="1">
        <f t="array" ref="AU90">BS_Greek("CALL","RHO",$AG90,$B$1,$B$2,$AH$3,AU$86)</f>
        <v>0.57096303141784466</v>
      </c>
      <c r="AV90" s="5"/>
      <c r="AW90" s="5"/>
      <c r="AX90" s="5"/>
      <c r="AY90" s="5"/>
      <c r="AZ90" s="5"/>
      <c r="BA90" s="5"/>
      <c r="BB90" s="5"/>
    </row>
    <row r="91" spans="1:54" x14ac:dyDescent="0.2">
      <c r="A91" s="12">
        <v>80</v>
      </c>
      <c r="B91" s="22" cm="1">
        <f t="array" ref="B91">BS_Greek("CALL","RHO",$A91,$B$1,$B$2,$B$3,B$6)</f>
        <v>1.9684019476440402E-5</v>
      </c>
      <c r="C91" s="14" cm="1">
        <f t="array" ref="C91">BS_Greek("CALL","RHO",$A91,$B$1,$B$2,$B$3,C$6)</f>
        <v>1.1806153679816468E-3</v>
      </c>
      <c r="D91" s="14" cm="1">
        <f t="array" ref="D91">BS_Greek("CALL","RHO",$A91,$B$1,$B$2,$B$3,D$6)</f>
        <v>5.8294742224800945E-3</v>
      </c>
      <c r="E91" s="14" cm="1">
        <f t="array" ref="E91">BS_Greek("CALL","RHO",$A91,$B$1,$B$2,$B$3,E$6)</f>
        <v>1.444966056758099E-2</v>
      </c>
      <c r="F91" s="14" cm="1">
        <f t="array" ref="F91">BS_Greek("CALL","RHO",$A91,$B$1,$B$2,$B$3,F$6)</f>
        <v>2.6541221761137001E-2</v>
      </c>
      <c r="G91" s="14" cm="1">
        <f t="array" ref="G91">BS_Greek("CALL","RHO",$A91,$B$1,$B$2,$B$3,G$6)</f>
        <v>4.1483206002554979E-2</v>
      </c>
      <c r="H91" s="14" cm="1">
        <f t="array" ref="H91">BS_Greek("CALL","RHO",$A91,$B$1,$B$2,$B$3,H$6)</f>
        <v>5.8743138124230584E-2</v>
      </c>
      <c r="I91" s="14" cm="1">
        <f t="array" ref="I91">BS_Greek("CALL","RHO",$A91,$B$1,$B$2,$B$3,I$6)</f>
        <v>7.7898920427139709E-2</v>
      </c>
      <c r="J91" s="14" cm="1">
        <f t="array" ref="J91">BS_Greek("CALL","RHO",$A91,$B$1,$B$2,$B$3,J$6)</f>
        <v>9.862114055816798E-2</v>
      </c>
      <c r="K91" s="14" cm="1">
        <f t="array" ref="K91">BS_Greek("CALL","RHO",$A91,$B$1,$B$2,$B$3,K$6)</f>
        <v>0.12065171933845738</v>
      </c>
      <c r="L91" s="14" cm="1">
        <f t="array" ref="L91">BS_Greek("CALL","RHO",$A91,$B$1,$B$2,$B$3,L$6)</f>
        <v>0.38226402136740828</v>
      </c>
      <c r="M91" s="14" cm="1">
        <f t="array" ref="M91">BS_Greek("CALL","RHO",$A91,$B$1,$B$2,$B$3,M$6)</f>
        <v>0.67677547849775832</v>
      </c>
      <c r="N91" s="14" cm="1">
        <f t="array" ref="N91">BS_Greek("CALL","RHO",$A91,$B$1,$B$2,$B$3,N$6)</f>
        <v>0.98121354844747444</v>
      </c>
      <c r="O91" s="23" cm="1">
        <f t="array" ref="O91">BS_Greek("CALL","RHO",$A91,$B$1,$B$2,$B$3,O$6)</f>
        <v>1.2873783982233831</v>
      </c>
      <c r="P91" s="5"/>
      <c r="Q91" s="12">
        <v>80</v>
      </c>
      <c r="R91" s="22" cm="1">
        <f t="array" ref="R91">BS_Greek("CALL","RHO",$Q91,$B$1,$B$2,$R$3,R$6)</f>
        <v>8.4379549560306406E-4</v>
      </c>
      <c r="S91" s="14" cm="1">
        <f t="array" ref="S91">BS_Greek("CALL","RHO",$Q91,$B$1,$B$2,$R$3,S$6)</f>
        <v>8.6101600896775765E-3</v>
      </c>
      <c r="T91" s="14" cm="1">
        <f t="array" ref="T91">BS_Greek("CALL","RHO",$Q91,$B$1,$B$2,$R$3,T$6)</f>
        <v>2.3188215227327152E-2</v>
      </c>
      <c r="U91" s="14" cm="1">
        <f t="array" ref="U91">BS_Greek("CALL","RHO",$Q91,$B$1,$B$2,$R$3,U$6)</f>
        <v>4.2101668239852945E-2</v>
      </c>
      <c r="V91" s="14" cm="1">
        <f t="array" ref="V91">BS_Greek("CALL","RHO",$Q91,$B$1,$B$2,$R$3,V$6)</f>
        <v>6.3836239230238873E-2</v>
      </c>
      <c r="W91" s="14" cm="1">
        <f t="array" ref="W91">BS_Greek("CALL","RHO",$Q91,$B$1,$B$2,$R$3,W$6)</f>
        <v>8.7502447732684369E-2</v>
      </c>
      <c r="X91" s="14" cm="1">
        <f t="array" ref="X91">BS_Greek("CALL","RHO",$Q91,$B$1,$B$2,$R$3,X$6)</f>
        <v>0.11254687988484215</v>
      </c>
      <c r="Y91" s="14" cm="1">
        <f t="array" ref="Y91">BS_Greek("CALL","RHO",$Q91,$B$1,$B$2,$R$3,Y$6)</f>
        <v>0.13860489518231892</v>
      </c>
      <c r="Z91" s="14" cm="1">
        <f t="array" ref="Z91">BS_Greek("CALL","RHO",$Q91,$B$1,$B$2,$R$3,Z$6)</f>
        <v>0.16542451185364437</v>
      </c>
      <c r="AA91" s="14" cm="1">
        <f t="array" ref="AA91">BS_Greek("CALL","RHO",$Q91,$B$1,$B$2,$R$3,AA$6)</f>
        <v>0.19282474296583743</v>
      </c>
      <c r="AB91" s="14" cm="1">
        <f t="array" ref="AB91">BS_Greek("CALL","RHO",$Q91,$B$1,$B$2,$R$3,AB$6)</f>
        <v>0.47990477205189996</v>
      </c>
      <c r="AC91" s="14" cm="1">
        <f t="array" ref="AC91">BS_Greek("CALL","RHO",$Q91,$B$1,$B$2,$R$3,AC$6)</f>
        <v>0.76816408112647405</v>
      </c>
      <c r="AD91" s="14" cm="1">
        <f t="array" ref="AD91">BS_Greek("CALL","RHO",$Q91,$B$1,$B$2,$R$3,AD$6)</f>
        <v>1.0472989940256037</v>
      </c>
      <c r="AE91" s="23" cm="1">
        <f t="array" ref="AE91">BS_Greek("CALL","RHO",$Q91,$B$1,$B$2,$R$3,AE$6)</f>
        <v>1.3146822164902674</v>
      </c>
      <c r="AF91" s="5"/>
      <c r="AG91" s="12">
        <v>80</v>
      </c>
      <c r="AH91" s="22" cm="1">
        <f t="array" ref="AH91">BS_Greek("CALL","RHO",$AG91,$B$1,$B$2,$AH$3,AH$86)</f>
        <v>9.5606229748062584E-14</v>
      </c>
      <c r="AI91" s="14" cm="1">
        <f t="array" ref="AI91">BS_Greek("CALL","RHO",$AG91,$B$1,$B$2,$AH$3,AI$86)</f>
        <v>6.7762571900260923E-8</v>
      </c>
      <c r="AJ91" s="14" cm="1">
        <f t="array" ref="AJ91">BS_Greek("CALL","RHO",$AG91,$B$1,$B$2,$AH$3,AJ$86)</f>
        <v>7.77039222747902E-6</v>
      </c>
      <c r="AK91" s="14" cm="1">
        <f t="array" ref="AK91">BS_Greek("CALL","RHO",$AG91,$B$1,$B$2,$AH$3,AK$86)</f>
        <v>9.3874067121779193E-5</v>
      </c>
      <c r="AL91" s="14" cm="1">
        <f t="array" ref="AL91">BS_Greek("CALL","RHO",$AG91,$B$1,$B$2,$AH$3,AL$86)</f>
        <v>4.4930628022144247E-4</v>
      </c>
      <c r="AM91" s="14" cm="1">
        <f t="array" ref="AM91">BS_Greek("CALL","RHO",$AG91,$B$1,$B$2,$AH$3,AM$86)</f>
        <v>1.3367272087027218E-3</v>
      </c>
      <c r="AN91" s="14" cm="1">
        <f t="array" ref="AN91">BS_Greek("CALL","RHO",$AG91,$B$1,$B$2,$AH$3,AN$86)</f>
        <v>3.0094142404680359E-3</v>
      </c>
      <c r="AO91" s="14" cm="1">
        <f t="array" ref="AO91">BS_Greek("CALL","RHO",$AG91,$B$1,$B$2,$AH$3,AO$86)</f>
        <v>5.6671524536186409E-3</v>
      </c>
      <c r="AP91" s="14" cm="1">
        <f t="array" ref="AP91">BS_Greek("CALL","RHO",$AG91,$B$1,$B$2,$AH$3,AP$86)</f>
        <v>9.4469788357844919E-3</v>
      </c>
      <c r="AQ91" s="14" cm="1">
        <f t="array" ref="AQ91">BS_Greek("CALL","RHO",$AG91,$B$1,$B$2,$AH$3,AQ$86)</f>
        <v>1.4430579922614031E-2</v>
      </c>
      <c r="AR91" s="14" cm="1">
        <f t="array" ref="AR91">BS_Greek("CALL","RHO",$AG91,$B$1,$B$2,$AH$3,AR$86)</f>
        <v>0.12916231918414769</v>
      </c>
      <c r="AS91" s="14" cm="1">
        <f t="array" ref="AS91">BS_Greek("CALL","RHO",$AG91,$B$1,$B$2,$AH$3,AS$86)</f>
        <v>0.33403665227840923</v>
      </c>
      <c r="AT91" s="14" cm="1">
        <f t="array" ref="AT91">BS_Greek("CALL","RHO",$AG91,$B$1,$B$2,$AH$3,AT$86)</f>
        <v>0.5952355943117198</v>
      </c>
      <c r="AU91" s="23" cm="1">
        <f t="array" ref="AU91">BS_Greek("CALL","RHO",$AG91,$B$1,$B$2,$AH$3,AU$86)</f>
        <v>0.89308606477141761</v>
      </c>
      <c r="AV91" s="5"/>
      <c r="AW91" s="5"/>
      <c r="AX91" s="5"/>
      <c r="AY91" s="5"/>
      <c r="AZ91" s="5"/>
      <c r="BA91" s="5"/>
      <c r="BB91" s="5"/>
    </row>
    <row r="92" spans="1:54" x14ac:dyDescent="0.2">
      <c r="A92" s="12">
        <v>85</v>
      </c>
      <c r="B92" s="22" cm="1">
        <f t="array" ref="B92">BS_Greek("CALL","RHO",$A92,$B$1,$B$2,$B$3,B$6)</f>
        <v>4.8575796157643812E-4</v>
      </c>
      <c r="C92" s="14" cm="1">
        <f t="array" ref="C92">BS_Greek("CALL","RHO",$A92,$B$1,$B$2,$B$3,C$6)</f>
        <v>6.5728086131009644E-3</v>
      </c>
      <c r="D92" s="14" cm="1">
        <f t="array" ref="D92">BS_Greek("CALL","RHO",$A92,$B$1,$B$2,$B$3,D$6)</f>
        <v>1.9560484482833904E-2</v>
      </c>
      <c r="E92" s="14" cm="1">
        <f t="array" ref="E92">BS_Greek("CALL","RHO",$A92,$B$1,$B$2,$B$3,E$6)</f>
        <v>3.7454643863001104E-2</v>
      </c>
      <c r="F92" s="14" cm="1">
        <f t="array" ref="F92">BS_Greek("CALL","RHO",$A92,$B$1,$B$2,$B$3,F$6)</f>
        <v>5.8755556011287499E-2</v>
      </c>
      <c r="G92" s="14" cm="1">
        <f t="array" ref="G92">BS_Greek("CALL","RHO",$A92,$B$1,$B$2,$B$3,G$6)</f>
        <v>8.2510457333700937E-2</v>
      </c>
      <c r="H92" s="14" cm="1">
        <f t="array" ref="H92">BS_Greek("CALL","RHO",$A92,$B$1,$B$2,$B$3,H$6)</f>
        <v>0.10810010394461257</v>
      </c>
      <c r="I92" s="14" cm="1">
        <f t="array" ref="I92">BS_Greek("CALL","RHO",$A92,$B$1,$B$2,$B$3,I$6)</f>
        <v>0.13510429218050068</v>
      </c>
      <c r="J92" s="14" cm="1">
        <f t="array" ref="J92">BS_Greek("CALL","RHO",$A92,$B$1,$B$2,$B$3,J$6)</f>
        <v>0.16322605204399807</v>
      </c>
      <c r="K92" s="14" cm="1">
        <f t="array" ref="K92">BS_Greek("CALL","RHO",$A92,$B$1,$B$2,$B$3,K$6)</f>
        <v>0.19224806199408723</v>
      </c>
      <c r="L92" s="14" cm="1">
        <f t="array" ref="L92">BS_Greek("CALL","RHO",$A92,$B$1,$B$2,$B$3,L$6)</f>
        <v>0.50846001160439569</v>
      </c>
      <c r="M92" s="14" cm="1">
        <f t="array" ref="M92">BS_Greek("CALL","RHO",$A92,$B$1,$B$2,$B$3,M$6)</f>
        <v>0.84192775036698531</v>
      </c>
      <c r="N92" s="14" cm="1">
        <f t="array" ref="N92">BS_Greek("CALL","RHO",$A92,$B$1,$B$2,$B$3,N$6)</f>
        <v>1.1772513441976242</v>
      </c>
      <c r="O92" s="23" cm="1">
        <f t="array" ref="O92">BS_Greek("CALL","RHO",$A92,$B$1,$B$2,$B$3,O$6)</f>
        <v>1.509219653951388</v>
      </c>
      <c r="P92" s="5"/>
      <c r="Q92" s="12">
        <v>85</v>
      </c>
      <c r="R92" s="22" cm="1">
        <f t="array" ref="R92">BS_Greek("CALL","RHO",$Q92,$B$1,$B$2,$R$3,R$6)</f>
        <v>4.0019706155343384E-3</v>
      </c>
      <c r="S92" s="14" cm="1">
        <f t="array" ref="S92">BS_Greek("CALL","RHO",$Q92,$B$1,$B$2,$R$3,S$6)</f>
        <v>2.0599015086440079E-2</v>
      </c>
      <c r="T92" s="14" cm="1">
        <f t="array" ref="T92">BS_Greek("CALL","RHO",$Q92,$B$1,$B$2,$R$3,T$6)</f>
        <v>4.3722556636840153E-2</v>
      </c>
      <c r="U92" s="14" cm="1">
        <f t="array" ref="U92">BS_Greek("CALL","RHO",$Q92,$B$1,$B$2,$R$3,U$6)</f>
        <v>7.0158187896353447E-2</v>
      </c>
      <c r="V92" s="14" cm="1">
        <f t="array" ref="V92">BS_Greek("CALL","RHO",$Q92,$B$1,$B$2,$R$3,V$6)</f>
        <v>9.8529677259979437E-2</v>
      </c>
      <c r="W92" s="14" cm="1">
        <f t="array" ref="W92">BS_Greek("CALL","RHO",$Q92,$B$1,$B$2,$R$3,W$6)</f>
        <v>0.12813282697945419</v>
      </c>
      <c r="X92" s="14" cm="1">
        <f t="array" ref="X92">BS_Greek("CALL","RHO",$Q92,$B$1,$B$2,$R$3,X$6)</f>
        <v>0.15855986685171217</v>
      </c>
      <c r="Y92" s="14" cm="1">
        <f t="array" ref="Y92">BS_Greek("CALL","RHO",$Q92,$B$1,$B$2,$R$3,Y$6)</f>
        <v>0.18955365431433957</v>
      </c>
      <c r="Z92" s="14" cm="1">
        <f t="array" ref="Z92">BS_Greek("CALL","RHO",$Q92,$B$1,$B$2,$R$3,Z$6)</f>
        <v>0.2209417414575974</v>
      </c>
      <c r="AA92" s="14" cm="1">
        <f t="array" ref="AA92">BS_Greek("CALL","RHO",$Q92,$B$1,$B$2,$R$3,AA$6)</f>
        <v>0.25260301138987579</v>
      </c>
      <c r="AB92" s="14" cm="1">
        <f t="array" ref="AB92">BS_Greek("CALL","RHO",$Q92,$B$1,$B$2,$R$3,AB$6)</f>
        <v>0.57209878012749971</v>
      </c>
      <c r="AC92" s="14" cm="1">
        <f t="array" ref="AC92">BS_Greek("CALL","RHO",$Q92,$B$1,$B$2,$R$3,AC$6)</f>
        <v>0.88310233648812408</v>
      </c>
      <c r="AD92" s="14" cm="1">
        <f t="array" ref="AD92">BS_Greek("CALL","RHO",$Q92,$B$1,$B$2,$R$3,AD$6)</f>
        <v>1.1800840446744412</v>
      </c>
      <c r="AE92" s="23" cm="1">
        <f t="array" ref="AE92">BS_Greek("CALL","RHO",$Q92,$B$1,$B$2,$R$3,AE$6)</f>
        <v>1.4621903371980651</v>
      </c>
      <c r="AF92" s="5"/>
      <c r="AG92" s="12">
        <v>85</v>
      </c>
      <c r="AH92" s="22" cm="1">
        <f t="array" ref="AH92">BS_Greek("CALL","RHO",$AG92,$B$1,$B$2,$AH$3,AH$86)</f>
        <v>1.498171510428129E-8</v>
      </c>
      <c r="AI92" s="14" cm="1">
        <f t="array" ref="AI92">BS_Greek("CALL","RHO",$AG92,$B$1,$B$2,$AH$3,AI$86)</f>
        <v>3.0362011070892116E-5</v>
      </c>
      <c r="AJ92" s="14" cm="1">
        <f t="array" ref="AJ92">BS_Greek("CALL","RHO",$AG92,$B$1,$B$2,$AH$3,AJ$86)</f>
        <v>4.9117640802576266E-4</v>
      </c>
      <c r="AK92" s="14" cm="1">
        <f t="array" ref="AK92">BS_Greek("CALL","RHO",$AG92,$B$1,$B$2,$AH$3,AK$86)</f>
        <v>2.2206863454671422E-3</v>
      </c>
      <c r="AL92" s="14" cm="1">
        <f t="array" ref="AL92">BS_Greek("CALL","RHO",$AG92,$B$1,$B$2,$AH$3,AL$86)</f>
        <v>5.8793072579454864E-3</v>
      </c>
      <c r="AM92" s="14" cm="1">
        <f t="array" ref="AM92">BS_Greek("CALL","RHO",$AG92,$B$1,$B$2,$AH$3,AM$86)</f>
        <v>1.1766528591399657E-2</v>
      </c>
      <c r="AN92" s="14" cm="1">
        <f t="array" ref="AN92">BS_Greek("CALL","RHO",$AG92,$B$1,$B$2,$AH$3,AN$86)</f>
        <v>1.9932210842367938E-2</v>
      </c>
      <c r="AO92" s="14" cm="1">
        <f t="array" ref="AO92">BS_Greek("CALL","RHO",$AG92,$B$1,$B$2,$AH$3,AO$86)</f>
        <v>3.0294875417979785E-2</v>
      </c>
      <c r="AP92" s="14" cm="1">
        <f t="array" ref="AP92">BS_Greek("CALL","RHO",$AG92,$B$1,$B$2,$AH$3,AP$86)</f>
        <v>4.2714832976975065E-2</v>
      </c>
      <c r="AQ92" s="14" cm="1">
        <f t="array" ref="AQ92">BS_Greek("CALL","RHO",$AG92,$B$1,$B$2,$AH$3,AQ$86)</f>
        <v>5.7033185664748597E-2</v>
      </c>
      <c r="AR92" s="14" cm="1">
        <f t="array" ref="AR92">BS_Greek("CALL","RHO",$AG92,$B$1,$B$2,$AH$3,AR$86)</f>
        <v>0.27526263359416991</v>
      </c>
      <c r="AS92" s="14" cm="1">
        <f t="array" ref="AS92">BS_Greek("CALL","RHO",$AG92,$B$1,$B$2,$AH$3,AS$86)</f>
        <v>0.57408661084024171</v>
      </c>
      <c r="AT92" s="14" cm="1">
        <f t="array" ref="AT92">BS_Greek("CALL","RHO",$AG92,$B$1,$B$2,$AH$3,AT$86)</f>
        <v>0.91485721832214884</v>
      </c>
      <c r="AU92" s="23" cm="1">
        <f t="array" ref="AU92">BS_Greek("CALL","RHO",$AG92,$B$1,$B$2,$AH$3,AU$86)</f>
        <v>1.2807174822131722</v>
      </c>
      <c r="AV92" s="5"/>
      <c r="AW92" s="5"/>
      <c r="AX92" s="5"/>
      <c r="AY92" s="5"/>
      <c r="AZ92" s="5"/>
      <c r="BA92" s="5"/>
      <c r="BB92" s="5"/>
    </row>
    <row r="93" spans="1:54" x14ac:dyDescent="0.2">
      <c r="A93" s="12">
        <v>90</v>
      </c>
      <c r="B93" s="22" cm="1">
        <f t="array" ref="B93">BS_Greek("CALL","RHO",$A93,$B$1,$B$2,$B$3,B$6)</f>
        <v>4.6266505291057552E-3</v>
      </c>
      <c r="C93" s="14" cm="1">
        <f t="array" ref="C93">BS_Greek("CALL","RHO",$A93,$B$1,$B$2,$B$3,C$6)</f>
        <v>2.2955278113909655E-2</v>
      </c>
      <c r="D93" s="14" cm="1">
        <f t="array" ref="D93">BS_Greek("CALL","RHO",$A93,$B$1,$B$2,$B$3,D$6)</f>
        <v>4.8240469025865852E-2</v>
      </c>
      <c r="E93" s="14" cm="1">
        <f t="array" ref="E93">BS_Greek("CALL","RHO",$A93,$B$1,$B$2,$B$3,E$6)</f>
        <v>7.7145681524544096E-2</v>
      </c>
      <c r="F93" s="14" cm="1">
        <f t="array" ref="F93">BS_Greek("CALL","RHO",$A93,$B$1,$B$2,$B$3,F$6)</f>
        <v>0.10825115598149131</v>
      </c>
      <c r="G93" s="14" cm="1">
        <f t="array" ref="G93">BS_Greek("CALL","RHO",$A93,$B$1,$B$2,$B$3,G$6)</f>
        <v>0.14082638092999994</v>
      </c>
      <c r="H93" s="14" cm="1">
        <f t="array" ref="H93">BS_Greek("CALL","RHO",$A93,$B$1,$B$2,$B$3,H$6)</f>
        <v>0.17444422479079949</v>
      </c>
      <c r="I93" s="14" cm="1">
        <f t="array" ref="I93">BS_Greek("CALL","RHO",$A93,$B$1,$B$2,$B$3,I$6)</f>
        <v>0.20883210534016247</v>
      </c>
      <c r="J93" s="14" cm="1">
        <f t="array" ref="J93">BS_Greek("CALL","RHO",$A93,$B$1,$B$2,$B$3,J$6)</f>
        <v>0.24380474754909542</v>
      </c>
      <c r="K93" s="14" cm="1">
        <f t="array" ref="K93">BS_Greek("CALL","RHO",$A93,$B$1,$B$2,$B$3,K$6)</f>
        <v>0.2792301046204449</v>
      </c>
      <c r="L93" s="14" cm="1">
        <f t="array" ref="L93">BS_Greek("CALL","RHO",$A93,$B$1,$B$2,$B$3,L$6)</f>
        <v>0.64458771564347106</v>
      </c>
      <c r="M93" s="14" cm="1">
        <f t="array" ref="M93">BS_Greek("CALL","RHO",$A93,$B$1,$B$2,$B$3,M$6)</f>
        <v>1.0131166738002779</v>
      </c>
      <c r="N93" s="14" cm="1">
        <f t="array" ref="N93">BS_Greek("CALL","RHO",$A93,$B$1,$B$2,$B$3,N$6)</f>
        <v>1.3764368253482542</v>
      </c>
      <c r="O93" s="23" cm="1">
        <f t="array" ref="O93">BS_Greek("CALL","RHO",$A93,$B$1,$B$2,$B$3,O$6)</f>
        <v>1.7319351169097621</v>
      </c>
      <c r="P93" s="5"/>
      <c r="Q93" s="12">
        <v>90</v>
      </c>
      <c r="R93" s="22" cm="1">
        <f t="array" ref="R93">BS_Greek("CALL","RHO",$Q93,$B$1,$B$2,$R$3,R$6)</f>
        <v>1.2546393350198692E-2</v>
      </c>
      <c r="S93" s="14" cm="1">
        <f t="array" ref="S93">BS_Greek("CALL","RHO",$Q93,$B$1,$B$2,$R$3,S$6)</f>
        <v>4.0151569990777833E-2</v>
      </c>
      <c r="T93" s="14" cm="1">
        <f t="array" ref="T93">BS_Greek("CALL","RHO",$Q93,$B$1,$B$2,$R$3,T$6)</f>
        <v>7.1895756392573715E-2</v>
      </c>
      <c r="U93" s="14" cm="1">
        <f t="array" ref="U93">BS_Greek("CALL","RHO",$Q93,$B$1,$B$2,$R$3,U$6)</f>
        <v>0.10543607299579147</v>
      </c>
      <c r="V93" s="14" cm="1">
        <f t="array" ref="V93">BS_Greek("CALL","RHO",$Q93,$B$1,$B$2,$R$3,V$6)</f>
        <v>0.13991727530535455</v>
      </c>
      <c r="W93" s="14" cm="1">
        <f t="array" ref="W93">BS_Greek("CALL","RHO",$Q93,$B$1,$B$2,$R$3,W$6)</f>
        <v>0.1749273970506767</v>
      </c>
      <c r="X93" s="14" cm="1">
        <f t="array" ref="X93">BS_Greek("CALL","RHO",$Q93,$B$1,$B$2,$R$3,X$6)</f>
        <v>0.21023581921994064</v>
      </c>
      <c r="Y93" s="14" cm="1">
        <f t="array" ref="Y93">BS_Greek("CALL","RHO",$Q93,$B$1,$B$2,$R$3,Y$6)</f>
        <v>0.24570063770440542</v>
      </c>
      <c r="Z93" s="14" cm="1">
        <f t="array" ref="Z93">BS_Greek("CALL","RHO",$Q93,$B$1,$B$2,$R$3,Z$6)</f>
        <v>0.28122869505264236</v>
      </c>
      <c r="AA93" s="14" cm="1">
        <f t="array" ref="AA93">BS_Greek("CALL","RHO",$Q93,$B$1,$B$2,$R$3,AA$6)</f>
        <v>0.31675590666078812</v>
      </c>
      <c r="AB93" s="14" cm="1">
        <f t="array" ref="AB93">BS_Greek("CALL","RHO",$Q93,$B$1,$B$2,$R$3,AB$6)</f>
        <v>0.66591346159028797</v>
      </c>
      <c r="AC93" s="14" cm="1">
        <f t="array" ref="AC93">BS_Greek("CALL","RHO",$Q93,$B$1,$B$2,$R$3,AC$6)</f>
        <v>0.99800015811264575</v>
      </c>
      <c r="AD93" s="14" cm="1">
        <f t="array" ref="AD93">BS_Greek("CALL","RHO",$Q93,$B$1,$B$2,$R$3,AD$6)</f>
        <v>1.3116465975777294</v>
      </c>
      <c r="AE93" s="23" cm="1">
        <f t="array" ref="AE93">BS_Greek("CALL","RHO",$Q93,$B$1,$B$2,$R$3,AE$6)</f>
        <v>1.6075618888968963</v>
      </c>
      <c r="AF93" s="5"/>
      <c r="AG93" s="12">
        <v>90</v>
      </c>
      <c r="AH93" s="22" cm="1">
        <f t="array" ref="AH93">BS_Greek("CALL","RHO",$AG93,$B$1,$B$2,$AH$3,AH$86)</f>
        <v>4.5615435801455798E-5</v>
      </c>
      <c r="AI93" s="14" cm="1">
        <f t="array" ref="AI93">BS_Greek("CALL","RHO",$AG93,$B$1,$B$2,$AH$3,AI$86)</f>
        <v>1.9578943327318746E-3</v>
      </c>
      <c r="AJ93" s="14" cm="1">
        <f t="array" ref="AJ93">BS_Greek("CALL","RHO",$AG93,$B$1,$B$2,$AH$3,AJ$86)</f>
        <v>8.6635170446754065E-3</v>
      </c>
      <c r="AK93" s="14" cm="1">
        <f t="array" ref="AK93">BS_Greek("CALL","RHO",$AG93,$B$1,$B$2,$AH$3,AK$86)</f>
        <v>2.0358699772475956E-2</v>
      </c>
      <c r="AL93" s="14" cm="1">
        <f t="array" ref="AL93">BS_Greek("CALL","RHO",$AG93,$B$1,$B$2,$AH$3,AL$86)</f>
        <v>3.6258596069978888E-2</v>
      </c>
      <c r="AM93" s="14" cm="1">
        <f t="array" ref="AM93">BS_Greek("CALL","RHO",$AG93,$B$1,$B$2,$AH$3,AM$86)</f>
        <v>5.5569135148285993E-2</v>
      </c>
      <c r="AN93" s="14" cm="1">
        <f t="array" ref="AN93">BS_Greek("CALL","RHO",$AG93,$B$1,$B$2,$AH$3,AN$86)</f>
        <v>7.765394982583057E-2</v>
      </c>
      <c r="AO93" s="14" cm="1">
        <f t="array" ref="AO93">BS_Greek("CALL","RHO",$AG93,$B$1,$B$2,$AH$3,AO$86)</f>
        <v>0.10202507574836325</v>
      </c>
      <c r="AP93" s="14" cm="1">
        <f t="array" ref="AP93">BS_Greek("CALL","RHO",$AG93,$B$1,$B$2,$AH$3,AP$86)</f>
        <v>0.1283085901337756</v>
      </c>
      <c r="AQ93" s="14" cm="1">
        <f t="array" ref="AQ93">BS_Greek("CALL","RHO",$AG93,$B$1,$B$2,$AH$3,AQ$86)</f>
        <v>0.15621450219614411</v>
      </c>
      <c r="AR93" s="14" cm="1">
        <f t="array" ref="AR93">BS_Greek("CALL","RHO",$AG93,$B$1,$B$2,$AH$3,AR$86)</f>
        <v>0.49021713340295131</v>
      </c>
      <c r="AS93" s="14" cm="1">
        <f t="array" ref="AS93">BS_Greek("CALL","RHO",$AG93,$B$1,$B$2,$AH$3,AS$86)</f>
        <v>0.87613987301824237</v>
      </c>
      <c r="AT93" s="14" cm="1">
        <f t="array" ref="AT93">BS_Greek("CALL","RHO",$AG93,$B$1,$B$2,$AH$3,AT$86)</f>
        <v>1.2865415020805309</v>
      </c>
      <c r="AU93" s="23" cm="1">
        <f t="array" ref="AU93">BS_Greek("CALL","RHO",$AG93,$B$1,$B$2,$AH$3,AU$86)</f>
        <v>1.7105684720072716</v>
      </c>
      <c r="AV93" s="5"/>
      <c r="AW93" s="5"/>
      <c r="AX93" s="5"/>
      <c r="AY93" s="5"/>
      <c r="AZ93" s="5"/>
      <c r="BA93" s="5"/>
      <c r="BB93" s="5"/>
    </row>
    <row r="94" spans="1:54" x14ac:dyDescent="0.2">
      <c r="A94" s="12">
        <v>95</v>
      </c>
      <c r="B94" s="22" cm="1">
        <f t="array" ref="B94">BS_Greek("CALL","RHO",$A94,$B$1,$B$2,$B$3,B$6)</f>
        <v>2.0396276517295933E-2</v>
      </c>
      <c r="C94" s="14" cm="1">
        <f t="array" ref="C94">BS_Greek("CALL","RHO",$A94,$B$1,$B$2,$B$3,C$6)</f>
        <v>5.5018256030450019E-2</v>
      </c>
      <c r="D94" s="14" cm="1">
        <f t="array" ref="D94">BS_Greek("CALL","RHO",$A94,$B$1,$B$2,$B$3,D$6)</f>
        <v>9.2744913252504044E-2</v>
      </c>
      <c r="E94" s="14" cm="1">
        <f t="array" ref="E94">BS_Greek("CALL","RHO",$A94,$B$1,$B$2,$B$3,E$6)</f>
        <v>0.13187458778736866</v>
      </c>
      <c r="F94" s="14" cm="1">
        <f t="array" ref="F94">BS_Greek("CALL","RHO",$A94,$B$1,$B$2,$B$3,F$6)</f>
        <v>0.1717865664850281</v>
      </c>
      <c r="G94" s="14" cm="1">
        <f t="array" ref="G94">BS_Greek("CALL","RHO",$A94,$B$1,$B$2,$B$3,G$6)</f>
        <v>0.21217661617090136</v>
      </c>
      <c r="H94" s="14" cm="1">
        <f t="array" ref="H94">BS_Greek("CALL","RHO",$A94,$B$1,$B$2,$B$3,H$6)</f>
        <v>0.25287075576346907</v>
      </c>
      <c r="I94" s="14" cm="1">
        <f t="array" ref="I94">BS_Greek("CALL","RHO",$A94,$B$1,$B$2,$B$3,I$6)</f>
        <v>0.29375944234947265</v>
      </c>
      <c r="J94" s="14" cm="1">
        <f t="array" ref="J94">BS_Greek("CALL","RHO",$A94,$B$1,$B$2,$B$3,J$6)</f>
        <v>0.33476899762460482</v>
      </c>
      <c r="K94" s="14" cm="1">
        <f t="array" ref="K94">BS_Greek("CALL","RHO",$A94,$B$1,$B$2,$B$3,K$6)</f>
        <v>0.37584742260070186</v>
      </c>
      <c r="L94" s="14" cm="1">
        <f t="array" ref="L94">BS_Greek("CALL","RHO",$A94,$B$1,$B$2,$B$3,L$6)</f>
        <v>0.78513403617493838</v>
      </c>
      <c r="M94" s="14" cm="1">
        <f t="array" ref="M94">BS_Greek("CALL","RHO",$A94,$B$1,$B$2,$B$3,M$6)</f>
        <v>1.1855867137549208</v>
      </c>
      <c r="N94" s="14" cm="1">
        <f t="array" ref="N94">BS_Greek("CALL","RHO",$A94,$B$1,$B$2,$B$3,N$6)</f>
        <v>1.5746664906933412</v>
      </c>
      <c r="O94" s="23" cm="1">
        <f t="array" ref="O94">BS_Greek("CALL","RHO",$A94,$B$1,$B$2,$B$3,O$6)</f>
        <v>1.9519550649892421</v>
      </c>
      <c r="P94" s="5"/>
      <c r="Q94" s="12">
        <v>95</v>
      </c>
      <c r="R94" s="22" cm="1">
        <f t="array" ref="R94">BS_Greek("CALL","RHO",$Q94,$B$1,$B$2,$R$3,R$6)</f>
        <v>2.8149490988691558E-2</v>
      </c>
      <c r="S94" s="14" cm="1">
        <f t="array" ref="S94">BS_Greek("CALL","RHO",$Q94,$B$1,$B$2,$R$3,S$6)</f>
        <v>6.6260425961542982E-2</v>
      </c>
      <c r="T94" s="14" cm="1">
        <f t="array" ref="T94">BS_Greek("CALL","RHO",$Q94,$B$1,$B$2,$R$3,T$6)</f>
        <v>0.10571300384455705</v>
      </c>
      <c r="U94" s="14" cm="1">
        <f t="array" ref="U94">BS_Greek("CALL","RHO",$Q94,$B$1,$B$2,$R$3,U$6)</f>
        <v>0.14556689094577388</v>
      </c>
      <c r="V94" s="14" cm="1">
        <f t="array" ref="V94">BS_Greek("CALL","RHO",$Q94,$B$1,$B$2,$R$3,V$6)</f>
        <v>0.18549891582551312</v>
      </c>
      <c r="W94" s="14" cm="1">
        <f t="array" ref="W94">BS_Greek("CALL","RHO",$Q94,$B$1,$B$2,$R$3,W$6)</f>
        <v>0.22536096616038256</v>
      </c>
      <c r="X94" s="14" cm="1">
        <f t="array" ref="X94">BS_Greek("CALL","RHO",$Q94,$B$1,$B$2,$R$3,X$6)</f>
        <v>0.26507480350440921</v>
      </c>
      <c r="Y94" s="14" cm="1">
        <f t="array" ref="Y94">BS_Greek("CALL","RHO",$Q94,$B$1,$B$2,$R$3,Y$6)</f>
        <v>0.30459559705270872</v>
      </c>
      <c r="Z94" s="14" cm="1">
        <f t="array" ref="Z94">BS_Greek("CALL","RHO",$Q94,$B$1,$B$2,$R$3,Z$6)</f>
        <v>0.34389641378661545</v>
      </c>
      <c r="AA94" s="14" cm="1">
        <f t="array" ref="AA94">BS_Greek("CALL","RHO",$Q94,$B$1,$B$2,$R$3,AA$6)</f>
        <v>0.38296069087442108</v>
      </c>
      <c r="AB94" s="14" cm="1">
        <f t="array" ref="AB94">BS_Greek("CALL","RHO",$Q94,$B$1,$B$2,$R$3,AB$6)</f>
        <v>0.75961631172955646</v>
      </c>
      <c r="AC94" s="14" cm="1">
        <f t="array" ref="AC94">BS_Greek("CALL","RHO",$Q94,$B$1,$B$2,$R$3,AC$6)</f>
        <v>1.1115151807553352</v>
      </c>
      <c r="AD94" s="14" cm="1">
        <f t="array" ref="AD94">BS_Greek("CALL","RHO",$Q94,$B$1,$B$2,$R$3,AD$6)</f>
        <v>1.4409177804367721</v>
      </c>
      <c r="AE94" s="23" cm="1">
        <f t="array" ref="AE94">BS_Greek("CALL","RHO",$Q94,$B$1,$B$2,$R$3,AE$6)</f>
        <v>1.7499340189075157</v>
      </c>
      <c r="AF94" s="5"/>
      <c r="AG94" s="12">
        <v>95</v>
      </c>
      <c r="AH94" s="22" cm="1">
        <f t="array" ref="AH94">BS_Greek("CALL","RHO",$AG94,$B$1,$B$2,$AH$3,AH$86)</f>
        <v>5.4058155808872667E-3</v>
      </c>
      <c r="AI94" s="14" cm="1">
        <f t="array" ref="AI94">BS_Greek("CALL","RHO",$AG94,$B$1,$B$2,$AH$3,AI$86)</f>
        <v>2.6024085650062805E-2</v>
      </c>
      <c r="AJ94" s="14" cm="1">
        <f t="array" ref="AJ94">BS_Greek("CALL","RHO",$AG94,$B$1,$B$2,$AH$3,AJ$86)</f>
        <v>5.433159792751531E-2</v>
      </c>
      <c r="AK94" s="14" cm="1">
        <f t="array" ref="AK94">BS_Greek("CALL","RHO",$AG94,$B$1,$B$2,$AH$3,AK$86)</f>
        <v>8.6801463209930194E-2</v>
      </c>
      <c r="AL94" s="14" cm="1">
        <f t="array" ref="AL94">BS_Greek("CALL","RHO",$AG94,$B$1,$B$2,$AH$3,AL$86)</f>
        <v>0.12193085930105976</v>
      </c>
      <c r="AM94" s="14" cm="1">
        <f t="array" ref="AM94">BS_Greek("CALL","RHO",$AG94,$B$1,$B$2,$AH$3,AM$86)</f>
        <v>0.15893745368596149</v>
      </c>
      <c r="AN94" s="14" cm="1">
        <f t="array" ref="AN94">BS_Greek("CALL","RHO",$AG94,$B$1,$B$2,$AH$3,AN$86)</f>
        <v>0.19735680124144062</v>
      </c>
      <c r="AO94" s="14" cm="1">
        <f t="array" ref="AO94">BS_Greek("CALL","RHO",$AG94,$B$1,$B$2,$AH$3,AO$86)</f>
        <v>0.2368874377438443</v>
      </c>
      <c r="AP94" s="14" cm="1">
        <f t="array" ref="AP94">BS_Greek("CALL","RHO",$AG94,$B$1,$B$2,$AH$3,AP$86)</f>
        <v>0.2773207335829711</v>
      </c>
      <c r="AQ94" s="14" cm="1">
        <f t="array" ref="AQ94">BS_Greek("CALL","RHO",$AG94,$B$1,$B$2,$AH$3,AQ$86)</f>
        <v>0.31850518608360617</v>
      </c>
      <c r="AR94" s="14" cm="1">
        <f t="array" ref="AR94">BS_Greek("CALL","RHO",$AG94,$B$1,$B$2,$AH$3,AR$86)</f>
        <v>0.7550431564617397</v>
      </c>
      <c r="AS94" s="14" cm="1">
        <f t="array" ref="AS94">BS_Greek("CALL","RHO",$AG94,$B$1,$B$2,$AH$3,AS$86)</f>
        <v>1.2140668920003028</v>
      </c>
      <c r="AT94" s="14" cm="1">
        <f t="array" ref="AT94">BS_Greek("CALL","RHO",$AG94,$B$1,$B$2,$AH$3,AT$86)</f>
        <v>1.6826600318585683</v>
      </c>
      <c r="AU94" s="23" cm="1">
        <f t="array" ref="AU94">BS_Greek("CALL","RHO",$AG94,$B$1,$B$2,$AH$3,AU$86)</f>
        <v>2.1554734091941636</v>
      </c>
      <c r="AV94" s="5"/>
      <c r="AW94" s="5"/>
      <c r="AX94" s="5"/>
      <c r="AY94" s="5"/>
      <c r="AZ94" s="5"/>
      <c r="BA94" s="5"/>
      <c r="BB94" s="5"/>
    </row>
    <row r="95" spans="1:54" x14ac:dyDescent="0.2">
      <c r="A95" s="12">
        <v>100</v>
      </c>
      <c r="B95" s="22" cm="1">
        <f t="array" ref="B95">BS_Greek("CALL","RHO",$A95,$B$1,$B$2,$B$3,B$6)</f>
        <v>4.9319898584384118E-2</v>
      </c>
      <c r="C95" s="14" cm="1">
        <f t="array" ref="C95">BS_Greek("CALL","RHO",$A95,$B$1,$B$2,$B$3,C$6)</f>
        <v>9.8019788801767233E-2</v>
      </c>
      <c r="D95" s="14" cm="1">
        <f t="array" ref="D95">BS_Greek("CALL","RHO",$A95,$B$1,$B$2,$B$3,D$6)</f>
        <v>0.14628325566737618</v>
      </c>
      <c r="E95" s="14" cm="1">
        <f t="array" ref="E95">BS_Greek("CALL","RHO",$A95,$B$1,$B$2,$B$3,E$6)</f>
        <v>0.19417631512966549</v>
      </c>
      <c r="F95" s="14" cm="1">
        <f t="array" ref="F95">BS_Greek("CALL","RHO",$A95,$B$1,$B$2,$B$3,F$6)</f>
        <v>0.24173738548666901</v>
      </c>
      <c r="G95" s="14" cm="1">
        <f t="array" ref="G95">BS_Greek("CALL","RHO",$A95,$B$1,$B$2,$B$3,G$6)</f>
        <v>0.28899256857821798</v>
      </c>
      <c r="H95" s="14" cm="1">
        <f t="array" ref="H95">BS_Greek("CALL","RHO",$A95,$B$1,$B$2,$B$3,H$6)</f>
        <v>0.3359611609573559</v>
      </c>
      <c r="I95" s="14" cm="1">
        <f t="array" ref="I95">BS_Greek("CALL","RHO",$A95,$B$1,$B$2,$B$3,I$6)</f>
        <v>0.38265821976803804</v>
      </c>
      <c r="J95" s="14" cm="1">
        <f t="array" ref="J95">BS_Greek("CALL","RHO",$A95,$B$1,$B$2,$B$3,J$6)</f>
        <v>0.42909594584950783</v>
      </c>
      <c r="K95" s="14" cm="1">
        <f t="array" ref="K95">BS_Greek("CALL","RHO",$A95,$B$1,$B$2,$B$3,K$6)</f>
        <v>0.47528450546914641</v>
      </c>
      <c r="L95" s="14" cm="1">
        <f t="array" ref="L95">BS_Greek("CALL","RHO",$A95,$B$1,$B$2,$B$3,L$6)</f>
        <v>0.92494293545844175</v>
      </c>
      <c r="M95" s="14" cm="1">
        <f t="array" ref="M95">BS_Greek("CALL","RHO",$A95,$B$1,$B$2,$B$3,M$6)</f>
        <v>1.3552089139551933</v>
      </c>
      <c r="N95" s="14" cm="1">
        <f t="array" ref="N95">BS_Greek("CALL","RHO",$A95,$B$1,$B$2,$B$3,N$6)</f>
        <v>1.7685142165444596</v>
      </c>
      <c r="O95" s="23" cm="1">
        <f t="array" ref="O95">BS_Greek("CALL","RHO",$A95,$B$1,$B$2,$B$3,O$6)</f>
        <v>2.1663757703673947</v>
      </c>
      <c r="P95" s="5"/>
      <c r="Q95" s="12">
        <v>100</v>
      </c>
      <c r="R95" s="22" cm="1">
        <f t="array" ref="R95">BS_Greek("CALL","RHO",$Q95,$B$1,$B$2,$R$3,R$6)</f>
        <v>4.8480002263733495E-2</v>
      </c>
      <c r="S95" s="14" cm="1">
        <f t="array" ref="S95">BS_Greek("CALL","RHO",$Q95,$B$1,$B$2,$R$3,S$6)</f>
        <v>9.5647445393394911E-2</v>
      </c>
      <c r="T95" s="14" cm="1">
        <f t="array" ref="T95">BS_Greek("CALL","RHO",$Q95,$B$1,$B$2,$R$3,T$6)</f>
        <v>0.14193093045907348</v>
      </c>
      <c r="U95" s="14" cm="1">
        <f t="array" ref="U95">BS_Greek("CALL","RHO",$Q95,$B$1,$B$2,$R$3,U$6)</f>
        <v>0.18748461687370582</v>
      </c>
      <c r="V95" s="14" cm="1">
        <f t="array" ref="V95">BS_Greek("CALL","RHO",$Q95,$B$1,$B$2,$R$3,V$6)</f>
        <v>0.23239821537606059</v>
      </c>
      <c r="W95" s="14" cm="1">
        <f t="array" ref="W95">BS_Greek("CALL","RHO",$Q95,$B$1,$B$2,$R$3,W$6)</f>
        <v>0.27673266418213815</v>
      </c>
      <c r="X95" s="14" cm="1">
        <f t="array" ref="X95">BS_Greek("CALL","RHO",$Q95,$B$1,$B$2,$R$3,X$6)</f>
        <v>0.32053299834482402</v>
      </c>
      <c r="Y95" s="14" cm="1">
        <f t="array" ref="Y95">BS_Greek("CALL","RHO",$Q95,$B$1,$B$2,$R$3,Y$6)</f>
        <v>0.36383434264921355</v>
      </c>
      <c r="Z95" s="14" cm="1">
        <f t="array" ref="Z95">BS_Greek("CALL","RHO",$Q95,$B$1,$B$2,$R$3,Z$6)</f>
        <v>0.40666514264759984</v>
      </c>
      <c r="AA95" s="14" cm="1">
        <f t="array" ref="AA95">BS_Greek("CALL","RHO",$Q95,$B$1,$B$2,$R$3,AA$6)</f>
        <v>0.44904908466519977</v>
      </c>
      <c r="AB95" s="14" cm="1">
        <f t="array" ref="AB95">BS_Greek("CALL","RHO",$Q95,$B$1,$B$2,$R$3,AB$6)</f>
        <v>0.85174423276303957</v>
      </c>
      <c r="AC95" s="14" cm="1">
        <f t="array" ref="AC95">BS_Greek("CALL","RHO",$Q95,$B$1,$B$2,$R$3,AC$6)</f>
        <v>1.2225575387364285</v>
      </c>
      <c r="AD95" s="14" cm="1">
        <f t="array" ref="AD95">BS_Greek("CALL","RHO",$Q95,$B$1,$B$2,$R$3,AD$6)</f>
        <v>1.5670525263856454</v>
      </c>
      <c r="AE95" s="23" cm="1">
        <f t="array" ref="AE95">BS_Greek("CALL","RHO",$Q95,$B$1,$B$2,$R$3,AE$6)</f>
        <v>1.888640374957363</v>
      </c>
      <c r="AF95" s="5"/>
      <c r="AG95" s="12">
        <v>100</v>
      </c>
      <c r="AH95" s="22" cm="1">
        <f t="array" ref="AH95">BS_Greek("CALL","RHO",$AG95,$B$1,$B$2,$AH$3,AH$86)</f>
        <v>5.0580151398953388E-2</v>
      </c>
      <c r="AI95" s="14" cm="1">
        <f t="array" ref="AI95">BS_Greek("CALL","RHO",$AG95,$B$1,$B$2,$AH$3,AI$86)</f>
        <v>0.10158061093169937</v>
      </c>
      <c r="AJ95" s="14" cm="1">
        <f t="array" ref="AJ95">BS_Greek("CALL","RHO",$AG95,$B$1,$B$2,$AH$3,AJ$86)</f>
        <v>0.15281809298363572</v>
      </c>
      <c r="AK95" s="14" cm="1">
        <f t="array" ref="AK95">BS_Greek("CALL","RHO",$AG95,$B$1,$B$2,$AH$3,AK$86)</f>
        <v>0.20422688060793109</v>
      </c>
      <c r="AL95" s="14" cm="1">
        <f t="array" ref="AL95">BS_Greek("CALL","RHO",$AG95,$B$1,$B$2,$AH$3,AL$86)</f>
        <v>0.25576885410967221</v>
      </c>
      <c r="AM95" s="14" cm="1">
        <f t="array" ref="AM95">BS_Greek("CALL","RHO",$AG95,$B$1,$B$2,$AH$3,AM$86)</f>
        <v>0.3074182098541432</v>
      </c>
      <c r="AN95" s="14" cm="1">
        <f t="array" ref="AN95">BS_Greek("CALL","RHO",$AG95,$B$1,$B$2,$AH$3,AN$86)</f>
        <v>0.35915594909590864</v>
      </c>
      <c r="AO95" s="14" cm="1">
        <f t="array" ref="AO95">BS_Greek("CALL","RHO",$AG95,$B$1,$B$2,$AH$3,AO$86)</f>
        <v>0.41096731210161042</v>
      </c>
      <c r="AP95" s="14" cm="1">
        <f t="array" ref="AP95">BS_Greek("CALL","RHO",$AG95,$B$1,$B$2,$AH$3,AP$86)</f>
        <v>0.46284039504608737</v>
      </c>
      <c r="AQ95" s="14" cm="1">
        <f t="array" ref="AQ95">BS_Greek("CALL","RHO",$AG95,$B$1,$B$2,$AH$3,AQ$86)</f>
        <v>0.51476532828002164</v>
      </c>
      <c r="AR95" s="14" cm="1">
        <f t="array" ref="AR95">BS_Greek("CALL","RHO",$AG95,$B$1,$B$2,$AH$3,AR$86)</f>
        <v>1.0354544111550688</v>
      </c>
      <c r="AS95" s="14" cm="1">
        <f t="array" ref="AS95">BS_Greek("CALL","RHO",$AG95,$B$1,$B$2,$AH$3,AS$86)</f>
        <v>1.5561276866903311</v>
      </c>
      <c r="AT95" s="14" cm="1">
        <f t="array" ref="AT95">BS_Greek("CALL","RHO",$AG95,$B$1,$B$2,$AH$3,AT$86)</f>
        <v>2.0746435400648329</v>
      </c>
      <c r="AU95" s="23" cm="1">
        <f t="array" ref="AU95">BS_Greek("CALL","RHO",$AG95,$B$1,$B$2,$AH$3,AU$86)</f>
        <v>2.5897713521361756</v>
      </c>
      <c r="AV95" s="5"/>
      <c r="AW95" s="5"/>
      <c r="AX95" s="5"/>
      <c r="AY95" s="5"/>
      <c r="AZ95" s="5"/>
      <c r="BA95" s="5"/>
      <c r="BB95" s="5"/>
    </row>
    <row r="96" spans="1:54" x14ac:dyDescent="0.2">
      <c r="A96" s="12">
        <v>105</v>
      </c>
      <c r="B96" s="22" cm="1">
        <f t="array" ref="B96">BS_Greek("CALL","RHO",$A96,$B$1,$B$2,$B$3,B$6)</f>
        <v>7.7428944428213187E-2</v>
      </c>
      <c r="C96" s="14" cm="1">
        <f t="array" ref="C96">BS_Greek("CALL","RHO",$A96,$B$1,$B$2,$B$3,C$6)</f>
        <v>0.13963207315360487</v>
      </c>
      <c r="D96" s="14" cm="1">
        <f t="array" ref="D96">BS_Greek("CALL","RHO",$A96,$B$1,$B$2,$B$3,D$6)</f>
        <v>0.19801355879149482</v>
      </c>
      <c r="E96" s="14" cm="1">
        <f t="array" ref="E96">BS_Greek("CALL","RHO",$A96,$B$1,$B$2,$B$3,E$6)</f>
        <v>0.25432746553601698</v>
      </c>
      <c r="F96" s="14" cm="1">
        <f t="array" ref="F96">BS_Greek("CALL","RHO",$A96,$B$1,$B$2,$B$3,F$6)</f>
        <v>0.30924184743469108</v>
      </c>
      <c r="G96" s="14" cm="1">
        <f t="array" ref="G96">BS_Greek("CALL","RHO",$A96,$B$1,$B$2,$B$3,G$6)</f>
        <v>0.3630986698000524</v>
      </c>
      <c r="H96" s="14" cm="1">
        <f t="array" ref="H96">BS_Greek("CALL","RHO",$A96,$B$1,$B$2,$B$3,H$6)</f>
        <v>0.41610220083116078</v>
      </c>
      <c r="I96" s="14" cm="1">
        <f t="array" ref="I96">BS_Greek("CALL","RHO",$A96,$B$1,$B$2,$B$3,I$6)</f>
        <v>0.46838682825452466</v>
      </c>
      <c r="J96" s="14" cm="1">
        <f t="array" ref="J96">BS_Greek("CALL","RHO",$A96,$B$1,$B$2,$B$3,J$6)</f>
        <v>0.52004704799454149</v>
      </c>
      <c r="K96" s="14" cm="1">
        <f t="array" ref="K96">BS_Greek("CALL","RHO",$A96,$B$1,$B$2,$B$3,K$6)</f>
        <v>0.57115262574421599</v>
      </c>
      <c r="L96" s="14" cm="1">
        <f t="array" ref="L96">BS_Greek("CALL","RHO",$A96,$B$1,$B$2,$B$3,L$6)</f>
        <v>1.059668797036952</v>
      </c>
      <c r="M96" s="14" cm="1">
        <f t="array" ref="M96">BS_Greek("CALL","RHO",$A96,$B$1,$B$2,$B$3,M$6)</f>
        <v>1.5186376940705388</v>
      </c>
      <c r="N96" s="14" cm="1">
        <f t="array" ref="N96">BS_Greek("CALL","RHO",$A96,$B$1,$B$2,$B$3,N$6)</f>
        <v>1.9552688246325391</v>
      </c>
      <c r="O96" s="23" cm="1">
        <f t="array" ref="O96">BS_Greek("CALL","RHO",$A96,$B$1,$B$2,$B$3,O$6)</f>
        <v>2.3729405021947212</v>
      </c>
      <c r="P96" s="5"/>
      <c r="Q96" s="12">
        <v>105</v>
      </c>
      <c r="R96" s="22" cm="1">
        <f t="array" ref="R96">BS_Greek("CALL","RHO",$Q96,$B$1,$B$2,$R$3,R$6)</f>
        <v>6.8277831133797179E-2</v>
      </c>
      <c r="S96" s="14" cm="1">
        <f t="array" ref="S96">BS_Greek("CALL","RHO",$Q96,$B$1,$B$2,$R$3,S$6)</f>
        <v>0.12420817808937205</v>
      </c>
      <c r="T96" s="14" cm="1">
        <f t="array" ref="T96">BS_Greek("CALL","RHO",$Q96,$B$1,$B$2,$R$3,T$6)</f>
        <v>0.17710675985594915</v>
      </c>
      <c r="U96" s="14" cm="1">
        <f t="array" ref="U96">BS_Greek("CALL","RHO",$Q96,$B$1,$B$2,$R$3,U$6)</f>
        <v>0.22818237236294162</v>
      </c>
      <c r="V96" s="14" cm="1">
        <f t="array" ref="V96">BS_Greek("CALL","RHO",$Q96,$B$1,$B$2,$R$3,V$6)</f>
        <v>0.27792320019220723</v>
      </c>
      <c r="W96" s="14" cm="1">
        <f t="array" ref="W96">BS_Greek("CALL","RHO",$Q96,$B$1,$B$2,$R$3,W$6)</f>
        <v>0.32659213280179172</v>
      </c>
      <c r="X96" s="14" cm="1">
        <f t="array" ref="X96">BS_Greek("CALL","RHO",$Q96,$B$1,$B$2,$R$3,X$6)</f>
        <v>0.37435336997194241</v>
      </c>
      <c r="Y96" s="14" cm="1">
        <f t="array" ref="Y96">BS_Greek("CALL","RHO",$Q96,$B$1,$B$2,$R$3,Y$6)</f>
        <v>0.42131936325461389</v>
      </c>
      <c r="Z96" s="14" cm="1">
        <f t="array" ref="Z96">BS_Greek("CALL","RHO",$Q96,$B$1,$B$2,$R$3,Z$6)</f>
        <v>0.46757213487895105</v>
      </c>
      <c r="AA96" s="14" cm="1">
        <f t="array" ref="AA96">BS_Greek("CALL","RHO",$Q96,$B$1,$B$2,$R$3,AA$6)</f>
        <v>0.51317432142978925</v>
      </c>
      <c r="AB96" s="14" cm="1">
        <f t="array" ref="AB96">BS_Greek("CALL","RHO",$Q96,$B$1,$B$2,$R$3,AB$6)</f>
        <v>0.941116891312198</v>
      </c>
      <c r="AC96" s="14" cm="1">
        <f t="array" ref="AC96">BS_Greek("CALL","RHO",$Q96,$B$1,$B$2,$R$3,AC$6)</f>
        <v>1.330271469421086</v>
      </c>
      <c r="AD96" s="14" cm="1">
        <f t="array" ref="AD96">BS_Greek("CALL","RHO",$Q96,$B$1,$B$2,$R$3,AD$6)</f>
        <v>1.6894022005404263</v>
      </c>
      <c r="AE96" s="23" cm="1">
        <f t="array" ref="AE96">BS_Greek("CALL","RHO",$Q96,$B$1,$B$2,$R$3,AE$6)</f>
        <v>2.0231815965757338</v>
      </c>
      <c r="AF96" s="5"/>
      <c r="AG96" s="12">
        <v>105</v>
      </c>
      <c r="AH96" s="22" cm="1">
        <f t="array" ref="AH96">BS_Greek("CALL","RHO",$AG96,$B$1,$B$2,$AH$3,AH$86)</f>
        <v>9.3952533892679782E-2</v>
      </c>
      <c r="AI96" s="14" cm="1">
        <f t="array" ref="AI96">BS_Greek("CALL","RHO",$AG96,$B$1,$B$2,$AH$3,AI$86)</f>
        <v>0.17309729794666576</v>
      </c>
      <c r="AJ96" s="14" cm="1">
        <f t="array" ref="AJ96">BS_Greek("CALL","RHO",$AG96,$B$1,$B$2,$AH$3,AJ$86)</f>
        <v>0.24548285319545804</v>
      </c>
      <c r="AK96" s="14" cm="1">
        <f t="array" ref="AK96">BS_Greek("CALL","RHO",$AG96,$B$1,$B$2,$AH$3,AK$86)</f>
        <v>0.3143524086596941</v>
      </c>
      <c r="AL96" s="14" cm="1">
        <f t="array" ref="AL96">BS_Greek("CALL","RHO",$AG96,$B$1,$B$2,$AH$3,AL$86)</f>
        <v>0.38103111573428783</v>
      </c>
      <c r="AM96" s="14" cm="1">
        <f t="array" ref="AM96">BS_Greek("CALL","RHO",$AG96,$B$1,$B$2,$AH$3,AM$86)</f>
        <v>0.44619116273382176</v>
      </c>
      <c r="AN96" s="14" cm="1">
        <f t="array" ref="AN96">BS_Greek("CALL","RHO",$AG96,$B$1,$B$2,$AH$3,AN$86)</f>
        <v>0.51022305279995173</v>
      </c>
      <c r="AO96" s="14" cm="1">
        <f t="array" ref="AO96">BS_Greek("CALL","RHO",$AG96,$B$1,$B$2,$AH$3,AO$86)</f>
        <v>0.57337518442883206</v>
      </c>
      <c r="AP96" s="14" cm="1">
        <f t="array" ref="AP96">BS_Greek("CALL","RHO",$AG96,$B$1,$B$2,$AH$3,AP$86)</f>
        <v>0.63581611101087543</v>
      </c>
      <c r="AQ96" s="14" cm="1">
        <f t="array" ref="AQ96">BS_Greek("CALL","RHO",$AG96,$B$1,$B$2,$AH$3,AQ$86)</f>
        <v>0.69766586400827935</v>
      </c>
      <c r="AR96" s="14" cm="1">
        <f t="array" ref="AR96">BS_Greek("CALL","RHO",$AG96,$B$1,$B$2,$AH$3,AR$86)</f>
        <v>1.296192395779916</v>
      </c>
      <c r="AS96" s="14" cm="1">
        <f t="array" ref="AS96">BS_Greek("CALL","RHO",$AG96,$B$1,$B$2,$AH$3,AS$86)</f>
        <v>1.8739472983683121</v>
      </c>
      <c r="AT96" s="14" cm="1">
        <f t="array" ref="AT96">BS_Greek("CALL","RHO",$AG96,$B$1,$B$2,$AH$3,AT$86)</f>
        <v>2.4387078999118201</v>
      </c>
      <c r="AU96" s="23" cm="1">
        <f t="array" ref="AU96">BS_Greek("CALL","RHO",$AG96,$B$1,$B$2,$AH$3,AU$86)</f>
        <v>2.9930428387344614</v>
      </c>
      <c r="AV96" s="5"/>
      <c r="AW96" s="5"/>
      <c r="AX96" s="5"/>
      <c r="AY96" s="5"/>
      <c r="AZ96" s="5"/>
      <c r="BA96" s="5"/>
      <c r="BB96" s="5"/>
    </row>
    <row r="97" spans="1:54" x14ac:dyDescent="0.2">
      <c r="A97" s="12">
        <v>110</v>
      </c>
      <c r="B97" s="22" cm="1">
        <f t="array" ref="B97">BS_Greek("CALL","RHO",$A97,$B$1,$B$2,$B$3,B$6)</f>
        <v>9.3111062933054906E-2</v>
      </c>
      <c r="C97" s="14" cm="1">
        <f t="array" ref="C97">BS_Greek("CALL","RHO",$A97,$B$1,$B$2,$B$3,C$6)</f>
        <v>0.16997597069863818</v>
      </c>
      <c r="D97" s="14" cm="1">
        <f t="array" ref="D97">BS_Greek("CALL","RHO",$A97,$B$1,$B$2,$B$3,D$6)</f>
        <v>0.23936909463006029</v>
      </c>
      <c r="E97" s="14" cm="1">
        <f t="array" ref="E97">BS_Greek("CALL","RHO",$A97,$B$1,$B$2,$B$3,E$6)</f>
        <v>0.30470390561626748</v>
      </c>
      <c r="F97" s="14" cm="1">
        <f t="array" ref="F97">BS_Greek("CALL","RHO",$A97,$B$1,$B$2,$B$3,F$6)</f>
        <v>0.36738595144398112</v>
      </c>
      <c r="G97" s="14" cm="1">
        <f t="array" ref="G97">BS_Greek("CALL","RHO",$A97,$B$1,$B$2,$B$3,G$6)</f>
        <v>0.42813919395874583</v>
      </c>
      <c r="H97" s="14" cm="1">
        <f t="array" ref="H97">BS_Greek("CALL","RHO",$A97,$B$1,$B$2,$B$3,H$6)</f>
        <v>0.48739182226438393</v>
      </c>
      <c r="I97" s="14" cm="1">
        <f t="array" ref="I97">BS_Greek("CALL","RHO",$A97,$B$1,$B$2,$B$3,I$6)</f>
        <v>0.54542150099630138</v>
      </c>
      <c r="J97" s="14" cm="1">
        <f t="array" ref="J97">BS_Greek("CALL","RHO",$A97,$B$1,$B$2,$B$3,J$6)</f>
        <v>0.60242046033683738</v>
      </c>
      <c r="K97" s="14" cm="1">
        <f t="array" ref="K97">BS_Greek("CALL","RHO",$A97,$B$1,$B$2,$B$3,K$6)</f>
        <v>0.65852844532273391</v>
      </c>
      <c r="L97" s="14" cm="1">
        <f t="array" ref="L97">BS_Greek("CALL","RHO",$A97,$B$1,$B$2,$B$3,L$6)</f>
        <v>1.1860034685036835</v>
      </c>
      <c r="M97" s="14" cm="1">
        <f t="array" ref="M97">BS_Greek("CALL","RHO",$A97,$B$1,$B$2,$B$3,M$6)</f>
        <v>1.6733520389609637</v>
      </c>
      <c r="N97" s="14" cm="1">
        <f t="array" ref="N97">BS_Greek("CALL","RHO",$A97,$B$1,$B$2,$B$3,N$6)</f>
        <v>2.1329088821197066</v>
      </c>
      <c r="O97" s="23" cm="1">
        <f t="array" ref="O97">BS_Greek("CALL","RHO",$A97,$B$1,$B$2,$B$3,O$6)</f>
        <v>2.5699862244155018</v>
      </c>
      <c r="P97" s="5"/>
      <c r="Q97" s="12">
        <v>110</v>
      </c>
      <c r="R97" s="22" cm="1">
        <f t="array" ref="R97">BS_Greek("CALL","RHO",$Q97,$B$1,$B$2,$R$3,R$6)</f>
        <v>8.3258594130054389E-2</v>
      </c>
      <c r="S97" s="14" cm="1">
        <f t="array" ref="S97">BS_Greek("CALL","RHO",$Q97,$B$1,$B$2,$R$3,S$6)</f>
        <v>0.14866303408782125</v>
      </c>
      <c r="T97" s="14" cm="1">
        <f t="array" ref="T97">BS_Greek("CALL","RHO",$Q97,$B$1,$B$2,$R$3,T$6)</f>
        <v>0.20850986007567907</v>
      </c>
      <c r="U97" s="14" cm="1">
        <f t="array" ref="U97">BS_Greek("CALL","RHO",$Q97,$B$1,$B$2,$R$3,U$6)</f>
        <v>0.2652854606672988</v>
      </c>
      <c r="V97" s="14" cm="1">
        <f t="array" ref="V97">BS_Greek("CALL","RHO",$Q97,$B$1,$B$2,$R$3,V$6)</f>
        <v>0.31995430199928426</v>
      </c>
      <c r="W97" s="14" cm="1">
        <f t="array" ref="W97">BS_Greek("CALL","RHO",$Q97,$B$1,$B$2,$R$3,W$6)</f>
        <v>0.37301467373776581</v>
      </c>
      <c r="X97" s="14" cm="1">
        <f t="array" ref="X97">BS_Greek("CALL","RHO",$Q97,$B$1,$B$2,$R$3,X$6)</f>
        <v>0.42476670407640105</v>
      </c>
      <c r="Y97" s="14" cm="1">
        <f t="array" ref="Y97">BS_Greek("CALL","RHO",$Q97,$B$1,$B$2,$R$3,Y$6)</f>
        <v>0.47540950801739901</v>
      </c>
      <c r="Z97" s="14" cm="1">
        <f t="array" ref="Z97">BS_Greek("CALL","RHO",$Q97,$B$1,$B$2,$R$3,Z$6)</f>
        <v>0.52508429600813011</v>
      </c>
      <c r="AA97" s="14" cm="1">
        <f t="array" ref="AA97">BS_Greek("CALL","RHO",$Q97,$B$1,$B$2,$R$3,AA$6)</f>
        <v>0.57389622642331117</v>
      </c>
      <c r="AB97" s="14" cm="1">
        <f t="array" ref="AB97">BS_Greek("CALL","RHO",$Q97,$B$1,$B$2,$R$3,AB$6)</f>
        <v>1.0268276202708793</v>
      </c>
      <c r="AC97" s="14" cm="1">
        <f t="array" ref="AC97">BS_Greek("CALL","RHO",$Q97,$B$1,$B$2,$R$3,AC$6)</f>
        <v>1.4340106592521729</v>
      </c>
      <c r="AD97" s="14" cm="1">
        <f t="array" ref="AD97">BS_Greek("CALL","RHO",$Q97,$B$1,$B$2,$R$3,AD$6)</f>
        <v>1.8074871324670514</v>
      </c>
      <c r="AE97" s="23" cm="1">
        <f t="array" ref="AE97">BS_Greek("CALL","RHO",$Q97,$B$1,$B$2,$R$3,AE$6)</f>
        <v>2.1531984323949449</v>
      </c>
      <c r="AF97" s="5"/>
      <c r="AG97" s="12">
        <v>110</v>
      </c>
      <c r="AH97" s="22" cm="1">
        <f t="array" ref="AH97">BS_Greek("CALL","RHO",$AG97,$B$1,$B$2,$AH$3,AH$86)</f>
        <v>9.97778079035989E-2</v>
      </c>
      <c r="AI97" s="14" cm="1">
        <f t="array" ref="AI97">BS_Greek("CALL","RHO",$AG97,$B$1,$B$2,$AH$3,AI$86)</f>
        <v>0.19647918755774996</v>
      </c>
      <c r="AJ97" s="14" cm="1">
        <f t="array" ref="AJ97">BS_Greek("CALL","RHO",$AG97,$B$1,$B$2,$AH$3,AJ$86)</f>
        <v>0.28756443180563218</v>
      </c>
      <c r="AK97" s="14" cm="1">
        <f t="array" ref="AK97">BS_Greek("CALL","RHO",$AG97,$B$1,$B$2,$AH$3,AK$86)</f>
        <v>0.3737221634515735</v>
      </c>
      <c r="AL97" s="14" cm="1">
        <f t="array" ref="AL97">BS_Greek("CALL","RHO",$AG97,$B$1,$B$2,$AH$3,AL$86)</f>
        <v>0.45606650497595852</v>
      </c>
      <c r="AM97" s="14" cm="1">
        <f t="array" ref="AM97">BS_Greek("CALL","RHO",$AG97,$B$1,$B$2,$AH$3,AM$86)</f>
        <v>0.53546438342331992</v>
      </c>
      <c r="AN97" s="14" cm="1">
        <f t="array" ref="AN97">BS_Greek("CALL","RHO",$AG97,$B$1,$B$2,$AH$3,AN$86)</f>
        <v>0.61253729163278903</v>
      </c>
      <c r="AO97" s="14" cm="1">
        <f t="array" ref="AO97">BS_Greek("CALL","RHO",$AG97,$B$1,$B$2,$AH$3,AO$86)</f>
        <v>0.68773188516542405</v>
      </c>
      <c r="AP97" s="14" cm="1">
        <f t="array" ref="AP97">BS_Greek("CALL","RHO",$AG97,$B$1,$B$2,$AH$3,AP$86)</f>
        <v>0.76137581768653773</v>
      </c>
      <c r="AQ97" s="14" cm="1">
        <f t="array" ref="AQ97">BS_Greek("CALL","RHO",$AG97,$B$1,$B$2,$AH$3,AQ$86)</f>
        <v>0.83371514981554551</v>
      </c>
      <c r="AR97" s="14" cm="1">
        <f t="array" ref="AR97">BS_Greek("CALL","RHO",$AG97,$B$1,$B$2,$AH$3,AR$86)</f>
        <v>1.5129562033151718</v>
      </c>
      <c r="AS97" s="14" cm="1">
        <f t="array" ref="AS97">BS_Greek("CALL","RHO",$AG97,$B$1,$B$2,$AH$3,AS$86)</f>
        <v>2.1482672152563937</v>
      </c>
      <c r="AT97" s="14" cm="1">
        <f t="array" ref="AT97">BS_Greek("CALL","RHO",$AG97,$B$1,$B$2,$AH$3,AT$86)</f>
        <v>2.758920562756904</v>
      </c>
      <c r="AU97" s="23" cm="1">
        <f t="array" ref="AU97">BS_Greek("CALL","RHO",$AG97,$B$1,$B$2,$AH$3,AU$86)</f>
        <v>3.3517828422688223</v>
      </c>
      <c r="AV97" s="5"/>
      <c r="AW97" s="5"/>
      <c r="AX97" s="5"/>
      <c r="AY97" s="5"/>
      <c r="AZ97" s="5"/>
      <c r="BA97" s="5"/>
      <c r="BB97" s="5"/>
    </row>
    <row r="98" spans="1:54" x14ac:dyDescent="0.2">
      <c r="A98" s="12">
        <v>115</v>
      </c>
      <c r="B98" s="22" cm="1">
        <f t="array" ref="B98">BS_Greek("CALL","RHO",$A98,$B$1,$B$2,$B$3,B$6)</f>
        <v>9.848975862557928E-2</v>
      </c>
      <c r="C98" s="14" cm="1">
        <f t="array" ref="C98">BS_Greek("CALL","RHO",$A98,$B$1,$B$2,$B$3,C$6)</f>
        <v>0.18727453260072849</v>
      </c>
      <c r="D98" s="14" cm="1">
        <f t="array" ref="D98">BS_Greek("CALL","RHO",$A98,$B$1,$B$2,$B$3,D$6)</f>
        <v>0.26741714753531926</v>
      </c>
      <c r="E98" s="14" cm="1">
        <f t="array" ref="E98">BS_Greek("CALL","RHO",$A98,$B$1,$B$2,$B$3,E$6)</f>
        <v>0.34200126589648205</v>
      </c>
      <c r="F98" s="14" cm="1">
        <f t="array" ref="F98">BS_Greek("CALL","RHO",$A98,$B$1,$B$2,$B$3,F$6)</f>
        <v>0.41277215823472962</v>
      </c>
      <c r="G98" s="14" cm="1">
        <f t="array" ref="G98">BS_Greek("CALL","RHO",$A98,$B$1,$B$2,$B$3,G$6)</f>
        <v>0.48073652121744176</v>
      </c>
      <c r="H98" s="14" cm="1">
        <f t="array" ref="H98">BS_Greek("CALL","RHO",$A98,$B$1,$B$2,$B$3,H$6)</f>
        <v>0.54652113577166306</v>
      </c>
      <c r="I98" s="14" cm="1">
        <f t="array" ref="I98">BS_Greek("CALL","RHO",$A98,$B$1,$B$2,$B$3,I$6)</f>
        <v>0.61054291488019341</v>
      </c>
      <c r="J98" s="14" cm="1">
        <f t="array" ref="J98">BS_Greek("CALL","RHO",$A98,$B$1,$B$2,$B$3,J$6)</f>
        <v>0.67309416261096178</v>
      </c>
      <c r="K98" s="14" cm="1">
        <f t="array" ref="K98">BS_Greek("CALL","RHO",$A98,$B$1,$B$2,$B$3,K$6)</f>
        <v>0.73438858241015237</v>
      </c>
      <c r="L98" s="14" cm="1">
        <f t="array" ref="L98">BS_Greek("CALL","RHO",$A98,$B$1,$B$2,$B$3,L$6)</f>
        <v>1.301716483822899</v>
      </c>
      <c r="M98" s="14" cm="1">
        <f t="array" ref="M98">BS_Greek("CALL","RHO",$A98,$B$1,$B$2,$B$3,M$6)</f>
        <v>1.8176154213669029</v>
      </c>
      <c r="N98" s="14" cm="1">
        <f t="array" ref="N98">BS_Greek("CALL","RHO",$A98,$B$1,$B$2,$B$3,N$6)</f>
        <v>2.3000383938445141</v>
      </c>
      <c r="O98" s="23" cm="1">
        <f t="array" ref="O98">BS_Greek("CALL","RHO",$A98,$B$1,$B$2,$B$3,O$6)</f>
        <v>2.7563718801831256</v>
      </c>
      <c r="P98" s="5"/>
      <c r="Q98" s="12">
        <v>115</v>
      </c>
      <c r="R98" s="22" cm="1">
        <f t="array" ref="R98">BS_Greek("CALL","RHO",$Q98,$B$1,$B$2,$R$3,R$6)</f>
        <v>9.2362125771932119E-2</v>
      </c>
      <c r="S98" s="14" cm="1">
        <f t="array" ref="S98">BS_Greek("CALL","RHO",$Q98,$B$1,$B$2,$R$3,S$6)</f>
        <v>0.16742535793708607</v>
      </c>
      <c r="T98" s="14" cm="1">
        <f t="array" ref="T98">BS_Greek("CALL","RHO",$Q98,$B$1,$B$2,$R$3,T$6)</f>
        <v>0.23457335932437789</v>
      </c>
      <c r="U98" s="14" cm="1">
        <f t="array" ref="U98">BS_Greek("CALL","RHO",$Q98,$B$1,$B$2,$R$3,U$6)</f>
        <v>0.29731963677583229</v>
      </c>
      <c r="V98" s="14" cm="1">
        <f t="array" ref="V98">BS_Greek("CALL","RHO",$Q98,$B$1,$B$2,$R$3,V$6)</f>
        <v>0.35711501203565793</v>
      </c>
      <c r="W98" s="14" cm="1">
        <f t="array" ref="W98">BS_Greek("CALL","RHO",$Q98,$B$1,$B$2,$R$3,W$6)</f>
        <v>0.41471363169847442</v>
      </c>
      <c r="X98" s="14" cm="1">
        <f t="array" ref="X98">BS_Greek("CALL","RHO",$Q98,$B$1,$B$2,$R$3,X$6)</f>
        <v>0.47056644807114717</v>
      </c>
      <c r="Y98" s="14" cm="1">
        <f t="array" ref="Y98">BS_Greek("CALL","RHO",$Q98,$B$1,$B$2,$R$3,Y$6)</f>
        <v>0.52496929542260917</v>
      </c>
      <c r="Z98" s="14" cm="1">
        <f t="array" ref="Z98">BS_Greek("CALL","RHO",$Q98,$B$1,$B$2,$R$3,Z$6)</f>
        <v>0.57812941191026346</v>
      </c>
      <c r="AA98" s="14" cm="1">
        <f t="array" ref="AA98">BS_Greek("CALL","RHO",$Q98,$B$1,$B$2,$R$3,AA$6)</f>
        <v>0.6301992394484307</v>
      </c>
      <c r="AB98" s="14" cm="1">
        <f t="array" ref="AB98">BS_Greek("CALL","RHO",$Q98,$B$1,$B$2,$R$3,AB$6)</f>
        <v>1.108220192638607</v>
      </c>
      <c r="AC98" s="14" cm="1">
        <f t="array" ref="AC98">BS_Greek("CALL","RHO",$Q98,$B$1,$B$2,$R$3,AC$6)</f>
        <v>1.5333110283875411</v>
      </c>
      <c r="AD98" s="14" cm="1">
        <f t="array" ref="AD98">BS_Greek("CALL","RHO",$Q98,$B$1,$B$2,$R$3,AD$6)</f>
        <v>1.9209705624827618</v>
      </c>
      <c r="AE98" s="23" cm="1">
        <f t="array" ref="AE98">BS_Greek("CALL","RHO",$Q98,$B$1,$B$2,$R$3,AE$6)</f>
        <v>2.2784478679255171</v>
      </c>
      <c r="AF98" s="5"/>
      <c r="AG98" s="12">
        <v>115</v>
      </c>
      <c r="AH98" s="22" cm="1">
        <f t="array" ref="AH98">BS_Greek("CALL","RHO",$AG98,$B$1,$B$2,$AH$3,AH$86)</f>
        <v>9.9899591088745562E-2</v>
      </c>
      <c r="AI98" s="14" cm="1">
        <f t="array" ref="AI98">BS_Greek("CALL","RHO",$AG98,$B$1,$B$2,$AH$3,AI$86)</f>
        <v>0.199436074035796</v>
      </c>
      <c r="AJ98" s="14" cm="1">
        <f t="array" ref="AJ98">BS_Greek("CALL","RHO",$AG98,$B$1,$B$2,$AH$3,AJ$86)</f>
        <v>0.29761983540617443</v>
      </c>
      <c r="AK98" s="14" cm="1">
        <f t="array" ref="AK98">BS_Greek("CALL","RHO",$AG98,$B$1,$B$2,$AH$3,AK$86)</f>
        <v>0.39342380536091398</v>
      </c>
      <c r="AL98" s="14" cm="1">
        <f t="array" ref="AL98">BS_Greek("CALL","RHO",$AG98,$B$1,$B$2,$AH$3,AL$86)</f>
        <v>0.48650344681152441</v>
      </c>
      <c r="AM98" s="14" cm="1">
        <f t="array" ref="AM98">BS_Greek("CALL","RHO",$AG98,$B$1,$B$2,$AH$3,AM$86)</f>
        <v>0.57693143792728852</v>
      </c>
      <c r="AN98" s="14" cm="1">
        <f t="array" ref="AN98">BS_Greek("CALL","RHO",$AG98,$B$1,$B$2,$AH$3,AN$86)</f>
        <v>0.66493513401483273</v>
      </c>
      <c r="AO98" s="14" cm="1">
        <f t="array" ref="AO98">BS_Greek("CALL","RHO",$AG98,$B$1,$B$2,$AH$3,AO$86)</f>
        <v>0.75077492898362252</v>
      </c>
      <c r="AP98" s="14" cm="1">
        <f t="array" ref="AP98">BS_Greek("CALL","RHO",$AG98,$B$1,$B$2,$AH$3,AP$86)</f>
        <v>0.83469784716418216</v>
      </c>
      <c r="AQ98" s="14" cm="1">
        <f t="array" ref="AQ98">BS_Greek("CALL","RHO",$AG98,$B$1,$B$2,$AH$3,AQ$86)</f>
        <v>0.91692301259484632</v>
      </c>
      <c r="AR98" s="14" cm="1">
        <f t="array" ref="AR98">BS_Greek("CALL","RHO",$AG98,$B$1,$B$2,$AH$3,AR$86)</f>
        <v>1.6765216924491808</v>
      </c>
      <c r="AS98" s="14" cm="1">
        <f t="array" ref="AS98">BS_Greek("CALL","RHO",$AG98,$B$1,$B$2,$AH$3,AS$86)</f>
        <v>2.3704399931886559</v>
      </c>
      <c r="AT98" s="14" cm="1">
        <f t="array" ref="AT98">BS_Greek("CALL","RHO",$AG98,$B$1,$B$2,$AH$3,AT$86)</f>
        <v>3.0276382235568668</v>
      </c>
      <c r="AU98" s="23" cm="1">
        <f t="array" ref="AU98">BS_Greek("CALL","RHO",$AG98,$B$1,$B$2,$AH$3,AU$86)</f>
        <v>3.6593296824907293</v>
      </c>
      <c r="AV98" s="5"/>
      <c r="AW98" s="5"/>
      <c r="AX98" s="5"/>
      <c r="AY98" s="5"/>
      <c r="AZ98" s="5"/>
      <c r="BA98" s="5"/>
      <c r="BB98" s="5"/>
    </row>
    <row r="99" spans="1:54" x14ac:dyDescent="0.2">
      <c r="A99" s="12">
        <v>120</v>
      </c>
      <c r="B99" s="22" cm="1">
        <f t="array" ref="B99">BS_Greek("CALL","RHO",$A99,$B$1,$B$2,$B$3,B$6)</f>
        <v>9.969302994528785E-2</v>
      </c>
      <c r="C99" s="14" cm="1">
        <f t="array" ref="C99">BS_Greek("CALL","RHO",$A99,$B$1,$B$2,$B$3,C$6)</f>
        <v>0.19522974084010122</v>
      </c>
      <c r="D99" s="14" cm="1">
        <f t="array" ref="D99">BS_Greek("CALL","RHO",$A99,$B$1,$B$2,$B$3,D$6)</f>
        <v>0.28390164223017772</v>
      </c>
      <c r="E99" s="14" cm="1">
        <f t="array" ref="E99">BS_Greek("CALL","RHO",$A99,$B$1,$B$2,$B$3,E$6)</f>
        <v>0.36680746478076992</v>
      </c>
      <c r="F99" s="14" cm="1">
        <f t="array" ref="F99">BS_Greek("CALL","RHO",$A99,$B$1,$B$2,$B$3,F$6)</f>
        <v>0.44529407145839939</v>
      </c>
      <c r="G99" s="14" cm="1">
        <f t="array" ref="G99">BS_Greek("CALL","RHO",$A99,$B$1,$B$2,$B$3,G$6)</f>
        <v>0.52035124616342843</v>
      </c>
      <c r="H99" s="14" cm="1">
        <f t="array" ref="H99">BS_Greek("CALL","RHO",$A99,$B$1,$B$2,$B$3,H$6)</f>
        <v>0.59267237553388963</v>
      </c>
      <c r="I99" s="14" cm="1">
        <f t="array" ref="I99">BS_Greek("CALL","RHO",$A99,$B$1,$B$2,$B$3,I$6)</f>
        <v>0.66275083755870501</v>
      </c>
      <c r="J99" s="14" cm="1">
        <f t="array" ref="J99">BS_Greek("CALL","RHO",$A99,$B$1,$B$2,$B$3,J$6)</f>
        <v>0.73094735333031413</v>
      </c>
      <c r="K99" s="14" cm="1">
        <f t="array" ref="K99">BS_Greek("CALL","RHO",$A99,$B$1,$B$2,$B$3,K$6)</f>
        <v>0.79753296736124057</v>
      </c>
      <c r="L99" s="14" cm="1">
        <f t="array" ref="L99">BS_Greek("CALL","RHO",$A99,$B$1,$B$2,$B$3,L$6)</f>
        <v>1.4055657274099251</v>
      </c>
      <c r="M99" s="14" cm="1">
        <f t="array" ref="M99">BS_Greek("CALL","RHO",$A99,$B$1,$B$2,$B$3,M$6)</f>
        <v>1.9503860096125629</v>
      </c>
      <c r="N99" s="14" cm="1">
        <f t="array" ref="N99">BS_Greek("CALL","RHO",$A99,$B$1,$B$2,$B$3,N$6)</f>
        <v>2.4558019526519712</v>
      </c>
      <c r="O99" s="23" cm="1">
        <f t="array" ref="O99">BS_Greek("CALL","RHO",$A99,$B$1,$B$2,$B$3,O$6)</f>
        <v>2.9313996071778941</v>
      </c>
      <c r="P99" s="5"/>
      <c r="Q99" s="12">
        <v>120</v>
      </c>
      <c r="R99" s="22" cm="1">
        <f t="array" ref="R99">BS_Greek("CALL","RHO",$Q99,$B$1,$B$2,$R$3,R$6)</f>
        <v>9.6931155243772646E-2</v>
      </c>
      <c r="S99" s="14" cm="1">
        <f t="array" ref="S99">BS_Greek("CALL","RHO",$Q99,$B$1,$B$2,$R$3,S$6)</f>
        <v>0.18050952682701793</v>
      </c>
      <c r="T99" s="14" cm="1">
        <f t="array" ref="T99">BS_Greek("CALL","RHO",$Q99,$B$1,$B$2,$R$3,T$6)</f>
        <v>0.25487739366774992</v>
      </c>
      <c r="U99" s="14" cm="1">
        <f t="array" ref="U99">BS_Greek("CALL","RHO",$Q99,$B$1,$B$2,$R$3,U$6)</f>
        <v>0.32370108870629921</v>
      </c>
      <c r="V99" s="14" cm="1">
        <f t="array" ref="V99">BS_Greek("CALL","RHO",$Q99,$B$1,$B$2,$R$3,V$6)</f>
        <v>0.38875814895490307</v>
      </c>
      <c r="W99" s="14" cm="1">
        <f t="array" ref="W99">BS_Greek("CALL","RHO",$Q99,$B$1,$B$2,$R$3,W$6)</f>
        <v>0.45102197776462988</v>
      </c>
      <c r="X99" s="14" cm="1">
        <f t="array" ref="X99">BS_Greek("CALL","RHO",$Q99,$B$1,$B$2,$R$3,X$6)</f>
        <v>0.5110863748913933</v>
      </c>
      <c r="Y99" s="14" cm="1">
        <f t="array" ref="Y99">BS_Greek("CALL","RHO",$Q99,$B$1,$B$2,$R$3,Y$6)</f>
        <v>0.56934359886945318</v>
      </c>
      <c r="Z99" s="14" cm="1">
        <f t="array" ref="Z99">BS_Greek("CALL","RHO",$Q99,$B$1,$B$2,$R$3,Z$6)</f>
        <v>0.62606865589008986</v>
      </c>
      <c r="AA99" s="14" cm="1">
        <f t="array" ref="AA99">BS_Greek("CALL","RHO",$Q99,$B$1,$B$2,$R$3,AA$6)</f>
        <v>0.68146336615181535</v>
      </c>
      <c r="AB99" s="14" cm="1">
        <f t="array" ref="AB99">BS_Greek("CALL","RHO",$Q99,$B$1,$B$2,$R$3,AB$6)</f>
        <v>1.1848579476912982</v>
      </c>
      <c r="AC99" s="14" cm="1">
        <f t="array" ref="AC99">BS_Greek("CALL","RHO",$Q99,$B$1,$B$2,$R$3,AC$6)</f>
        <v>1.6278634009613051</v>
      </c>
      <c r="AD99" s="14" cm="1">
        <f t="array" ref="AD99">BS_Greek("CALL","RHO",$Q99,$B$1,$B$2,$R$3,AD$6)</f>
        <v>2.0296348209289148</v>
      </c>
      <c r="AE99" s="23" cm="1">
        <f t="array" ref="AE99">BS_Greek("CALL","RHO",$Q99,$B$1,$B$2,$R$3,AE$6)</f>
        <v>2.3987823120714449</v>
      </c>
      <c r="AF99" s="5"/>
      <c r="AG99" s="12">
        <v>120</v>
      </c>
      <c r="AH99" s="22" cm="1">
        <f t="array" ref="AH99">BS_Greek("CALL","RHO",$AG99,$B$1,$B$2,$AH$3,AH$86)</f>
        <v>9.9900049613135686E-2</v>
      </c>
      <c r="AI99" s="14" cm="1">
        <f t="array" ref="AI99">BS_Greek("CALL","RHO",$AG99,$B$1,$B$2,$AH$3,AI$86)</f>
        <v>0.1995962621140612</v>
      </c>
      <c r="AJ99" s="14" cm="1">
        <f t="array" ref="AJ99">BS_Greek("CALL","RHO",$AG99,$B$1,$B$2,$AH$3,AJ$86)</f>
        <v>0.29898313191089138</v>
      </c>
      <c r="AK99" s="14" cm="1">
        <f t="array" ref="AK99">BS_Greek("CALL","RHO",$AG99,$B$1,$B$2,$AH$3,AK$86)</f>
        <v>0.39769324894937869</v>
      </c>
      <c r="AL99" s="14" cm="1">
        <f t="array" ref="AL99">BS_Greek("CALL","RHO",$AG99,$B$1,$B$2,$AH$3,AL$86)</f>
        <v>0.49527868282183346</v>
      </c>
      <c r="AM99" s="14" cm="1">
        <f t="array" ref="AM99">BS_Greek("CALL","RHO",$AG99,$B$1,$B$2,$AH$3,AM$86)</f>
        <v>0.59142047882605853</v>
      </c>
      <c r="AN99" s="14" cm="1">
        <f t="array" ref="AN99">BS_Greek("CALL","RHO",$AG99,$B$1,$B$2,$AH$3,AN$86)</f>
        <v>0.68595842929360384</v>
      </c>
      <c r="AO99" s="14" cm="1">
        <f t="array" ref="AO99">BS_Greek("CALL","RHO",$AG99,$B$1,$B$2,$AH$3,AO$86)</f>
        <v>0.77884877360331062</v>
      </c>
      <c r="AP99" s="14" cm="1">
        <f t="array" ref="AP99">BS_Greek("CALL","RHO",$AG99,$B$1,$B$2,$AH$3,AP$86)</f>
        <v>0.87011875244291348</v>
      </c>
      <c r="AQ99" s="14" cm="1">
        <f t="array" ref="AQ99">BS_Greek("CALL","RHO",$AG99,$B$1,$B$2,$AH$3,AQ$86)</f>
        <v>0.959834194269642</v>
      </c>
      <c r="AR99" s="14" cm="1">
        <f t="array" ref="AR99">BS_Greek("CALL","RHO",$AG99,$B$1,$B$2,$AH$3,AR$86)</f>
        <v>1.7899842881670318</v>
      </c>
      <c r="AS99" s="14" cm="1">
        <f t="array" ref="AS99">BS_Greek("CALL","RHO",$AG99,$B$1,$B$2,$AH$3,AS$86)</f>
        <v>2.5407168875355404</v>
      </c>
      <c r="AT99" s="14" cm="1">
        <f t="array" ref="AT99">BS_Greek("CALL","RHO",$AG99,$B$1,$B$2,$AH$3,AT$86)</f>
        <v>3.2441523843363722</v>
      </c>
      <c r="AU99" s="23" cm="1">
        <f t="array" ref="AU99">BS_Greek("CALL","RHO",$AG99,$B$1,$B$2,$AH$3,AU$86)</f>
        <v>3.914693905162963</v>
      </c>
      <c r="AV99" s="5"/>
      <c r="AW99" s="5"/>
      <c r="AX99" s="5"/>
      <c r="AY99" s="5"/>
      <c r="AZ99" s="5"/>
      <c r="BA99" s="5"/>
      <c r="BB99" s="5"/>
    </row>
    <row r="100" spans="1:54" x14ac:dyDescent="0.2">
      <c r="A100" s="12">
        <v>125</v>
      </c>
      <c r="B100" s="22" cm="1">
        <f t="array" ref="B100">BS_Greek("CALL","RHO",$A100,$B$1,$B$2,$B$3,B$6)</f>
        <v>9.98778680506415E-2</v>
      </c>
      <c r="C100" s="14" cm="1">
        <f t="array" ref="C100">BS_Greek("CALL","RHO",$A100,$B$1,$B$2,$B$3,C$6)</f>
        <v>0.19826121374631195</v>
      </c>
      <c r="D100" s="14" cm="1">
        <f t="array" ref="D100">BS_Greek("CALL","RHO",$A100,$B$1,$B$2,$B$3,D$6)</f>
        <v>0.29245072006046918</v>
      </c>
      <c r="E100" s="14" cm="1">
        <f t="array" ref="E100">BS_Greek("CALL","RHO",$A100,$B$1,$B$2,$B$3,E$6)</f>
        <v>0.38183205335550985</v>
      </c>
      <c r="F100" s="14" cm="1">
        <f t="array" ref="F100">BS_Greek("CALL","RHO",$A100,$B$1,$B$2,$B$3,F$6)</f>
        <v>0.46692198548977837</v>
      </c>
      <c r="G100" s="14" cm="1">
        <f t="array" ref="G100">BS_Greek("CALL","RHO",$A100,$B$1,$B$2,$B$3,G$6)</f>
        <v>0.54839430840815329</v>
      </c>
      <c r="H100" s="14" cm="1">
        <f t="array" ref="H100">BS_Greek("CALL","RHO",$A100,$B$1,$B$2,$B$3,H$6)</f>
        <v>0.62683596450535606</v>
      </c>
      <c r="I100" s="14" cm="1">
        <f t="array" ref="I100">BS_Greek("CALL","RHO",$A100,$B$1,$B$2,$B$3,I$6)</f>
        <v>0.70271704194040641</v>
      </c>
      <c r="J100" s="14" cm="1">
        <f t="array" ref="J100">BS_Greek("CALL","RHO",$A100,$B$1,$B$2,$B$3,J$6)</f>
        <v>0.776407581462356</v>
      </c>
      <c r="K100" s="14" cm="1">
        <f t="array" ref="K100">BS_Greek("CALL","RHO",$A100,$B$1,$B$2,$B$3,K$6)</f>
        <v>0.84819982584634868</v>
      </c>
      <c r="L100" s="14" cm="1">
        <f t="array" ref="L100">BS_Greek("CALL","RHO",$A100,$B$1,$B$2,$B$3,L$6)</f>
        <v>1.4971347861958171</v>
      </c>
      <c r="M100" s="14" cm="1">
        <f t="array" ref="M100">BS_Greek("CALL","RHO",$A100,$B$1,$B$2,$B$3,M$6)</f>
        <v>2.071202520027601</v>
      </c>
      <c r="N100" s="14" cm="1">
        <f t="array" ref="N100">BS_Greek("CALL","RHO",$A100,$B$1,$B$2,$B$3,N$6)</f>
        <v>2.5997927799092873</v>
      </c>
      <c r="O100" s="23" cm="1">
        <f t="array" ref="O100">BS_Greek("CALL","RHO",$A100,$B$1,$B$2,$B$3,O$6)</f>
        <v>3.0947364560622197</v>
      </c>
      <c r="P100" s="5"/>
      <c r="Q100" s="12">
        <v>125</v>
      </c>
      <c r="R100" s="22" cm="1">
        <f t="array" ref="R100">BS_Greek("CALL","RHO",$Q100,$B$1,$B$2,$R$3,R$6)</f>
        <v>9.8871106655175345E-2</v>
      </c>
      <c r="S100" s="14" cm="1">
        <f t="array" ref="S100">BS_Greek("CALL","RHO",$Q100,$B$1,$B$2,$R$3,S$6)</f>
        <v>0.18890468841237468</v>
      </c>
      <c r="T100" s="14" cm="1">
        <f t="array" ref="T100">BS_Greek("CALL","RHO",$Q100,$B$1,$B$2,$R$3,T$6)</f>
        <v>0.26984500276398515</v>
      </c>
      <c r="U100" s="14" cm="1">
        <f t="array" ref="U100">BS_Greek("CALL","RHO",$Q100,$B$1,$B$2,$R$3,U$6)</f>
        <v>0.34455132914714232</v>
      </c>
      <c r="V100" s="14" cm="1">
        <f t="array" ref="V100">BS_Greek("CALL","RHO",$Q100,$B$1,$B$2,$R$3,V$6)</f>
        <v>0.41483583425713472</v>
      </c>
      <c r="W100" s="14" cm="1">
        <f t="array" ref="W100">BS_Greek("CALL","RHO",$Q100,$B$1,$B$2,$R$3,W$6)</f>
        <v>0.48179196650195982</v>
      </c>
      <c r="X100" s="14" cm="1">
        <f t="array" ref="X100">BS_Greek("CALL","RHO",$Q100,$B$1,$B$2,$R$3,X$6)</f>
        <v>0.54611808117523797</v>
      </c>
      <c r="Y100" s="14" cm="1">
        <f t="array" ref="Y100">BS_Greek("CALL","RHO",$Q100,$B$1,$B$2,$R$3,Y$6)</f>
        <v>0.60828679358443949</v>
      </c>
      <c r="Z100" s="14" cm="1">
        <f t="array" ref="Z100">BS_Greek("CALL","RHO",$Q100,$B$1,$B$2,$R$3,Z$6)</f>
        <v>0.66863385045386048</v>
      </c>
      <c r="AA100" s="14" cm="1">
        <f t="array" ref="AA100">BS_Greek("CALL","RHO",$Q100,$B$1,$B$2,$R$3,AA$6)</f>
        <v>0.72740739426895162</v>
      </c>
      <c r="AB100" s="14" cm="1">
        <f t="array" ref="AB100">BS_Greek("CALL","RHO",$Q100,$B$1,$B$2,$R$3,AB$6)</f>
        <v>1.2564899717066402</v>
      </c>
      <c r="AC100" s="14" cm="1">
        <f t="array" ref="AC100">BS_Greek("CALL","RHO",$Q100,$B$1,$B$2,$R$3,AC$6)</f>
        <v>1.7174875805075749</v>
      </c>
      <c r="AD100" s="14" cm="1">
        <f t="array" ref="AD100">BS_Greek("CALL","RHO",$Q100,$B$1,$B$2,$R$3,AD$6)</f>
        <v>2.1333601067150978</v>
      </c>
      <c r="AE100" s="23" cm="1">
        <f t="array" ref="AE100">BS_Greek("CALL","RHO",$Q100,$B$1,$B$2,$R$3,AE$6)</f>
        <v>2.5141316989180638</v>
      </c>
      <c r="AF100" s="5"/>
      <c r="AG100" s="12">
        <v>125</v>
      </c>
      <c r="AH100" s="22" cm="1">
        <f t="array" ref="AH100">BS_Greek("CALL","RHO",$AG100,$B$1,$B$2,$AH$3,AH$86)</f>
        <v>9.9900049983261352E-2</v>
      </c>
      <c r="AI100" s="14" cm="1">
        <f t="array" ref="AI100">BS_Greek("CALL","RHO",$AG100,$B$1,$B$2,$AH$3,AI$86)</f>
        <v>0.19960034597449694</v>
      </c>
      <c r="AJ100" s="14" cm="1">
        <f t="array" ref="AJ100">BS_Greek("CALL","RHO",$AG100,$B$1,$B$2,$AH$3,AJ$86)</f>
        <v>0.29909520753459068</v>
      </c>
      <c r="AK100" s="14" cm="1">
        <f t="array" ref="AK100">BS_Greek("CALL","RHO",$AG100,$B$1,$B$2,$AH$3,AK$86)</f>
        <v>0.39832927362661069</v>
      </c>
      <c r="AL100" s="14" cm="1">
        <f t="array" ref="AL100">BS_Greek("CALL","RHO",$AG100,$B$1,$B$2,$AH$3,AL$86)</f>
        <v>0.49715365396356193</v>
      </c>
      <c r="AM100" s="14" cm="1">
        <f t="array" ref="AM100">BS_Greek("CALL","RHO",$AG100,$B$1,$B$2,$AH$3,AM$86)</f>
        <v>0.59536529236320246</v>
      </c>
      <c r="AN100" s="14" cm="1">
        <f t="array" ref="AN100">BS_Greek("CALL","RHO",$AG100,$B$1,$B$2,$AH$3,AN$86)</f>
        <v>0.69277091810376745</v>
      </c>
      <c r="AO100" s="14" cm="1">
        <f t="array" ref="AO100">BS_Greek("CALL","RHO",$AG100,$B$1,$B$2,$AH$3,AO$86)</f>
        <v>0.78922100210084156</v>
      </c>
      <c r="AP100" s="14" cm="1">
        <f t="array" ref="AP100">BS_Greek("CALL","RHO",$AG100,$B$1,$B$2,$AH$3,AP$86)</f>
        <v>0.88461614166740543</v>
      </c>
      <c r="AQ100" s="14" cm="1">
        <f t="array" ref="AQ100">BS_Greek("CALL","RHO",$AG100,$B$1,$B$2,$AH$3,AQ$86)</f>
        <v>0.97890054170176688</v>
      </c>
      <c r="AR100" s="14" cm="1">
        <f t="array" ref="AR100">BS_Greek("CALL","RHO",$AG100,$B$1,$B$2,$AH$3,AR$86)</f>
        <v>1.8631273632495482</v>
      </c>
      <c r="AS100" s="14" cm="1">
        <f t="array" ref="AS100">BS_Greek("CALL","RHO",$AG100,$B$1,$B$2,$AH$3,AS$86)</f>
        <v>2.6651023114110517</v>
      </c>
      <c r="AT100" s="14" cm="1">
        <f t="array" ref="AT100">BS_Greek("CALL","RHO",$AG100,$B$1,$B$2,$AH$3,AT$86)</f>
        <v>3.4125464232347826</v>
      </c>
      <c r="AU100" s="23" cm="1">
        <f t="array" ref="AU100">BS_Greek("CALL","RHO",$AG100,$B$1,$B$2,$AH$3,AU$86)</f>
        <v>4.1209288129593826</v>
      </c>
      <c r="AV100" s="5"/>
      <c r="AW100" s="5"/>
      <c r="AX100" s="5"/>
      <c r="AY100" s="5"/>
      <c r="AZ100" s="5"/>
      <c r="BA100" s="5"/>
      <c r="BB100" s="5"/>
    </row>
    <row r="101" spans="1:54" x14ac:dyDescent="0.2">
      <c r="A101" s="12">
        <v>130</v>
      </c>
      <c r="B101" s="22" cm="1">
        <f t="array" ref="B101">BS_Greek("CALL","RHO",$A101,$B$1,$B$2,$B$3,B$6)</f>
        <v>9.9898257831417606E-2</v>
      </c>
      <c r="C101" s="14" cm="1">
        <f t="array" ref="C101">BS_Greek("CALL","RHO",$A101,$B$1,$B$2,$B$3,C$6)</f>
        <v>0.19924080062887659</v>
      </c>
      <c r="D101" s="14" cm="1">
        <f t="array" ref="D101">BS_Greek("CALL","RHO",$A101,$B$1,$B$2,$B$3,D$6)</f>
        <v>0.29642425234579134</v>
      </c>
      <c r="E101" s="14" cm="1">
        <f t="array" ref="E101">BS_Greek("CALL","RHO",$A101,$B$1,$B$2,$B$3,E$6)</f>
        <v>0.39021658405667153</v>
      </c>
      <c r="F101" s="14" cm="1">
        <f t="array" ref="F101">BS_Greek("CALL","RHO",$A101,$B$1,$B$2,$B$3,F$6)</f>
        <v>0.48039616695751536</v>
      </c>
      <c r="G101" s="14" cm="1">
        <f t="array" ref="G101">BS_Greek("CALL","RHO",$A101,$B$1,$B$2,$B$3,G$6)</f>
        <v>0.56719853041525747</v>
      </c>
      <c r="H101" s="14" cm="1">
        <f t="array" ref="H101">BS_Greek("CALL","RHO",$A101,$B$1,$B$2,$B$3,H$6)</f>
        <v>0.65098182663181059</v>
      </c>
      <c r="I101" s="14" cm="1">
        <f t="array" ref="I101">BS_Greek("CALL","RHO",$A101,$B$1,$B$2,$B$3,I$6)</f>
        <v>0.73210216289147123</v>
      </c>
      <c r="J101" s="14" cm="1">
        <f t="array" ref="J101">BS_Greek("CALL","RHO",$A101,$B$1,$B$2,$B$3,J$6)</f>
        <v>0.81087590504535045</v>
      </c>
      <c r="K101" s="14" cm="1">
        <f t="array" ref="K101">BS_Greek("CALL","RHO",$A101,$B$1,$B$2,$B$3,K$6)</f>
        <v>0.88757319713568383</v>
      </c>
      <c r="L101" s="14" cm="1">
        <f t="array" ref="L101">BS_Greek("CALL","RHO",$A101,$B$1,$B$2,$B$3,L$6)</f>
        <v>1.5766424137341921</v>
      </c>
      <c r="M101" s="14" cm="1">
        <f t="array" ref="M101">BS_Greek("CALL","RHO",$A101,$B$1,$B$2,$B$3,M$6)</f>
        <v>2.1800640774968918</v>
      </c>
      <c r="N101" s="14" cm="1">
        <f t="array" ref="N101">BS_Greek("CALL","RHO",$A101,$B$1,$B$2,$B$3,N$6)</f>
        <v>2.7319626305478524</v>
      </c>
      <c r="O101" s="23" cm="1">
        <f t="array" ref="O101">BS_Greek("CALL","RHO",$A101,$B$1,$B$2,$B$3,O$6)</f>
        <v>3.2463412741759057</v>
      </c>
      <c r="P101" s="5"/>
      <c r="Q101" s="12">
        <v>130</v>
      </c>
      <c r="R101" s="22" cm="1">
        <f t="array" ref="R101">BS_Greek("CALL","RHO",$Q101,$B$1,$B$2,$R$3,R$6)</f>
        <v>9.9582415229851867E-2</v>
      </c>
      <c r="S101" s="14" cm="1">
        <f t="array" ref="S101">BS_Greek("CALL","RHO",$Q101,$B$1,$B$2,$R$3,S$6)</f>
        <v>0.19391259558754662</v>
      </c>
      <c r="T101" s="14" cm="1">
        <f t="array" ref="T101">BS_Greek("CALL","RHO",$Q101,$B$1,$B$2,$R$3,T$6)</f>
        <v>0.28035878249676893</v>
      </c>
      <c r="U101" s="14" cm="1">
        <f t="array" ref="U101">BS_Greek("CALL","RHO",$Q101,$B$1,$B$2,$R$3,U$6)</f>
        <v>0.36044808482034152</v>
      </c>
      <c r="V101" s="14" cm="1">
        <f t="array" ref="V101">BS_Greek("CALL","RHO",$Q101,$B$1,$B$2,$R$3,V$6)</f>
        <v>0.43572176068814955</v>
      </c>
      <c r="W101" s="14" cm="1">
        <f t="array" ref="W101">BS_Greek("CALL","RHO",$Q101,$B$1,$B$2,$R$3,W$6)</f>
        <v>0.50725932380965366</v>
      </c>
      <c r="X101" s="14" cm="1">
        <f t="array" ref="X101">BS_Greek("CALL","RHO",$Q101,$B$1,$B$2,$R$3,X$6)</f>
        <v>0.57580182729458607</v>
      </c>
      <c r="Y101" s="14" cm="1">
        <f t="array" ref="Y101">BS_Greek("CALL","RHO",$Q101,$B$1,$B$2,$R$3,Y$6)</f>
        <v>0.64187163619302934</v>
      </c>
      <c r="Z101" s="14" cm="1">
        <f t="array" ref="Z101">BS_Greek("CALL","RHO",$Q101,$B$1,$B$2,$R$3,Z$6)</f>
        <v>0.70584918287508258</v>
      </c>
      <c r="AA101" s="14" cm="1">
        <f t="array" ref="AA101">BS_Greek("CALL","RHO",$Q101,$B$1,$B$2,$R$3,AA$6)</f>
        <v>0.76802012118301122</v>
      </c>
      <c r="AB101" s="14" cm="1">
        <f t="array" ref="AB101">BS_Greek("CALL","RHO",$Q101,$B$1,$B$2,$R$3,AB$6)</f>
        <v>1.3230175184925788</v>
      </c>
      <c r="AC101" s="14" cm="1">
        <f t="array" ref="AC101">BS_Greek("CALL","RHO",$Q101,$B$1,$B$2,$R$3,AC$6)</f>
        <v>1.80210868841131</v>
      </c>
      <c r="AD101" s="14" cm="1">
        <f t="array" ref="AD101">BS_Greek("CALL","RHO",$Q101,$B$1,$B$2,$R$3,AD$6)</f>
        <v>2.2321059443947862</v>
      </c>
      <c r="AE101" s="23" cm="1">
        <f t="array" ref="AE101">BS_Greek("CALL","RHO",$Q101,$B$1,$B$2,$R$3,AE$6)</f>
        <v>2.624488261615415</v>
      </c>
      <c r="AF101" s="5"/>
      <c r="AG101" s="12">
        <v>130</v>
      </c>
      <c r="AH101" s="22" cm="1">
        <f t="array" ref="AH101">BS_Greek("CALL","RHO",$AG101,$B$1,$B$2,$AH$3,AH$86)</f>
        <v>9.9900049983337513E-2</v>
      </c>
      <c r="AI101" s="14" cm="1">
        <f t="array" ref="AI101">BS_Greek("CALL","RHO",$AG101,$B$1,$B$2,$AH$3,AI$86)</f>
        <v>0.19960039934571278</v>
      </c>
      <c r="AJ101" s="14" cm="1">
        <f t="array" ref="AJ101">BS_Greek("CALL","RHO",$AG101,$B$1,$B$2,$AH$3,AJ$86)</f>
        <v>0.29910113123062104</v>
      </c>
      <c r="AK101" s="14" cm="1">
        <f t="array" ref="AK101">BS_Greek("CALL","RHO",$AG101,$B$1,$B$2,$AH$3,AK$86)</f>
        <v>0.39839738796252944</v>
      </c>
      <c r="AL101" s="14" cm="1">
        <f t="array" ref="AL101">BS_Greek("CALL","RHO",$AG101,$B$1,$B$2,$AH$3,AL$86)</f>
        <v>0.49746149929550426</v>
      </c>
      <c r="AM101" s="14" cm="1">
        <f t="array" ref="AM101">BS_Greek("CALL","RHO",$AG101,$B$1,$B$2,$AH$3,AM$86)</f>
        <v>0.5962280065616844</v>
      </c>
      <c r="AN101" s="14" cm="1">
        <f t="array" ref="AN101">BS_Greek("CALL","RHO",$AG101,$B$1,$B$2,$AH$3,AN$86)</f>
        <v>0.69460114005190698</v>
      </c>
      <c r="AO101" s="14" cm="1">
        <f t="array" ref="AO101">BS_Greek("CALL","RHO",$AG101,$B$1,$B$2,$AH$3,AO$86)</f>
        <v>0.79247439679380349</v>
      </c>
      <c r="AP101" s="14" cm="1">
        <f t="array" ref="AP101">BS_Greek("CALL","RHO",$AG101,$B$1,$B$2,$AH$3,AP$86)</f>
        <v>0.88974743056024752</v>
      </c>
      <c r="AQ101" s="14" cm="1">
        <f t="array" ref="AQ101">BS_Greek("CALL","RHO",$AG101,$B$1,$B$2,$AH$3,AQ$86)</f>
        <v>0.98633554504316645</v>
      </c>
      <c r="AR101" s="14" cm="1">
        <f t="array" ref="AR101">BS_Greek("CALL","RHO",$AG101,$B$1,$B$2,$AH$3,AR$86)</f>
        <v>1.9073528277688423</v>
      </c>
      <c r="AS101" s="14" cm="1">
        <f t="array" ref="AS101">BS_Greek("CALL","RHO",$AG101,$B$1,$B$2,$AH$3,AS$86)</f>
        <v>2.7522371935526651</v>
      </c>
      <c r="AT101" s="14" cm="1">
        <f t="array" ref="AT101">BS_Greek("CALL","RHO",$AG101,$B$1,$B$2,$AH$3,AT$86)</f>
        <v>3.5395433389541915</v>
      </c>
      <c r="AU101" s="23" cm="1">
        <f t="array" ref="AU101">BS_Greek("CALL","RHO",$AG101,$B$1,$B$2,$AH$3,AU$86)</f>
        <v>4.2835141810001804</v>
      </c>
      <c r="AV101" s="5"/>
      <c r="AW101" s="5"/>
      <c r="AX101" s="5"/>
      <c r="AY101" s="5"/>
      <c r="AZ101" s="5"/>
      <c r="BA101" s="5"/>
      <c r="BB101" s="5"/>
    </row>
    <row r="102" spans="1:54" x14ac:dyDescent="0.2">
      <c r="A102" s="12">
        <v>135</v>
      </c>
      <c r="B102" s="22" cm="1">
        <f t="array" ref="B102">BS_Greek("CALL","RHO",$A102,$B$1,$B$2,$B$3,B$6)</f>
        <v>9.989993742548707E-2</v>
      </c>
      <c r="C102" s="14" cm="1">
        <f t="array" ref="C102">BS_Greek("CALL","RHO",$A102,$B$1,$B$2,$B$3,C$6)</f>
        <v>0.19951462891393379</v>
      </c>
      <c r="D102" s="14" cm="1">
        <f t="array" ref="D102">BS_Greek("CALL","RHO",$A102,$B$1,$B$2,$B$3,D$6)</f>
        <v>0.2981017221563636</v>
      </c>
      <c r="E102" s="14" cm="1">
        <f t="array" ref="E102">BS_Greek("CALL","RHO",$A102,$B$1,$B$2,$B$3,E$6)</f>
        <v>0.3945712177608065</v>
      </c>
      <c r="F102" s="14" cm="1">
        <f t="array" ref="F102">BS_Greek("CALL","RHO",$A102,$B$1,$B$2,$B$3,F$6)</f>
        <v>0.4883235563423502</v>
      </c>
      <c r="G102" s="14" cm="1">
        <f t="array" ref="G102">BS_Greek("CALL","RHO",$A102,$B$1,$B$2,$B$3,G$6)</f>
        <v>0.5792226545956648</v>
      </c>
      <c r="H102" s="14" cm="1">
        <f t="array" ref="H102">BS_Greek("CALL","RHO",$A102,$B$1,$B$2,$B$3,H$6)</f>
        <v>0.66736921843921548</v>
      </c>
      <c r="I102" s="14" cm="1">
        <f t="array" ref="I102">BS_Greek("CALL","RHO",$A102,$B$1,$B$2,$B$3,I$6)</f>
        <v>0.75295737423125897</v>
      </c>
      <c r="J102" s="14" cm="1">
        <f t="array" ref="J102">BS_Greek("CALL","RHO",$A102,$B$1,$B$2,$B$3,J$6)</f>
        <v>0.83620516746271689</v>
      </c>
      <c r="K102" s="14" cm="1">
        <f t="array" ref="K102">BS_Greek("CALL","RHO",$A102,$B$1,$B$2,$B$3,K$6)</f>
        <v>0.91732436651684779</v>
      </c>
      <c r="L102" s="14" cm="1">
        <f t="array" ref="L102">BS_Greek("CALL","RHO",$A102,$B$1,$B$2,$B$3,L$6)</f>
        <v>1.6447556479755494</v>
      </c>
      <c r="M102" s="14" cm="1">
        <f t="array" ref="M102">BS_Greek("CALL","RHO",$A102,$B$1,$B$2,$B$3,M$6)</f>
        <v>2.2773160793645628</v>
      </c>
      <c r="N102" s="14" cm="1">
        <f t="array" ref="N102">BS_Greek("CALL","RHO",$A102,$B$1,$B$2,$B$3,N$6)</f>
        <v>2.8525390074635313</v>
      </c>
      <c r="O102" s="23" cm="1">
        <f t="array" ref="O102">BS_Greek("CALL","RHO",$A102,$B$1,$B$2,$B$3,O$6)</f>
        <v>3.386399295431846</v>
      </c>
      <c r="P102" s="5"/>
      <c r="Q102" s="12">
        <v>135</v>
      </c>
      <c r="R102" s="22" cm="1">
        <f t="array" ref="R102">BS_Greek("CALL","RHO",$Q102,$B$1,$B$2,$R$3,R$6)</f>
        <v>9.9811684206990187E-2</v>
      </c>
      <c r="S102" s="14" cm="1">
        <f t="array" ref="S102">BS_Greek("CALL","RHO",$Q102,$B$1,$B$2,$R$3,S$6)</f>
        <v>0.19671489079206417</v>
      </c>
      <c r="T102" s="14" cm="1">
        <f t="array" ref="T102">BS_Greek("CALL","RHO",$Q102,$B$1,$B$2,$R$3,T$6)</f>
        <v>0.28743809080910765</v>
      </c>
      <c r="U102" s="14" cm="1">
        <f t="array" ref="U102">BS_Greek("CALL","RHO",$Q102,$B$1,$B$2,$R$3,U$6)</f>
        <v>0.37219240872194903</v>
      </c>
      <c r="V102" s="14" cm="1">
        <f t="array" ref="V102">BS_Greek("CALL","RHO",$Q102,$B$1,$B$2,$R$3,V$6)</f>
        <v>0.4520364278562542</v>
      </c>
      <c r="W102" s="14" cm="1">
        <f t="array" ref="W102">BS_Greek("CALL","RHO",$Q102,$B$1,$B$2,$R$3,W$6)</f>
        <v>0.5279063993891423</v>
      </c>
      <c r="X102" s="14" cm="1">
        <f t="array" ref="X102">BS_Greek("CALL","RHO",$Q102,$B$1,$B$2,$R$3,X$6)</f>
        <v>0.60051541964146771</v>
      </c>
      <c r="Y102" s="14" cm="1">
        <f t="array" ref="Y102">BS_Greek("CALL","RHO",$Q102,$B$1,$B$2,$R$3,Y$6)</f>
        <v>0.67039633112636221</v>
      </c>
      <c r="Z102" s="14" cm="1">
        <f t="array" ref="Z102">BS_Greek("CALL","RHO",$Q102,$B$1,$B$2,$R$3,Z$6)</f>
        <v>0.73795159861052295</v>
      </c>
      <c r="AA102" s="14" cm="1">
        <f t="array" ref="AA102">BS_Greek("CALL","RHO",$Q102,$B$1,$B$2,$R$3,AA$6)</f>
        <v>0.8034908262740964</v>
      </c>
      <c r="AB102" s="14" cm="1">
        <f t="array" ref="AB102">BS_Greek("CALL","RHO",$Q102,$B$1,$B$2,$R$3,AB$6)</f>
        <v>1.3844626580586128</v>
      </c>
      <c r="AC102" s="14" cm="1">
        <f t="array" ref="AC102">BS_Greek("CALL","RHO",$Q102,$B$1,$B$2,$R$3,AC$6)</f>
        <v>1.8817361687331504</v>
      </c>
      <c r="AD102" s="14" cm="1">
        <f t="array" ref="AD102">BS_Greek("CALL","RHO",$Q102,$B$1,$B$2,$R$3,AD$6)</f>
        <v>2.3258952257971575</v>
      </c>
      <c r="AE102" s="23" cm="1">
        <f t="array" ref="AE102">BS_Greek("CALL","RHO",$Q102,$B$1,$B$2,$R$3,AE$6)</f>
        <v>2.7298936926815593</v>
      </c>
      <c r="AF102" s="5"/>
      <c r="AG102" s="12">
        <v>135</v>
      </c>
      <c r="AH102" s="22" cm="1">
        <f t="array" ref="AH102">BS_Greek("CALL","RHO",$AG102,$B$1,$B$2,$AH$3,AH$86)</f>
        <v>9.9900049983337513E-2</v>
      </c>
      <c r="AI102" s="14" cm="1">
        <f t="array" ref="AI102">BS_Greek("CALL","RHO",$AG102,$B$1,$B$2,$AH$3,AI$86)</f>
        <v>0.19960039973180682</v>
      </c>
      <c r="AJ102" s="14" cm="1">
        <f t="array" ref="AJ102">BS_Greek("CALL","RHO",$AG102,$B$1,$B$2,$AH$3,AJ$86)</f>
        <v>0.29910134317755122</v>
      </c>
      <c r="AK102" s="14" cm="1">
        <f t="array" ref="AK102">BS_Greek("CALL","RHO",$AG102,$B$1,$B$2,$AH$3,AK$86)</f>
        <v>0.39840284075736399</v>
      </c>
      <c r="AL102" s="14" cm="1">
        <f t="array" ref="AL102">BS_Greek("CALL","RHO",$AG102,$B$1,$B$2,$AH$3,AL$86)</f>
        <v>0.49750157959169578</v>
      </c>
      <c r="AM102" s="14" cm="1">
        <f t="array" ref="AM102">BS_Greek("CALL","RHO",$AG102,$B$1,$B$2,$AH$3,AM$86)</f>
        <v>0.59638360220830655</v>
      </c>
      <c r="AN102" s="14" cm="1">
        <f t="array" ref="AN102">BS_Greek("CALL","RHO",$AG102,$B$1,$B$2,$AH$3,AN$86)</f>
        <v>0.69501813372831633</v>
      </c>
      <c r="AO102" s="14" cm="1">
        <f t="array" ref="AO102">BS_Greek("CALL","RHO",$AG102,$B$1,$B$2,$AH$3,AO$86)</f>
        <v>0.79335812906789938</v>
      </c>
      <c r="AP102" s="14" cm="1">
        <f t="array" ref="AP102">BS_Greek("CALL","RHO",$AG102,$B$1,$B$2,$AH$3,AP$86)</f>
        <v>0.89134605998743821</v>
      </c>
      <c r="AQ102" s="14" cm="1">
        <f t="array" ref="AQ102">BS_Greek("CALL","RHO",$AG102,$B$1,$B$2,$AH$3,AQ$86)</f>
        <v>0.9889209507546447</v>
      </c>
      <c r="AR102" s="14" cm="1">
        <f t="array" ref="AR102">BS_Greek("CALL","RHO",$AG102,$B$1,$B$2,$AH$3,AR$86)</f>
        <v>1.9326342865983208</v>
      </c>
      <c r="AS102" s="14" cm="1">
        <f t="array" ref="AS102">BS_Greek("CALL","RHO",$AG102,$B$1,$B$2,$AH$3,AS$86)</f>
        <v>2.811081525414362</v>
      </c>
      <c r="AT102" s="14" cm="1">
        <f t="array" ref="AT102">BS_Greek("CALL","RHO",$AG102,$B$1,$B$2,$AH$3,AT$86)</f>
        <v>3.6327782720310542</v>
      </c>
      <c r="AU102" s="23" cm="1">
        <f t="array" ref="AU102">BS_Greek("CALL","RHO",$AG102,$B$1,$B$2,$AH$3,AU$86)</f>
        <v>4.4090180057059323</v>
      </c>
      <c r="AV102" s="5"/>
      <c r="AW102" s="5"/>
      <c r="AX102" s="5"/>
      <c r="AY102" s="5"/>
      <c r="AZ102" s="5"/>
      <c r="BA102" s="5"/>
      <c r="BB102" s="5"/>
    </row>
    <row r="103" spans="1:54" x14ac:dyDescent="0.2">
      <c r="A103" s="12">
        <v>140</v>
      </c>
      <c r="B103" s="24" cm="1">
        <f t="array" ref="B103">BS_Greek("CALL","RHO",$A103,$B$1,$B$2,$B$3,B$6)</f>
        <v>9.9900044333117666E-2</v>
      </c>
      <c r="C103" s="25" cm="1">
        <f t="array" ref="C103">BS_Greek("CALL","RHO",$A103,$B$1,$B$2,$B$3,C$6)</f>
        <v>0.19958199888181855</v>
      </c>
      <c r="D103" s="25" cm="1">
        <f t="array" ref="D103">BS_Greek("CALL","RHO",$A103,$B$1,$B$2,$B$3,D$6)</f>
        <v>0.29875241343482667</v>
      </c>
      <c r="E103" s="25" cm="1">
        <f t="array" ref="E103">BS_Greek("CALL","RHO",$A103,$B$1,$B$2,$B$3,E$6)</f>
        <v>0.39669441320637572</v>
      </c>
      <c r="F103" s="25" cm="1">
        <f t="array" ref="F103">BS_Greek("CALL","RHO",$A103,$B$1,$B$2,$B$3,F$6)</f>
        <v>0.49275873716227719</v>
      </c>
      <c r="G103" s="25" cm="1">
        <f t="array" ref="G103">BS_Greek("CALL","RHO",$A103,$B$1,$B$2,$B$3,G$6)</f>
        <v>0.58659707295076835</v>
      </c>
      <c r="H103" s="25" cm="1">
        <f t="array" ref="H103">BS_Greek("CALL","RHO",$A103,$B$1,$B$2,$B$3,H$6)</f>
        <v>0.67810197543662687</v>
      </c>
      <c r="I103" s="25" cm="1">
        <f t="array" ref="I103">BS_Greek("CALL","RHO",$A103,$B$1,$B$2,$B$3,I$6)</f>
        <v>0.76730661853179061</v>
      </c>
      <c r="J103" s="25" cm="1">
        <f t="array" ref="J103">BS_Greek("CALL","RHO",$A103,$B$1,$B$2,$B$3,J$6)</f>
        <v>0.85431448147951738</v>
      </c>
      <c r="K103" s="25" cm="1">
        <f t="array" ref="K103">BS_Greek("CALL","RHO",$A103,$B$1,$B$2,$B$3,K$6)</f>
        <v>0.93925858365570525</v>
      </c>
      <c r="L103" s="25" cm="1">
        <f t="array" ref="L103">BS_Greek("CALL","RHO",$A103,$B$1,$B$2,$B$3,L$6)</f>
        <v>1.7024252108865092</v>
      </c>
      <c r="M103" s="25" cm="1">
        <f t="array" ref="M103">BS_Greek("CALL","RHO",$A103,$B$1,$B$2,$B$3,M$6)</f>
        <v>2.363548932826006</v>
      </c>
      <c r="N103" s="25" cm="1">
        <f t="array" ref="N103">BS_Greek("CALL","RHO",$A103,$B$1,$B$2,$B$3,N$6)</f>
        <v>2.9619525249901475</v>
      </c>
      <c r="O103" s="26" cm="1">
        <f t="array" ref="O103">BS_Greek("CALL","RHO",$A103,$B$1,$B$2,$B$3,O$6)</f>
        <v>3.5152655093388363</v>
      </c>
      <c r="P103" s="5"/>
      <c r="Q103" s="12">
        <v>140</v>
      </c>
      <c r="R103" s="24" cm="1">
        <f t="array" ref="R103">BS_Greek("CALL","RHO",$Q103,$B$1,$B$2,$R$3,R$6)</f>
        <v>9.9877653195750871E-2</v>
      </c>
      <c r="S103" s="25" cm="1">
        <f t="array" ref="S103">BS_Greek("CALL","RHO",$Q103,$B$1,$B$2,$R$3,S$6)</f>
        <v>0.19819726458551734</v>
      </c>
      <c r="T103" s="25" cm="1">
        <f t="array" ref="T103">BS_Greek("CALL","RHO",$Q103,$B$1,$B$2,$R$3,T$6)</f>
        <v>0.29203093523689749</v>
      </c>
      <c r="U103" s="25" cm="1">
        <f t="array" ref="U103">BS_Greek("CALL","RHO",$Q103,$B$1,$B$2,$R$3,U$6)</f>
        <v>0.38063235204176132</v>
      </c>
      <c r="V103" s="25" cm="1">
        <f t="array" ref="V103">BS_Greek("CALL","RHO",$Q103,$B$1,$B$2,$R$3,V$6)</f>
        <v>0.46450375839346558</v>
      </c>
      <c r="W103" s="25" cm="1">
        <f t="array" ref="W103">BS_Greek("CALL","RHO",$Q103,$B$1,$B$2,$R$3,W$6)</f>
        <v>0.5443446690666176</v>
      </c>
      <c r="X103" s="25" cm="1">
        <f t="array" ref="X103">BS_Greek("CALL","RHO",$Q103,$B$1,$B$2,$R$3,X$6)</f>
        <v>0.62077618313338989</v>
      </c>
      <c r="Y103" s="25" cm="1">
        <f t="array" ref="Y103">BS_Greek("CALL","RHO",$Q103,$B$1,$B$2,$R$3,Y$6)</f>
        <v>0.69430119356071585</v>
      </c>
      <c r="Z103" s="25" cm="1">
        <f t="array" ref="Z103">BS_Greek("CALL","RHO",$Q103,$B$1,$B$2,$R$3,Z$6)</f>
        <v>0.76531872393256084</v>
      </c>
      <c r="AA103" s="25" cm="1">
        <f t="array" ref="AA103">BS_Greek("CALL","RHO",$Q103,$B$1,$B$2,$R$3,AA$6)</f>
        <v>0.83414598637936621</v>
      </c>
      <c r="AB103" s="25" cm="1">
        <f t="array" ref="AB103">BS_Greek("CALL","RHO",$Q103,$B$1,$B$2,$R$3,AB$6)</f>
        <v>1.4409402526215995</v>
      </c>
      <c r="AC103" s="25" cm="1">
        <f t="array" ref="AC103">BS_Greek("CALL","RHO",$Q103,$B$1,$B$2,$R$3,AC$6)</f>
        <v>1.9564455630771902</v>
      </c>
      <c r="AD103" s="25" cm="1">
        <f t="array" ref="AD103">BS_Greek("CALL","RHO",$Q103,$B$1,$B$2,$R$3,AD$6)</f>
        <v>2.4148006453738216</v>
      </c>
      <c r="AE103" s="26" cm="1">
        <f t="array" ref="AE103">BS_Greek("CALL","RHO",$Q103,$B$1,$B$2,$R$3,AE$6)</f>
        <v>2.8304283969966364</v>
      </c>
      <c r="AF103" s="5"/>
      <c r="AG103" s="12">
        <v>140</v>
      </c>
      <c r="AH103" s="24" cm="1">
        <f t="array" ref="AH103">BS_Greek("CALL","RHO",$AG103,$B$1,$B$2,$AH$3,AH$86)</f>
        <v>9.9900049983337513E-2</v>
      </c>
      <c r="AI103" s="25" cm="1">
        <f t="array" ref="AI103">BS_Greek("CALL","RHO",$AG103,$B$1,$B$2,$AH$3,AI$86)</f>
        <v>0.19960039973346214</v>
      </c>
      <c r="AJ103" s="25" cm="1">
        <f t="array" ref="AJ103">BS_Greek("CALL","RHO",$AG103,$B$1,$B$2,$AH$3,AJ$86)</f>
        <v>0.29910134854920661</v>
      </c>
      <c r="AK103" s="25" cm="1">
        <f t="array" ref="AK103">BS_Greek("CALL","RHO",$AG103,$B$1,$B$2,$AH$3,AK$86)</f>
        <v>0.39840317838234107</v>
      </c>
      <c r="AL103" s="25" cm="1">
        <f t="array" ref="AL103">BS_Greek("CALL","RHO",$AG103,$B$1,$B$2,$AH$3,AL$86)</f>
        <v>0.49750583249072633</v>
      </c>
      <c r="AM103" s="25" cm="1">
        <f t="array" ref="AM103">BS_Greek("CALL","RHO",$AG103,$B$1,$B$2,$AH$3,AM$86)</f>
        <v>0.59640728082054495</v>
      </c>
      <c r="AN103" s="25" cm="1">
        <f t="array" ref="AN103">BS_Greek("CALL","RHO",$AG103,$B$1,$B$2,$AH$3,AN$86)</f>
        <v>0.69510030433566883</v>
      </c>
      <c r="AO103" s="25" cm="1">
        <f t="array" ref="AO103">BS_Greek("CALL","RHO",$AG103,$B$1,$B$2,$AH$3,AO$86)</f>
        <v>0.79356962372848672</v>
      </c>
      <c r="AP103" s="25" cm="1">
        <f t="array" ref="AP103">BS_Greek("CALL","RHO",$AG103,$B$1,$B$2,$AH$3,AP$86)</f>
        <v>0.89179120674511392</v>
      </c>
      <c r="AQ103" s="25" cm="1">
        <f t="array" ref="AQ103">BS_Greek("CALL","RHO",$AG103,$B$1,$B$2,$AH$3,AQ$86)</f>
        <v>0.98973377492216585</v>
      </c>
      <c r="AR103" s="25" cm="1">
        <f t="array" ref="AR103">BS_Greek("CALL","RHO",$AG103,$B$1,$B$2,$AH$3,AR$86)</f>
        <v>1.9463918255910062</v>
      </c>
      <c r="AS103" s="25" cm="1">
        <f t="array" ref="AS103">BS_Greek("CALL","RHO",$AG103,$B$1,$B$2,$AH$3,AS$86)</f>
        <v>2.8495648996149043</v>
      </c>
      <c r="AT103" s="25" cm="1">
        <f t="array" ref="AT103">BS_Greek("CALL","RHO",$AG103,$B$1,$B$2,$AH$3,AT$86)</f>
        <v>3.6996343552554141</v>
      </c>
      <c r="AU103" s="26" cm="1">
        <f t="array" ref="AU103">BS_Greek("CALL","RHO",$AG103,$B$1,$B$2,$AH$3,AU$86)</f>
        <v>4.5041312353967955</v>
      </c>
      <c r="AV103" s="5"/>
      <c r="AW103" s="5"/>
      <c r="AX103" s="5"/>
      <c r="AY103" s="5"/>
      <c r="AZ103" s="5"/>
      <c r="BA103" s="5"/>
      <c r="BB103" s="5"/>
    </row>
  </sheetData>
  <mergeCells count="15">
    <mergeCell ref="A65:O65"/>
    <mergeCell ref="Q65:AE65"/>
    <mergeCell ref="A85:O85"/>
    <mergeCell ref="Q85:AE85"/>
    <mergeCell ref="AG5:AU5"/>
    <mergeCell ref="AG25:AU25"/>
    <mergeCell ref="AG45:AU45"/>
    <mergeCell ref="AG65:AU65"/>
    <mergeCell ref="AG85:AU85"/>
    <mergeCell ref="A5:O5"/>
    <mergeCell ref="Q5:AE5"/>
    <mergeCell ref="A25:O25"/>
    <mergeCell ref="Q25:AE25"/>
    <mergeCell ref="A45:O45"/>
    <mergeCell ref="Q45:AE4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FFBCD-B601-7B4F-B228-93D26032ACA2}">
  <sheetPr codeName="Sheet2"/>
  <dimension ref="A1:BB103"/>
  <sheetViews>
    <sheetView zoomScaleNormal="100" workbookViewId="0">
      <selection activeCell="G14" sqref="G14"/>
    </sheetView>
  </sheetViews>
  <sheetFormatPr baseColWidth="10" defaultRowHeight="16" x14ac:dyDescent="0.2"/>
  <cols>
    <col min="1" max="1" width="5.83203125" customWidth="1"/>
    <col min="2" max="15" width="8.83203125" customWidth="1"/>
    <col min="16" max="17" width="5.83203125" customWidth="1"/>
    <col min="18" max="31" width="9.83203125" customWidth="1"/>
    <col min="32" max="33" width="5.83203125" customWidth="1"/>
    <col min="34" max="47" width="9.83203125" customWidth="1"/>
  </cols>
  <sheetData>
    <row r="1" spans="1:47" x14ac:dyDescent="0.2">
      <c r="A1" s="60" t="s">
        <v>0</v>
      </c>
      <c r="B1" s="1">
        <v>100</v>
      </c>
    </row>
    <row r="2" spans="1:47" x14ac:dyDescent="0.2">
      <c r="A2" s="60" t="s">
        <v>1</v>
      </c>
      <c r="B2" s="2">
        <v>0.01</v>
      </c>
    </row>
    <row r="3" spans="1:47" x14ac:dyDescent="0.2">
      <c r="A3" s="60" t="s">
        <v>2</v>
      </c>
      <c r="B3" s="35">
        <v>0.2</v>
      </c>
      <c r="Q3" s="60" t="s">
        <v>3</v>
      </c>
      <c r="R3" s="35">
        <v>0.3</v>
      </c>
      <c r="AG3" s="60" t="s">
        <v>16</v>
      </c>
      <c r="AH3" s="35">
        <v>0.1</v>
      </c>
    </row>
    <row r="4" spans="1:47" x14ac:dyDescent="0.2">
      <c r="B4" s="3"/>
      <c r="R4" s="4"/>
      <c r="AH4" s="4"/>
    </row>
    <row r="5" spans="1:47" x14ac:dyDescent="0.2">
      <c r="A5" s="108" t="s">
        <v>4</v>
      </c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Q5" s="108" t="s">
        <v>5</v>
      </c>
      <c r="R5" s="108"/>
      <c r="S5" s="108"/>
      <c r="T5" s="108"/>
      <c r="U5" s="108"/>
      <c r="V5" s="108"/>
      <c r="W5" s="108"/>
      <c r="X5" s="108"/>
      <c r="Y5" s="108"/>
      <c r="Z5" s="108"/>
      <c r="AA5" s="108"/>
      <c r="AB5" s="108"/>
      <c r="AC5" s="108"/>
      <c r="AD5" s="108"/>
      <c r="AE5" s="108"/>
      <c r="AG5" s="108" t="s">
        <v>14</v>
      </c>
      <c r="AH5" s="108"/>
      <c r="AI5" s="108"/>
      <c r="AJ5" s="108"/>
      <c r="AK5" s="108"/>
      <c r="AL5" s="108"/>
      <c r="AM5" s="108"/>
      <c r="AN5" s="108"/>
      <c r="AO5" s="108"/>
      <c r="AP5" s="108"/>
      <c r="AQ5" s="108"/>
      <c r="AR5" s="108"/>
      <c r="AS5" s="108"/>
      <c r="AT5" s="108"/>
      <c r="AU5" s="108"/>
    </row>
    <row r="6" spans="1:47" x14ac:dyDescent="0.2">
      <c r="A6" s="6"/>
      <c r="B6" s="13">
        <v>0.1</v>
      </c>
      <c r="C6" s="13">
        <v>0.2</v>
      </c>
      <c r="D6" s="13">
        <v>0.3</v>
      </c>
      <c r="E6" s="13">
        <v>0.4</v>
      </c>
      <c r="F6" s="13">
        <v>0.5</v>
      </c>
      <c r="G6" s="13">
        <v>0.6</v>
      </c>
      <c r="H6" s="13">
        <v>0.7</v>
      </c>
      <c r="I6" s="13">
        <v>0.8</v>
      </c>
      <c r="J6" s="13">
        <v>0.9</v>
      </c>
      <c r="K6" s="13">
        <v>1</v>
      </c>
      <c r="L6" s="13">
        <v>2</v>
      </c>
      <c r="M6" s="13">
        <v>3</v>
      </c>
      <c r="N6" s="13">
        <v>4</v>
      </c>
      <c r="O6" s="13">
        <v>5</v>
      </c>
      <c r="P6" s="7"/>
      <c r="Q6" s="6"/>
      <c r="R6" s="13">
        <v>0.1</v>
      </c>
      <c r="S6" s="13">
        <v>0.2</v>
      </c>
      <c r="T6" s="13">
        <v>0.3</v>
      </c>
      <c r="U6" s="13">
        <v>0.4</v>
      </c>
      <c r="V6" s="13">
        <v>0.5</v>
      </c>
      <c r="W6" s="13">
        <v>0.6</v>
      </c>
      <c r="X6" s="13">
        <v>0.7</v>
      </c>
      <c r="Y6" s="13">
        <v>0.8</v>
      </c>
      <c r="Z6" s="13">
        <v>0.9</v>
      </c>
      <c r="AA6" s="13">
        <v>1</v>
      </c>
      <c r="AB6" s="13">
        <v>2</v>
      </c>
      <c r="AC6" s="13">
        <v>3</v>
      </c>
      <c r="AD6" s="13">
        <v>4</v>
      </c>
      <c r="AE6" s="13">
        <v>5</v>
      </c>
      <c r="AF6" s="7"/>
      <c r="AG6" s="6"/>
      <c r="AH6" s="13">
        <v>0.1</v>
      </c>
      <c r="AI6" s="13">
        <v>0.2</v>
      </c>
      <c r="AJ6" s="13">
        <v>0.3</v>
      </c>
      <c r="AK6" s="13">
        <v>0.4</v>
      </c>
      <c r="AL6" s="13">
        <v>0.5</v>
      </c>
      <c r="AM6" s="13">
        <v>0.6</v>
      </c>
      <c r="AN6" s="13">
        <v>0.7</v>
      </c>
      <c r="AO6" s="13">
        <v>0.8</v>
      </c>
      <c r="AP6" s="13">
        <v>0.9</v>
      </c>
      <c r="AQ6" s="13">
        <v>1</v>
      </c>
      <c r="AR6" s="13">
        <v>2</v>
      </c>
      <c r="AS6" s="13">
        <v>3</v>
      </c>
      <c r="AT6" s="13">
        <v>4</v>
      </c>
      <c r="AU6" s="13">
        <v>5</v>
      </c>
    </row>
    <row r="7" spans="1:47" x14ac:dyDescent="0.2">
      <c r="A7" s="12">
        <v>60</v>
      </c>
      <c r="B7" s="19" cm="1">
        <f t="array" ref="B7">BS_Greek("PUT","DELTA",$A7,$B$1,$B$2,$B$3,B$6)</f>
        <v>-0.99999999999999956</v>
      </c>
      <c r="C7" s="20" cm="1">
        <f t="array" ref="C7">BS_Greek("PUT","DELTA",$A7,$B$1,$B$2,$B$3,C$6)</f>
        <v>-0.99999999169868692</v>
      </c>
      <c r="D7" s="20" cm="1">
        <f t="array" ref="D7">BS_Greek("PUT","DELTA",$A7,$B$1,$B$2,$B$3,D$6)</f>
        <v>-0.99999768643466735</v>
      </c>
      <c r="E7" s="20" cm="1">
        <f t="array" ref="E7">BS_Greek("PUT","DELTA",$A7,$B$1,$B$2,$B$3,E$6)</f>
        <v>-0.99995986002457549</v>
      </c>
      <c r="F7" s="20" cm="1">
        <f t="array" ref="F7">BS_Greek("PUT","DELTA",$A7,$B$1,$B$2,$B$3,F$6)</f>
        <v>-0.99977256658213121</v>
      </c>
      <c r="G7" s="20" cm="1">
        <f t="array" ref="G7">BS_Greek("PUT","DELTA",$A7,$B$1,$B$2,$B$3,G$6)</f>
        <v>-0.99926660684650404</v>
      </c>
      <c r="H7" s="20" cm="1">
        <f t="array" ref="H7">BS_Greek("PUT","DELTA",$A7,$B$1,$B$2,$B$3,H$6)</f>
        <v>-0.99829022958946334</v>
      </c>
      <c r="I7" s="20" cm="1">
        <f t="array" ref="I7">BS_Greek("PUT","DELTA",$A7,$B$1,$B$2,$B$3,I$6)</f>
        <v>-0.99675007087750611</v>
      </c>
      <c r="J7" s="20" cm="1">
        <f t="array" ref="J7">BS_Greek("PUT","DELTA",$A7,$B$1,$B$2,$B$3,J$6)</f>
        <v>-0.99461362130869291</v>
      </c>
      <c r="K7" s="20" cm="1">
        <f t="array" ref="K7">BS_Greek("PUT","DELTA",$A7,$B$1,$B$2,$B$3,K$6)</f>
        <v>-0.9918944546456071</v>
      </c>
      <c r="L7" s="20" cm="1">
        <f t="array" ref="L7">BS_Greek("PUT","DELTA",$A7,$B$1,$B$2,$B$3,L$6)</f>
        <v>-0.94452182202059942</v>
      </c>
      <c r="M7" s="20" cm="1">
        <f t="array" ref="M7">BS_Greek("PUT","DELTA",$A7,$B$1,$B$2,$B$3,M$6)</f>
        <v>-0.88778242147662834</v>
      </c>
      <c r="N7" s="20" cm="1">
        <f t="array" ref="N7">BS_Greek("PUT","DELTA",$A7,$B$1,$B$2,$B$3,N$6)</f>
        <v>-0.83573128027159116</v>
      </c>
      <c r="O7" s="21" cm="1">
        <f t="array" ref="O7">BS_Greek("PUT","DELTA",$A7,$B$1,$B$2,$B$3,O$6)</f>
        <v>-0.79011796313899829</v>
      </c>
      <c r="P7" s="5"/>
      <c r="Q7" s="12">
        <v>60</v>
      </c>
      <c r="R7" s="19" cm="1">
        <f t="array" ref="R7">BS_Greek("PUT","DELTA",$Q7,$B$1,$B$2,$R$3,R$6)</f>
        <v>-0.99999994996583763</v>
      </c>
      <c r="S7" s="20" cm="1">
        <f t="array" ref="S7">BS_Greek("PUT","DELTA",$Q7,$B$1,$B$2,$R$3,S$6)</f>
        <v>-0.99990252813746106</v>
      </c>
      <c r="T7" s="20" cm="1">
        <f t="array" ref="T7">BS_Greek("PUT","DELTA",$Q7,$B$1,$B$2,$R$3,T$6)</f>
        <v>-0.99868673402053365</v>
      </c>
      <c r="U7" s="20" cm="1">
        <f t="array" ref="U7">BS_Greek("PUT","DELTA",$Q7,$B$1,$B$2,$R$3,U$6)</f>
        <v>-0.99500733996609969</v>
      </c>
      <c r="V7" s="20" cm="1">
        <f t="array" ref="V7">BS_Greek("PUT","DELTA",$Q7,$B$1,$B$2,$R$3,V$6)</f>
        <v>-0.98864918253526834</v>
      </c>
      <c r="W7" s="20" cm="1">
        <f t="array" ref="W7">BS_Greek("PUT","DELTA",$Q7,$B$1,$B$2,$R$3,W$6)</f>
        <v>-0.9801200211979566</v>
      </c>
      <c r="X7" s="20" cm="1">
        <f t="array" ref="X7">BS_Greek("PUT","DELTA",$Q7,$B$1,$B$2,$R$3,X$6)</f>
        <v>-0.97006775523526267</v>
      </c>
      <c r="Y7" s="20" cm="1">
        <f t="array" ref="Y7">BS_Greek("PUT","DELTA",$Q7,$B$1,$B$2,$R$3,Y$6)</f>
        <v>-0.95904909766423552</v>
      </c>
      <c r="Z7" s="20" cm="1">
        <f t="array" ref="Z7">BS_Greek("PUT","DELTA",$Q7,$B$1,$B$2,$R$3,Z$6)</f>
        <v>-0.94748399738581035</v>
      </c>
      <c r="AA7" s="20" cm="1">
        <f t="array" ref="AA7">BS_Greek("PUT","DELTA",$Q7,$B$1,$B$2,$R$3,AA$6)</f>
        <v>-0.93567143682162501</v>
      </c>
      <c r="AB7" s="20" cm="1">
        <f t="array" ref="AB7">BS_Greek("PUT","DELTA",$Q7,$B$1,$B$2,$R$3,AB$6)</f>
        <v>-0.82760802885631146</v>
      </c>
      <c r="AC7" s="20" cm="1">
        <f t="array" ref="AC7">BS_Greek("PUT","DELTA",$Q7,$B$1,$B$2,$R$3,AC$6)</f>
        <v>-0.74714796680976803</v>
      </c>
      <c r="AD7" s="20" cm="1">
        <f t="array" ref="AD7">BS_Greek("PUT","DELTA",$Q7,$B$1,$B$2,$R$3,AD$6)</f>
        <v>-0.68605874158405855</v>
      </c>
      <c r="AE7" s="21" cm="1">
        <f t="array" ref="AE7">BS_Greek("PUT","DELTA",$Q7,$B$1,$B$2,$R$3,AE$6)</f>
        <v>-0.63741139706825356</v>
      </c>
      <c r="AF7" s="5"/>
      <c r="AG7" s="12">
        <v>60</v>
      </c>
      <c r="AH7" s="19" cm="1">
        <f t="array" ref="AH7">BS_Greek("PUT","DELTA",$AG7,$B$1,$B$2,$AH$3,AH$6)</f>
        <v>-1</v>
      </c>
      <c r="AI7" s="20" cm="1">
        <f t="array" ref="AI7">BS_Greek("PUT","DELTA",$AG7,$B$1,$B$2,$AH$3,AI$6)</f>
        <v>-1</v>
      </c>
      <c r="AJ7" s="20" cm="1">
        <f t="array" ref="AJ7">BS_Greek("PUT","DELTA",$AG7,$B$1,$B$2,$AH$3,AJ$6)</f>
        <v>-1</v>
      </c>
      <c r="AK7" s="20" cm="1">
        <f t="array" ref="AK7">BS_Greek("PUT","DELTA",$AG7,$B$1,$B$2,$AH$3,AK$6)</f>
        <v>-0.99999999999999933</v>
      </c>
      <c r="AL7" s="20" cm="1">
        <f t="array" ref="AL7">BS_Greek("PUT","DELTA",$AG7,$B$1,$B$2,$AH$3,AL$6)</f>
        <v>-0.99999999999945288</v>
      </c>
      <c r="AM7" s="20" cm="1">
        <f t="array" ref="AM7">BS_Greek("PUT","DELTA",$AG7,$B$1,$B$2,$AH$3,AM$6)</f>
        <v>-0.99999999995369315</v>
      </c>
      <c r="AN7" s="20" cm="1">
        <f t="array" ref="AN7">BS_Greek("PUT","DELTA",$AG7,$B$1,$B$2,$AH$3,AN$6)</f>
        <v>-0.9999999988845516</v>
      </c>
      <c r="AO7" s="20" cm="1">
        <f t="array" ref="AO7">BS_Greek("PUT","DELTA",$AG7,$B$1,$B$2,$AH$3,AO$6)</f>
        <v>-0.99999998776771981</v>
      </c>
      <c r="AP7" s="20" cm="1">
        <f t="array" ref="AP7">BS_Greek("PUT","DELTA",$AG7,$B$1,$B$2,$AH$3,AP$6)</f>
        <v>-0.99999992069449628</v>
      </c>
      <c r="AQ7" s="20" cm="1">
        <f t="array" ref="AQ7">BS_Greek("PUT","DELTA",$AG7,$B$1,$B$2,$AH$3,AQ$6)</f>
        <v>-0.99999964435644462</v>
      </c>
      <c r="AR7" s="20" cm="1">
        <f t="array" ref="AR7">BS_Greek("PUT","DELTA",$AG7,$B$1,$B$2,$AH$3,AR$6)</f>
        <v>-0.99966300984690104</v>
      </c>
      <c r="AS7" s="20" cm="1">
        <f t="array" ref="AS7">BS_Greek("PUT","DELTA",$AG7,$B$1,$B$2,$AH$3,AS$6)</f>
        <v>-0.99642145828700812</v>
      </c>
      <c r="AT7" s="20" cm="1">
        <f t="array" ref="AT7">BS_Greek("PUT","DELTA",$AG7,$B$1,$B$2,$AH$3,AT$6)</f>
        <v>-0.98790594541152554</v>
      </c>
      <c r="AU7" s="21" cm="1">
        <f t="array" ref="AU7">BS_Greek("PUT","DELTA",$AG7,$B$1,$B$2,$AH$3,AU$6)</f>
        <v>-0.974356553225038</v>
      </c>
    </row>
    <row r="8" spans="1:47" x14ac:dyDescent="0.2">
      <c r="A8" s="12">
        <v>65</v>
      </c>
      <c r="B8" s="22" cm="1">
        <f t="array" ref="B8">BS_Greek("PUT","DELTA",$A8,$B$1,$B$2,$B$3,B$6)</f>
        <v>-0.99999999999328104</v>
      </c>
      <c r="C8" s="14" cm="1">
        <f t="array" ref="C8">BS_Greek("PUT","DELTA",$A8,$B$1,$B$2,$B$3,C$6)</f>
        <v>-0.99999897897324108</v>
      </c>
      <c r="D8" s="14" cm="1">
        <f t="array" ref="D8">BS_Greek("PUT","DELTA",$A8,$B$1,$B$2,$B$3,D$6)</f>
        <v>-0.99994102148184927</v>
      </c>
      <c r="E8" s="14" cm="1">
        <f t="array" ref="E8">BS_Greek("PUT","DELTA",$A8,$B$1,$B$2,$B$3,E$6)</f>
        <v>-0.99953480118587623</v>
      </c>
      <c r="F8" s="14" cm="1">
        <f t="array" ref="F8">BS_Greek("PUT","DELTA",$A8,$B$1,$B$2,$B$3,F$6)</f>
        <v>-0.99835909338440354</v>
      </c>
      <c r="G8" s="14" cm="1">
        <f t="array" ref="G8">BS_Greek("PUT","DELTA",$A8,$B$1,$B$2,$B$3,G$6)</f>
        <v>-0.99614488265403034</v>
      </c>
      <c r="H8" s="14" cm="1">
        <f t="array" ref="H8">BS_Greek("PUT","DELTA",$A8,$B$1,$B$2,$B$3,H$6)</f>
        <v>-0.99283576290387021</v>
      </c>
      <c r="I8" s="14" cm="1">
        <f t="array" ref="I8">BS_Greek("PUT","DELTA",$A8,$B$1,$B$2,$B$3,I$6)</f>
        <v>-0.98851657476804122</v>
      </c>
      <c r="J8" s="14" cm="1">
        <f t="array" ref="J8">BS_Greek("PUT","DELTA",$A8,$B$1,$B$2,$B$3,J$6)</f>
        <v>-0.9833365493457592</v>
      </c>
      <c r="K8" s="14" cm="1">
        <f t="array" ref="K8">BS_Greek("PUT","DELTA",$A8,$B$1,$B$2,$B$3,K$6)</f>
        <v>-0.97746039429844445</v>
      </c>
      <c r="L8" s="14" cm="1">
        <f t="array" ref="L8">BS_Greek("PUT","DELTA",$A8,$B$1,$B$2,$B$3,L$6)</f>
        <v>-0.90505685531529534</v>
      </c>
      <c r="M8" s="14" cm="1">
        <f t="array" ref="M8">BS_Greek("PUT","DELTA",$A8,$B$1,$B$2,$B$3,M$6)</f>
        <v>-0.83738213822355212</v>
      </c>
      <c r="N8" s="14" cm="1">
        <f t="array" ref="N8">BS_Greek("PUT","DELTA",$A8,$B$1,$B$2,$B$3,N$6)</f>
        <v>-0.78140801553503314</v>
      </c>
      <c r="O8" s="23" cm="1">
        <f t="array" ref="O8">BS_Greek("PUT","DELTA",$A8,$B$1,$B$2,$B$3,O$6)</f>
        <v>-0.73494879354496201</v>
      </c>
      <c r="P8" s="5"/>
      <c r="Q8" s="12">
        <v>65</v>
      </c>
      <c r="R8" s="22" cm="1">
        <f t="array" ref="R8">BS_Greek("PUT","DELTA",$Q8,$B$1,$B$2,$R$3,R$6)</f>
        <v>-0.99999631780591081</v>
      </c>
      <c r="S8" s="14" cm="1">
        <f t="array" ref="S8">BS_Greek("PUT","DELTA",$Q8,$B$1,$B$2,$R$3,S$6)</f>
        <v>-0.99912262163087784</v>
      </c>
      <c r="T8" s="14" cm="1">
        <f t="array" ref="T8">BS_Greek("PUT","DELTA",$Q8,$B$1,$B$2,$R$3,T$6)</f>
        <v>-0.99415298895596782</v>
      </c>
      <c r="U8" s="14" cm="1">
        <f t="array" ref="U8">BS_Greek("PUT","DELTA",$Q8,$B$1,$B$2,$R$3,U$6)</f>
        <v>-0.98439853521310394</v>
      </c>
      <c r="V8" s="14" cm="1">
        <f t="array" ref="V8">BS_Greek("PUT","DELTA",$Q8,$B$1,$B$2,$R$3,V$6)</f>
        <v>-0.97135514264148681</v>
      </c>
      <c r="W8" s="14" cm="1">
        <f t="array" ref="W8">BS_Greek("PUT","DELTA",$Q8,$B$1,$B$2,$R$3,W$6)</f>
        <v>-0.95653186252639477</v>
      </c>
      <c r="X8" s="14" cm="1">
        <f t="array" ref="X8">BS_Greek("PUT","DELTA",$Q8,$B$1,$B$2,$R$3,X$6)</f>
        <v>-0.94096106457413042</v>
      </c>
      <c r="Y8" s="14" cm="1">
        <f t="array" ref="Y8">BS_Greek("PUT","DELTA",$Q8,$B$1,$B$2,$R$3,Y$6)</f>
        <v>-0.92527188397817484</v>
      </c>
      <c r="Z8" s="14" cm="1">
        <f t="array" ref="Z8">BS_Greek("PUT","DELTA",$Q8,$B$1,$B$2,$R$3,Z$6)</f>
        <v>-0.90982718659992456</v>
      </c>
      <c r="AA8" s="14" cm="1">
        <f t="array" ref="AA8">BS_Greek("PUT","DELTA",$Q8,$B$1,$B$2,$R$3,AA$6)</f>
        <v>-0.89482611219229757</v>
      </c>
      <c r="AB8" s="14" cm="1">
        <f t="array" ref="AB8">BS_Greek("PUT","DELTA",$Q8,$B$1,$B$2,$R$3,AB$6)</f>
        <v>-0.77520315606192436</v>
      </c>
      <c r="AC8" s="14" cm="1">
        <f t="array" ref="AC8">BS_Greek("PUT","DELTA",$Q8,$B$1,$B$2,$R$3,AC$6)</f>
        <v>-0.6954993169592607</v>
      </c>
      <c r="AD8" s="14" cm="1">
        <f t="array" ref="AD8">BS_Greek("PUT","DELTA",$Q8,$B$1,$B$2,$R$3,AD$6)</f>
        <v>-0.63732017542195851</v>
      </c>
      <c r="AE8" s="23" cm="1">
        <f t="array" ref="AE8">BS_Greek("PUT","DELTA",$Q8,$B$1,$B$2,$R$3,AE$6)</f>
        <v>-0.59181932468991505</v>
      </c>
      <c r="AF8" s="5"/>
      <c r="AG8" s="12">
        <v>65</v>
      </c>
      <c r="AH8" s="22" cm="1">
        <f t="array" ref="AH8">BS_Greek("PUT","DELTA",$AG8,$B$1,$B$2,$AH$3,AH$6)</f>
        <v>-1</v>
      </c>
      <c r="AI8" s="14" cm="1">
        <f t="array" ref="AI8">BS_Greek("PUT","DELTA",$AG8,$B$1,$B$2,$AH$3,AI$6)</f>
        <v>-1</v>
      </c>
      <c r="AJ8" s="14" cm="1">
        <f t="array" ref="AJ8">BS_Greek("PUT","DELTA",$AG8,$B$1,$B$2,$AH$3,AJ$6)</f>
        <v>-0.99999999999999645</v>
      </c>
      <c r="AK8" s="14" cm="1">
        <f t="array" ref="AK8">BS_Greek("PUT","DELTA",$AG8,$B$1,$B$2,$AH$3,AK$6)</f>
        <v>-0.99999999999068701</v>
      </c>
      <c r="AL8" s="14" cm="1">
        <f t="array" ref="AL8">BS_Greek("PUT","DELTA",$AG8,$B$1,$B$2,$AH$3,AL$6)</f>
        <v>-0.99999999892549984</v>
      </c>
      <c r="AM8" s="14" cm="1">
        <f t="array" ref="AM8">BS_Greek("PUT","DELTA",$AG8,$B$1,$B$2,$AH$3,AM$6)</f>
        <v>-0.99999997412552788</v>
      </c>
      <c r="AN8" s="14" cm="1">
        <f t="array" ref="AN8">BS_Greek("PUT","DELTA",$AG8,$B$1,$B$2,$AH$3,AN$6)</f>
        <v>-0.99999974609953168</v>
      </c>
      <c r="AO8" s="14" cm="1">
        <f t="array" ref="AO8">BS_Greek("PUT","DELTA",$AG8,$B$1,$B$2,$AH$3,AO$6)</f>
        <v>-0.99999858049035051</v>
      </c>
      <c r="AP8" s="14" cm="1">
        <f t="array" ref="AP8">BS_Greek("PUT","DELTA",$AG8,$B$1,$B$2,$AH$3,AP$6)</f>
        <v>-0.99999455112734237</v>
      </c>
      <c r="AQ8" s="14" cm="1">
        <f t="array" ref="AQ8">BS_Greek("PUT","DELTA",$AG8,$B$1,$B$2,$AH$3,AQ$6)</f>
        <v>-0.99998393569273369</v>
      </c>
      <c r="AR8" s="14" cm="1">
        <f t="array" ref="AR8">BS_Greek("PUT","DELTA",$AG8,$B$1,$B$2,$AH$3,AR$6)</f>
        <v>-0.99770126854070174</v>
      </c>
      <c r="AS8" s="14" cm="1">
        <f t="array" ref="AS8">BS_Greek("PUT","DELTA",$AG8,$B$1,$B$2,$AH$3,AS$6)</f>
        <v>-0.98703700934248551</v>
      </c>
      <c r="AT8" s="14" cm="1">
        <f t="array" ref="AT8">BS_Greek("PUT","DELTA",$AG8,$B$1,$B$2,$AH$3,AT$6)</f>
        <v>-0.96812430920432424</v>
      </c>
      <c r="AU8" s="23" cm="1">
        <f t="array" ref="AU8">BS_Greek("PUT","DELTA",$AG8,$B$1,$B$2,$AH$3,AU$6)</f>
        <v>-0.94420754055435308</v>
      </c>
    </row>
    <row r="9" spans="1:47" x14ac:dyDescent="0.2">
      <c r="A9" s="12">
        <v>70</v>
      </c>
      <c r="B9" s="22" cm="1">
        <f t="array" ref="B9">BS_Greek("PUT","DELTA",$A9,$B$1,$B$2,$B$3,B$6)</f>
        <v>-0.99999998878249752</v>
      </c>
      <c r="C9" s="14" cm="1">
        <f t="array" ref="C9">BS_Greek("PUT","DELTA",$A9,$B$1,$B$2,$B$3,C$6)</f>
        <v>-0.99995584753698585</v>
      </c>
      <c r="D9" s="14" cm="1">
        <f t="array" ref="D9">BS_Greek("PUT","DELTA",$A9,$B$1,$B$2,$B$3,D$6)</f>
        <v>-0.99924777425081568</v>
      </c>
      <c r="E9" s="14" cm="1">
        <f t="array" ref="E9">BS_Greek("PUT","DELTA",$A9,$B$1,$B$2,$B$3,E$6)</f>
        <v>-0.99678390000441497</v>
      </c>
      <c r="F9" s="14" cm="1">
        <f t="array" ref="F9">BS_Greek("PUT","DELTA",$A9,$B$1,$B$2,$B$3,F$6)</f>
        <v>-0.99215411365915518</v>
      </c>
      <c r="G9" s="14" cm="1">
        <f t="array" ref="G9">BS_Greek("PUT","DELTA",$A9,$B$1,$B$2,$B$3,G$6)</f>
        <v>-0.98559722139706984</v>
      </c>
      <c r="H9" s="14" cm="1">
        <f t="array" ref="H9">BS_Greek("PUT","DELTA",$A9,$B$1,$B$2,$B$3,H$6)</f>
        <v>-0.97757408881603791</v>
      </c>
      <c r="I9" s="14" cm="1">
        <f t="array" ref="I9">BS_Greek("PUT","DELTA",$A9,$B$1,$B$2,$B$3,I$6)</f>
        <v>-0.96853667944616317</v>
      </c>
      <c r="J9" s="14" cm="1">
        <f t="array" ref="J9">BS_Greek("PUT","DELTA",$A9,$B$1,$B$2,$B$3,J$6)</f>
        <v>-0.95885400744147464</v>
      </c>
      <c r="K9" s="14" cm="1">
        <f t="array" ref="K9">BS_Greek("PUT","DELTA",$A9,$B$1,$B$2,$B$3,K$6)</f>
        <v>-0.94880489471011198</v>
      </c>
      <c r="L9" s="14" cm="1">
        <f t="array" ref="L9">BS_Greek("PUT","DELTA",$A9,$B$1,$B$2,$B$3,L$6)</f>
        <v>-0.85288892223498691</v>
      </c>
      <c r="M9" s="14" cm="1">
        <f t="array" ref="M9">BS_Greek("PUT","DELTA",$A9,$B$1,$B$2,$B$3,M$6)</f>
        <v>-0.77929792459466751</v>
      </c>
      <c r="N9" s="14" cm="1">
        <f t="array" ref="N9">BS_Greek("PUT","DELTA",$A9,$B$1,$B$2,$B$3,N$6)</f>
        <v>-0.72297001881272516</v>
      </c>
      <c r="O9" s="23" cm="1">
        <f t="array" ref="O9">BS_Greek("PUT","DELTA",$A9,$B$1,$B$2,$B$3,O$6)</f>
        <v>-0.67800925822604985</v>
      </c>
      <c r="P9" s="5"/>
      <c r="Q9" s="12">
        <v>70</v>
      </c>
      <c r="R9" s="22" cm="1">
        <f t="array" ref="R9">BS_Greek("PUT","DELTA",$Q9,$B$1,$B$2,$R$3,R$6)</f>
        <v>-0.99989292389718487</v>
      </c>
      <c r="S9" s="14" cm="1">
        <f t="array" ref="S9">BS_Greek("PUT","DELTA",$Q9,$B$1,$B$2,$R$3,S$6)</f>
        <v>-0.99500981832634638</v>
      </c>
      <c r="T9" s="14" cm="1">
        <f t="array" ref="T9">BS_Greek("PUT","DELTA",$Q9,$B$1,$B$2,$R$3,T$6)</f>
        <v>-0.98078500536712698</v>
      </c>
      <c r="U9" s="14" cm="1">
        <f t="array" ref="U9">BS_Greek("PUT","DELTA",$Q9,$B$1,$B$2,$R$3,U$6)</f>
        <v>-0.96112490376939341</v>
      </c>
      <c r="V9" s="14" cm="1">
        <f t="array" ref="V9">BS_Greek("PUT","DELTA",$Q9,$B$1,$B$2,$R$3,V$6)</f>
        <v>-0.93963844251047635</v>
      </c>
      <c r="W9" s="14" cm="1">
        <f t="array" ref="W9">BS_Greek("PUT","DELTA",$Q9,$B$1,$B$2,$R$3,W$6)</f>
        <v>-0.91817123136383305</v>
      </c>
      <c r="X9" s="14" cm="1">
        <f t="array" ref="X9">BS_Greek("PUT","DELTA",$Q9,$B$1,$B$2,$R$3,X$6)</f>
        <v>-0.8975366081156535</v>
      </c>
      <c r="Y9" s="14" cm="1">
        <f t="array" ref="Y9">BS_Greek("PUT","DELTA",$Q9,$B$1,$B$2,$R$3,Y$6)</f>
        <v>-0.87804528554403938</v>
      </c>
      <c r="Z9" s="14" cm="1">
        <f t="array" ref="Z9">BS_Greek("PUT","DELTA",$Q9,$B$1,$B$2,$R$3,Z$6)</f>
        <v>-0.85977360332933828</v>
      </c>
      <c r="AA9" s="14" cm="1">
        <f t="array" ref="AA9">BS_Greek("PUT","DELTA",$Q9,$B$1,$B$2,$R$3,AA$6)</f>
        <v>-0.84269193278455312</v>
      </c>
      <c r="AB9" s="14" cm="1">
        <f t="array" ref="AB9">BS_Greek("PUT","DELTA",$Q9,$B$1,$B$2,$R$3,AB$6)</f>
        <v>-0.71952075660120351</v>
      </c>
      <c r="AC9" s="14" cm="1">
        <f t="array" ref="AC9">BS_Greek("PUT","DELTA",$Q9,$B$1,$B$2,$R$3,AC$6)</f>
        <v>-0.64389089311574621</v>
      </c>
      <c r="AD9" s="14" cm="1">
        <f t="array" ref="AD9">BS_Greek("PUT","DELTA",$Q9,$B$1,$B$2,$R$3,AD$6)</f>
        <v>-0.59009586095973765</v>
      </c>
      <c r="AE9" s="23" cm="1">
        <f t="array" ref="AE9">BS_Greek("PUT","DELTA",$Q9,$B$1,$B$2,$R$3,AE$6)</f>
        <v>-0.54845300509914008</v>
      </c>
      <c r="AF9" s="5"/>
      <c r="AG9" s="12">
        <v>70</v>
      </c>
      <c r="AH9" s="22" cm="1">
        <f t="array" ref="AH9">BS_Greek("PUT","DELTA",$AG9,$B$1,$B$2,$AH$3,AH$6)</f>
        <v>-1</v>
      </c>
      <c r="AI9" s="14" cm="1">
        <f t="array" ref="AI9">BS_Greek("PUT","DELTA",$AG9,$B$1,$B$2,$AH$3,AI$6)</f>
        <v>-0.99999999999999867</v>
      </c>
      <c r="AJ9" s="14" cm="1">
        <f t="array" ref="AJ9">BS_Greek("PUT","DELTA",$AG9,$B$1,$B$2,$AH$3,AJ$6)</f>
        <v>-0.99999999993611632</v>
      </c>
      <c r="AK9" s="14" cm="1">
        <f t="array" ref="AK9">BS_Greek("PUT","DELTA",$AG9,$B$1,$B$2,$AH$3,AK$6)</f>
        <v>-0.99999998527351153</v>
      </c>
      <c r="AL9" s="14" cm="1">
        <f t="array" ref="AL9">BS_Greek("PUT","DELTA",$AG9,$B$1,$B$2,$AH$3,AL$6)</f>
        <v>-0.99999960552141942</v>
      </c>
      <c r="AM9" s="14" cm="1">
        <f t="array" ref="AM9">BS_Greek("PUT","DELTA",$AG9,$B$1,$B$2,$AH$3,AM$6)</f>
        <v>-0.99999641307660381</v>
      </c>
      <c r="AN9" s="14" cm="1">
        <f t="array" ref="AN9">BS_Greek("PUT","DELTA",$AG9,$B$1,$B$2,$AH$3,AN$6)</f>
        <v>-0.9999824507459707</v>
      </c>
      <c r="AO9" s="14" cm="1">
        <f t="array" ref="AO9">BS_Greek("PUT","DELTA",$AG9,$B$1,$B$2,$AH$3,AO$6)</f>
        <v>-0.99994179911634218</v>
      </c>
      <c r="AP9" s="14" cm="1">
        <f t="array" ref="AP9">BS_Greek("PUT","DELTA",$AG9,$B$1,$B$2,$AH$3,AP$6)</f>
        <v>-0.99985120076411815</v>
      </c>
      <c r="AQ9" s="14" cm="1">
        <f t="array" ref="AQ9">BS_Greek("PUT","DELTA",$AG9,$B$1,$B$2,$AH$3,AQ$6)</f>
        <v>-0.99968313211324389</v>
      </c>
      <c r="AR9" s="14" cm="1">
        <f t="array" ref="AR9">BS_Greek("PUT","DELTA",$AG9,$B$1,$B$2,$AH$3,AR$6)</f>
        <v>-0.98955428078343977</v>
      </c>
      <c r="AS9" s="14" cm="1">
        <f t="array" ref="AS9">BS_Greek("PUT","DELTA",$AG9,$B$1,$B$2,$AH$3,AS$6)</f>
        <v>-0.96402672107027587</v>
      </c>
      <c r="AT9" s="14" cm="1">
        <f t="array" ref="AT9">BS_Greek("PUT","DELTA",$AG9,$B$1,$B$2,$AH$3,AT$6)</f>
        <v>-0.93101255988538445</v>
      </c>
      <c r="AU9" s="23" cm="1">
        <f t="array" ref="AU9">BS_Greek("PUT","DELTA",$AG9,$B$1,$B$2,$AH$3,AU$6)</f>
        <v>-0.89610914829245725</v>
      </c>
    </row>
    <row r="10" spans="1:47" x14ac:dyDescent="0.2">
      <c r="A10" s="12">
        <v>75</v>
      </c>
      <c r="B10" s="22" cm="1">
        <f t="array" ref="B10">BS_Greek("PUT","DELTA",$A10,$B$1,$B$2,$B$3,B$6)</f>
        <v>-0.99999662175436721</v>
      </c>
      <c r="C10" s="14" cm="1">
        <f t="array" ref="C10">BS_Greek("PUT","DELTA",$A10,$B$1,$B$2,$B$3,C$6)</f>
        <v>-0.99918169321756944</v>
      </c>
      <c r="D10" s="14" cm="1">
        <f t="array" ref="D10">BS_Greek("PUT","DELTA",$A10,$B$1,$B$2,$B$3,D$6)</f>
        <v>-0.99452056537245881</v>
      </c>
      <c r="E10" s="14" cm="1">
        <f t="array" ref="E10">BS_Greek("PUT","DELTA",$A10,$B$1,$B$2,$B$3,E$6)</f>
        <v>-0.98535117473071088</v>
      </c>
      <c r="F10" s="14" cm="1">
        <f t="array" ref="F10">BS_Greek("PUT","DELTA",$A10,$B$1,$B$2,$B$3,F$6)</f>
        <v>-0.9730819773171373</v>
      </c>
      <c r="G10" s="14" cm="1">
        <f t="array" ref="G10">BS_Greek("PUT","DELTA",$A10,$B$1,$B$2,$B$3,G$6)</f>
        <v>-0.95913982788824037</v>
      </c>
      <c r="H10" s="14" cm="1">
        <f t="array" ref="H10">BS_Greek("PUT","DELTA",$A10,$B$1,$B$2,$B$3,H$6)</f>
        <v>-0.94450176292646359</v>
      </c>
      <c r="I10" s="14" cm="1">
        <f t="array" ref="I10">BS_Greek("PUT","DELTA",$A10,$B$1,$B$2,$B$3,I$6)</f>
        <v>-0.92976291941623557</v>
      </c>
      <c r="J10" s="14" cm="1">
        <f t="array" ref="J10">BS_Greek("PUT","DELTA",$A10,$B$1,$B$2,$B$3,J$6)</f>
        <v>-0.91526598820601524</v>
      </c>
      <c r="K10" s="14" cm="1">
        <f t="array" ref="K10">BS_Greek("PUT","DELTA",$A10,$B$1,$B$2,$B$3,K$6)</f>
        <v>-0.9011984232382525</v>
      </c>
      <c r="L10" s="14" cm="1">
        <f t="array" ref="L10">BS_Greek("PUT","DELTA",$A10,$B$1,$B$2,$B$3,L$6)</f>
        <v>-0.78958372202412042</v>
      </c>
      <c r="M10" s="14" cm="1">
        <f t="array" ref="M10">BS_Greek("PUT","DELTA",$A10,$B$1,$B$2,$B$3,M$6)</f>
        <v>-0.7158845880678294</v>
      </c>
      <c r="N10" s="14" cm="1">
        <f t="array" ref="N10">BS_Greek("PUT","DELTA",$A10,$B$1,$B$2,$B$3,N$6)</f>
        <v>-0.66246690705453493</v>
      </c>
      <c r="O10" s="23" cm="1">
        <f t="array" ref="O10">BS_Greek("PUT","DELTA",$A10,$B$1,$B$2,$B$3,O$6)</f>
        <v>-0.62090803102434033</v>
      </c>
      <c r="P10" s="5"/>
      <c r="Q10" s="12">
        <v>75</v>
      </c>
      <c r="R10" s="22" cm="1">
        <f t="array" ref="R10">BS_Greek("PUT","DELTA",$Q10,$B$1,$B$2,$R$3,R$6)</f>
        <v>-0.99853247742148155</v>
      </c>
      <c r="S10" s="14" cm="1">
        <f t="array" ref="S10">BS_Greek("PUT","DELTA",$Q10,$B$1,$B$2,$R$3,S$6)</f>
        <v>-0.98040881029842508</v>
      </c>
      <c r="T10" s="14" cm="1">
        <f t="array" ref="T10">BS_Greek("PUT","DELTA",$Q10,$B$1,$B$2,$R$3,T$6)</f>
        <v>-0.95056549342913066</v>
      </c>
      <c r="U10" s="14" cm="1">
        <f t="array" ref="U10">BS_Greek("PUT","DELTA",$Q10,$B$1,$B$2,$R$3,U$6)</f>
        <v>-0.91928338097899298</v>
      </c>
      <c r="V10" s="14" cm="1">
        <f t="array" ref="V10">BS_Greek("PUT","DELTA",$Q10,$B$1,$B$2,$R$3,V$6)</f>
        <v>-0.88999660249603174</v>
      </c>
      <c r="W10" s="14" cm="1">
        <f t="array" ref="W10">BS_Greek("PUT","DELTA",$Q10,$B$1,$B$2,$R$3,W$6)</f>
        <v>-0.86345561048023245</v>
      </c>
      <c r="X10" s="14" cm="1">
        <f t="array" ref="X10">BS_Greek("PUT","DELTA",$Q10,$B$1,$B$2,$R$3,X$6)</f>
        <v>-0.83958778898814013</v>
      </c>
      <c r="Y10" s="14" cm="1">
        <f t="array" ref="Y10">BS_Greek("PUT","DELTA",$Q10,$B$1,$B$2,$R$3,Y$6)</f>
        <v>-0.81810037029895166</v>
      </c>
      <c r="Z10" s="14" cm="1">
        <f t="array" ref="Z10">BS_Greek("PUT","DELTA",$Q10,$B$1,$B$2,$R$3,Z$6)</f>
        <v>-0.79867181429170175</v>
      </c>
      <c r="AA10" s="14" cm="1">
        <f t="array" ref="AA10">BS_Greek("PUT","DELTA",$Q10,$B$1,$B$2,$R$3,AA$6)</f>
        <v>-0.78100943988166782</v>
      </c>
      <c r="AB10" s="14" cm="1">
        <f t="array" ref="AB10">BS_Greek("PUT","DELTA",$Q10,$B$1,$B$2,$R$3,AB$6)</f>
        <v>-0.66231908916757454</v>
      </c>
      <c r="AC10" s="14" cm="1">
        <f t="array" ref="AC10">BS_Greek("PUT","DELTA",$Q10,$B$1,$B$2,$R$3,AC$6)</f>
        <v>-0.59332314529799546</v>
      </c>
      <c r="AD10" s="14" cm="1">
        <f t="array" ref="AD10">BS_Greek("PUT","DELTA",$Q10,$B$1,$B$2,$R$3,AD$6)</f>
        <v>-0.54490681007005426</v>
      </c>
      <c r="AE10" s="23" cm="1">
        <f t="array" ref="AE10">BS_Greek("PUT","DELTA",$Q10,$B$1,$B$2,$R$3,AE$6)</f>
        <v>-0.50754168118532883</v>
      </c>
      <c r="AF10" s="5"/>
      <c r="AG10" s="12">
        <v>75</v>
      </c>
      <c r="AH10" s="22" cm="1">
        <f t="array" ref="AH10">BS_Greek("PUT","DELTA",$AG10,$B$1,$B$2,$AH$3,AH$6)</f>
        <v>-1</v>
      </c>
      <c r="AI10" s="14" cm="1">
        <f t="array" ref="AI10">BS_Greek("PUT","DELTA",$AG10,$B$1,$B$2,$AH$3,AI$6)</f>
        <v>-0.99999999990278976</v>
      </c>
      <c r="AJ10" s="14" cm="1">
        <f t="array" ref="AJ10">BS_Greek("PUT","DELTA",$AG10,$B$1,$B$2,$AH$3,AJ$6)</f>
        <v>-0.99999988306170484</v>
      </c>
      <c r="AK10" s="14" cm="1">
        <f t="array" ref="AK10">BS_Greek("PUT","DELTA",$AG10,$B$1,$B$2,$AH$3,AK$6)</f>
        <v>-0.9999957815132362</v>
      </c>
      <c r="AL10" s="14" cm="1">
        <f t="array" ref="AL10">BS_Greek("PUT","DELTA",$AG10,$B$1,$B$2,$AH$3,AL$6)</f>
        <v>-0.99996289573776764</v>
      </c>
      <c r="AM10" s="14" cm="1">
        <f t="array" ref="AM10">BS_Greek("PUT","DELTA",$AG10,$B$1,$B$2,$AH$3,AM$6)</f>
        <v>-0.99983952143013566</v>
      </c>
      <c r="AN10" s="14" cm="1">
        <f t="array" ref="AN10">BS_Greek("PUT","DELTA",$AG10,$B$1,$B$2,$AH$3,AN$6)</f>
        <v>-0.99953842815149707</v>
      </c>
      <c r="AO10" s="14" cm="1">
        <f t="array" ref="AO10">BS_Greek("PUT","DELTA",$AG10,$B$1,$B$2,$AH$3,AO$6)</f>
        <v>-0.99897268285935592</v>
      </c>
      <c r="AP10" s="14" cm="1">
        <f t="array" ref="AP10">BS_Greek("PUT","DELTA",$AG10,$B$1,$B$2,$AH$3,AP$6)</f>
        <v>-0.99807460447904706</v>
      </c>
      <c r="AQ10" s="14" cm="1">
        <f t="array" ref="AQ10">BS_Greek("PUT","DELTA",$AG10,$B$1,$B$2,$AH$3,AQ$6)</f>
        <v>-0.99680261138352733</v>
      </c>
      <c r="AR10" s="14" cm="1">
        <f t="array" ref="AR10">BS_Greek("PUT","DELTA",$AG10,$B$1,$B$2,$AH$3,AR$6)</f>
        <v>-0.9657791379984273</v>
      </c>
      <c r="AS10" s="14" cm="1">
        <f t="array" ref="AS10">BS_Greek("PUT","DELTA",$AG10,$B$1,$B$2,$AH$3,AS$6)</f>
        <v>-0.91941174103204293</v>
      </c>
      <c r="AT10" s="14" cm="1">
        <f t="array" ref="AT10">BS_Greek("PUT","DELTA",$AG10,$B$1,$B$2,$AH$3,AT$6)</f>
        <v>-0.87252541543240303</v>
      </c>
      <c r="AU10" s="23" cm="1">
        <f t="array" ref="AU10">BS_Greek("PUT","DELTA",$AG10,$B$1,$B$2,$AH$3,AU$6)</f>
        <v>-0.82923414186780242</v>
      </c>
    </row>
    <row r="11" spans="1:47" x14ac:dyDescent="0.2">
      <c r="A11" s="12">
        <v>80</v>
      </c>
      <c r="B11" s="22" cm="1">
        <f t="array" ref="B11">BS_Greek("PUT","DELTA",$A11,$B$1,$B$2,$B$3,B$6)</f>
        <v>-0.99975001751527426</v>
      </c>
      <c r="C11" s="14" cm="1">
        <f t="array" ref="C11">BS_Greek("PUT","DELTA",$A11,$B$1,$B$2,$B$3,C$6)</f>
        <v>-0.99240335756181086</v>
      </c>
      <c r="D11" s="14" cm="1">
        <f t="array" ref="D11">BS_Greek("PUT","DELTA",$A11,$B$1,$B$2,$B$3,D$6)</f>
        <v>-0.97469986071626091</v>
      </c>
      <c r="E11" s="14" cm="1">
        <f t="array" ref="E11">BS_Greek("PUT","DELTA",$A11,$B$1,$B$2,$B$3,E$6)</f>
        <v>-0.95246472444071939</v>
      </c>
      <c r="F11" s="14" cm="1">
        <f t="array" ref="F11">BS_Greek("PUT","DELTA",$A11,$B$1,$B$2,$B$3,F$6)</f>
        <v>-0.9294621704192243</v>
      </c>
      <c r="G11" s="14" cm="1">
        <f t="array" ref="G11">BS_Greek("PUT","DELTA",$A11,$B$1,$B$2,$B$3,G$6)</f>
        <v>-0.90728100884537732</v>
      </c>
      <c r="H11" s="14" cm="1">
        <f t="array" ref="H11">BS_Greek("PUT","DELTA",$A11,$B$1,$B$2,$B$3,H$6)</f>
        <v>-0.88648382673497528</v>
      </c>
      <c r="I11" s="14" cm="1">
        <f t="array" ref="I11">BS_Greek("PUT","DELTA",$A11,$B$1,$B$2,$B$3,I$6)</f>
        <v>-0.86719866762994358</v>
      </c>
      <c r="J11" s="14" cm="1">
        <f t="array" ref="J11">BS_Greek("PUT","DELTA",$A11,$B$1,$B$2,$B$3,J$6)</f>
        <v>-0.8493775152454146</v>
      </c>
      <c r="K11" s="14" cm="1">
        <f t="array" ref="K11">BS_Greek("PUT","DELTA",$A11,$B$1,$B$2,$B$3,K$6)</f>
        <v>-0.83290728409305781</v>
      </c>
      <c r="L11" s="14" cm="1">
        <f t="array" ref="L11">BS_Greek("PUT","DELTA",$A11,$B$1,$B$2,$B$3,L$6)</f>
        <v>-0.7179625656379226</v>
      </c>
      <c r="M11" s="14" cm="1">
        <f t="array" ref="M11">BS_Greek("PUT","DELTA",$A11,$B$1,$B$2,$B$3,M$6)</f>
        <v>-0.64964133490352116</v>
      </c>
      <c r="N11" s="14" cm="1">
        <f t="array" ref="N11">BS_Greek("PUT","DELTA",$A11,$B$1,$B$2,$B$3,N$6)</f>
        <v>-0.60174208889703951</v>
      </c>
      <c r="O11" s="23" cm="1">
        <f t="array" ref="O11">BS_Greek("PUT","DELTA",$A11,$B$1,$B$2,$B$3,O$6)</f>
        <v>-0.5649588516263524</v>
      </c>
      <c r="P11" s="5"/>
      <c r="Q11" s="12">
        <v>80</v>
      </c>
      <c r="R11" s="22" cm="1">
        <f t="array" ref="R11">BS_Greek("PUT","DELTA",$Q11,$B$1,$B$2,$R$3,R$6)</f>
        <v>-0.98910947326415422</v>
      </c>
      <c r="S11" s="14" cm="1">
        <f t="array" ref="S11">BS_Greek("PUT","DELTA",$Q11,$B$1,$B$2,$R$3,S$6)</f>
        <v>-0.94308666201370861</v>
      </c>
      <c r="T11" s="14" cm="1">
        <f t="array" ref="T11">BS_Greek("PUT","DELTA",$Q11,$B$1,$B$2,$R$3,T$6)</f>
        <v>-0.89573043536076724</v>
      </c>
      <c r="U11" s="14" cm="1">
        <f t="array" ref="U11">BS_Greek("PUT","DELTA",$Q11,$B$1,$B$2,$R$3,U$6)</f>
        <v>-0.85545490352774345</v>
      </c>
      <c r="V11" s="14" cm="1">
        <f t="array" ref="V11">BS_Greek("PUT","DELTA",$Q11,$B$1,$B$2,$R$3,V$6)</f>
        <v>-0.82180678459839196</v>
      </c>
      <c r="W11" s="14" cm="1">
        <f t="array" ref="W11">BS_Greek("PUT","DELTA",$Q11,$B$1,$B$2,$R$3,W$6)</f>
        <v>-0.79339207963546399</v>
      </c>
      <c r="X11" s="14" cm="1">
        <f t="array" ref="X11">BS_Greek("PUT","DELTA",$Q11,$B$1,$B$2,$R$3,X$6)</f>
        <v>-0.76902433777372758</v>
      </c>
      <c r="Y11" s="14" cm="1">
        <f t="array" ref="Y11">BS_Greek("PUT","DELTA",$Q11,$B$1,$B$2,$R$3,Y$6)</f>
        <v>-0.74781465076701359</v>
      </c>
      <c r="Z11" s="14" cm="1">
        <f t="array" ref="Z11">BS_Greek("PUT","DELTA",$Q11,$B$1,$B$2,$R$3,Z$6)</f>
        <v>-0.72910925383215464</v>
      </c>
      <c r="AA11" s="14" cm="1">
        <f t="array" ref="AA11">BS_Greek("PUT","DELTA",$Q11,$B$1,$B$2,$R$3,AA$6)</f>
        <v>-0.71242345118592665</v>
      </c>
      <c r="AB11" s="14" cm="1">
        <f t="array" ref="AB11">BS_Greek("PUT","DELTA",$Q11,$B$1,$B$2,$R$3,AB$6)</f>
        <v>-0.60514295751881164</v>
      </c>
      <c r="AC11" s="14" cm="1">
        <f t="array" ref="AC11">BS_Greek("PUT","DELTA",$Q11,$B$1,$B$2,$R$3,AC$6)</f>
        <v>-0.54454758788761459</v>
      </c>
      <c r="AD11" s="14" cm="1">
        <f t="array" ref="AD11">BS_Greek("PUT","DELTA",$Q11,$B$1,$B$2,$R$3,AD$6)</f>
        <v>-0.50209014965405951</v>
      </c>
      <c r="AE11" s="23" cm="1">
        <f t="array" ref="AE11">BS_Greek("PUT","DELTA",$Q11,$B$1,$B$2,$R$3,AE$6)</f>
        <v>-0.46919124044230576</v>
      </c>
      <c r="AF11" s="5"/>
      <c r="AG11" s="12">
        <v>80</v>
      </c>
      <c r="AH11" s="22" cm="1">
        <f t="array" ref="AH11">BS_Greek("PUT","DELTA",$AG11,$B$1,$B$2,$AH$3,AH$6)</f>
        <v>-0.99999999999879974</v>
      </c>
      <c r="AI11" s="14" cm="1">
        <f t="array" ref="AI11">BS_Greek("PUT","DELTA",$AG11,$B$1,$B$2,$AH$3,AI$6)</f>
        <v>-0.99999957290199704</v>
      </c>
      <c r="AJ11" s="14" cm="1">
        <f t="array" ref="AJ11">BS_Greek("PUT","DELTA",$AG11,$B$1,$B$2,$AH$3,AJ$6)</f>
        <v>-0.99996722240854641</v>
      </c>
      <c r="AK11" s="14" cm="1">
        <f t="array" ref="AK11">BS_Greek("PUT","DELTA",$AG11,$B$1,$B$2,$AH$3,AK$6)</f>
        <v>-0.99970190412486359</v>
      </c>
      <c r="AL11" s="14" cm="1">
        <f t="array" ref="AL11">BS_Greek("PUT","DELTA",$AG11,$B$1,$B$2,$AH$3,AL$6)</f>
        <v>-0.99885449850928076</v>
      </c>
      <c r="AM11" s="14" cm="1">
        <f t="array" ref="AM11">BS_Greek("PUT","DELTA",$AG11,$B$1,$B$2,$AH$3,AM$6)</f>
        <v>-0.99715020541618327</v>
      </c>
      <c r="AN11" s="14" cm="1">
        <f t="array" ref="AN11">BS_Greek("PUT","DELTA",$AG11,$B$1,$B$2,$AH$3,AN$6)</f>
        <v>-0.99448231126656217</v>
      </c>
      <c r="AO11" s="14" cm="1">
        <f t="array" ref="AO11">BS_Greek("PUT","DELTA",$AG11,$B$1,$B$2,$AH$3,AO$6)</f>
        <v>-0.99087869452629052</v>
      </c>
      <c r="AP11" s="14" cm="1">
        <f t="array" ref="AP11">BS_Greek("PUT","DELTA",$AG11,$B$1,$B$2,$AH$3,AP$6)</f>
        <v>-0.98644176377083581</v>
      </c>
      <c r="AQ11" s="14" cm="1">
        <f t="array" ref="AQ11">BS_Greek("PUT","DELTA",$AG11,$B$1,$B$2,$AH$3,AQ$6)</f>
        <v>-0.98130296953188956</v>
      </c>
      <c r="AR11" s="14" cm="1">
        <f t="array" ref="AR11">BS_Greek("PUT","DELTA",$AG11,$B$1,$B$2,$AH$3,AR$6)</f>
        <v>-0.91398831809174919</v>
      </c>
      <c r="AS11" s="14" cm="1">
        <f t="array" ref="AS11">BS_Greek("PUT","DELTA",$AG11,$B$1,$B$2,$AH$3,AS$6)</f>
        <v>-0.84814553967118989</v>
      </c>
      <c r="AT11" s="14" cm="1">
        <f t="array" ref="AT11">BS_Greek("PUT","DELTA",$AG11,$B$1,$B$2,$AH$3,AT$6)</f>
        <v>-0.79266920954781528</v>
      </c>
      <c r="AU11" s="23" cm="1">
        <f t="array" ref="AU11">BS_Greek("PUT","DELTA",$AG11,$B$1,$B$2,$AH$3,AU$6)</f>
        <v>-0.74618038134057052</v>
      </c>
    </row>
    <row r="12" spans="1:47" x14ac:dyDescent="0.2">
      <c r="A12" s="12">
        <v>85</v>
      </c>
      <c r="B12" s="22" cm="1">
        <f t="array" ref="B12">BS_Greek("PUT","DELTA",$A12,$B$1,$B$2,$B$3,B$6)</f>
        <v>-0.99416909186209745</v>
      </c>
      <c r="C12" s="14" cm="1">
        <f t="array" ref="C12">BS_Greek("PUT","DELTA",$A12,$B$1,$B$2,$B$3,C$6)</f>
        <v>-0.95993522017554</v>
      </c>
      <c r="D12" s="14" cm="1">
        <f t="array" ref="D12">BS_Greek("PUT","DELTA",$A12,$B$1,$B$2,$B$3,D$6)</f>
        <v>-0.91945718869685844</v>
      </c>
      <c r="E12" s="14" cm="1">
        <f t="array" ref="E12">BS_Greek("PUT","DELTA",$A12,$B$1,$B$2,$B$3,E$6)</f>
        <v>-0.88296827878765527</v>
      </c>
      <c r="F12" s="14" cm="1">
        <f t="array" ref="F12">BS_Greek("PUT","DELTA",$A12,$B$1,$B$2,$B$3,F$6)</f>
        <v>-0.8515527963544558</v>
      </c>
      <c r="G12" s="14" cm="1">
        <f t="array" ref="G12">BS_Greek("PUT","DELTA",$A12,$B$1,$B$2,$B$3,G$6)</f>
        <v>-0.82455533749048882</v>
      </c>
      <c r="H12" s="14" cm="1">
        <f t="array" ref="H12">BS_Greek("PUT","DELTA",$A12,$B$1,$B$2,$B$3,H$6)</f>
        <v>-0.80115036351573243</v>
      </c>
      <c r="I12" s="14" cm="1">
        <f t="array" ref="I12">BS_Greek("PUT","DELTA",$A12,$B$1,$B$2,$B$3,I$6)</f>
        <v>-0.78063641017552954</v>
      </c>
      <c r="J12" s="14" cm="1">
        <f t="array" ref="J12">BS_Greek("PUT","DELTA",$A12,$B$1,$B$2,$B$3,J$6)</f>
        <v>-0.76246291657331267</v>
      </c>
      <c r="K12" s="14" cm="1">
        <f t="array" ref="K12">BS_Greek("PUT","DELTA",$A12,$B$1,$B$2,$B$3,K$6)</f>
        <v>-0.7462049004262935</v>
      </c>
      <c r="L12" s="14" cm="1">
        <f t="array" ref="L12">BS_Greek("PUT","DELTA",$A12,$B$1,$B$2,$B$3,L$6)</f>
        <v>-0.64149552812518496</v>
      </c>
      <c r="M12" s="14" cm="1">
        <f t="array" ref="M12">BS_Greek("PUT","DELTA",$A12,$B$1,$B$2,$B$3,M$6)</f>
        <v>-0.58291019299022284</v>
      </c>
      <c r="N12" s="14" cm="1">
        <f t="array" ref="N12">BS_Greek("PUT","DELTA",$A12,$B$1,$B$2,$B$3,N$6)</f>
        <v>-0.54232677254784156</v>
      </c>
      <c r="O12" s="23" cm="1">
        <f t="array" ref="O12">BS_Greek("PUT","DELTA",$A12,$B$1,$B$2,$B$3,O$6)</f>
        <v>-0.51116620365399934</v>
      </c>
      <c r="P12" s="5"/>
      <c r="Q12" s="12">
        <v>85</v>
      </c>
      <c r="R12" s="22" cm="1">
        <f t="array" ref="R12">BS_Greek("PUT","DELTA",$Q12,$B$1,$B$2,$R$3,R$6)</f>
        <v>-0.95105041176998162</v>
      </c>
      <c r="S12" s="14" cm="1">
        <f t="array" ref="S12">BS_Greek("PUT","DELTA",$Q12,$B$1,$B$2,$R$3,S$6)</f>
        <v>-0.87062603477158196</v>
      </c>
      <c r="T12" s="14" cm="1">
        <f t="array" ref="T12">BS_Greek("PUT","DELTA",$Q12,$B$1,$B$2,$R$3,T$6)</f>
        <v>-0.81290248778862662</v>
      </c>
      <c r="U12" s="14" cm="1">
        <f t="array" ref="U12">BS_Greek("PUT","DELTA",$Q12,$B$1,$B$2,$R$3,U$6)</f>
        <v>-0.77053193108328744</v>
      </c>
      <c r="V12" s="14" cm="1">
        <f t="array" ref="V12">BS_Greek("PUT","DELTA",$Q12,$B$1,$B$2,$R$3,V$6)</f>
        <v>-0.73776993263156676</v>
      </c>
      <c r="W12" s="14" cm="1">
        <f t="array" ref="W12">BS_Greek("PUT","DELTA",$Q12,$B$1,$B$2,$R$3,W$6)</f>
        <v>-0.71135950475813281</v>
      </c>
      <c r="X12" s="14" cm="1">
        <f t="array" ref="X12">BS_Greek("PUT","DELTA",$Q12,$B$1,$B$2,$R$3,X$6)</f>
        <v>-0.68938336584831517</v>
      </c>
      <c r="Y12" s="14" cm="1">
        <f t="array" ref="Y12">BS_Greek("PUT","DELTA",$Q12,$B$1,$B$2,$R$3,Y$6)</f>
        <v>-0.67064466370442455</v>
      </c>
      <c r="Z12" s="14" cm="1">
        <f t="array" ref="Z12">BS_Greek("PUT","DELTA",$Q12,$B$1,$B$2,$R$3,Z$6)</f>
        <v>-0.65435610431318014</v>
      </c>
      <c r="AA12" s="14" cm="1">
        <f t="array" ref="AA12">BS_Greek("PUT","DELTA",$Q12,$B$1,$B$2,$R$3,AA$6)</f>
        <v>-0.63997666916532903</v>
      </c>
      <c r="AB12" s="14" cm="1">
        <f t="array" ref="AB12">BS_Greek("PUT","DELTA",$Q12,$B$1,$B$2,$R$3,AB$6)</f>
        <v>-0.54925855366537546</v>
      </c>
      <c r="AC12" s="14" cm="1">
        <f t="array" ref="AC12">BS_Greek("PUT","DELTA",$Q12,$B$1,$B$2,$R$3,AC$6)</f>
        <v>-0.49809512869829664</v>
      </c>
      <c r="AD12" s="14" cm="1">
        <f t="array" ref="AD12">BS_Greek("PUT","DELTA",$Q12,$B$1,$B$2,$R$3,AD$6)</f>
        <v>-0.46183900015825552</v>
      </c>
      <c r="AE12" s="23" cm="1">
        <f t="array" ref="AE12">BS_Greek("PUT","DELTA",$Q12,$B$1,$B$2,$R$3,AE$6)</f>
        <v>-0.43341874291344296</v>
      </c>
      <c r="AF12" s="5"/>
      <c r="AG12" s="12">
        <v>85</v>
      </c>
      <c r="AH12" s="22" cm="1">
        <f t="array" ref="AH12">BS_Greek("PUT","DELTA",$AG12,$B$1,$B$2,$AH$3,AH$6)</f>
        <v>-0.99999982272133159</v>
      </c>
      <c r="AI12" s="14" cm="1">
        <f t="array" ref="AI12">BS_Greek("PUT","DELTA",$AG12,$B$1,$B$2,$AH$3,AI$6)</f>
        <v>-0.99981942099236665</v>
      </c>
      <c r="AJ12" s="14" cm="1">
        <f t="array" ref="AJ12">BS_Greek("PUT","DELTA",$AG12,$B$1,$B$2,$AH$3,AJ$6)</f>
        <v>-0.99804304196816829</v>
      </c>
      <c r="AK12" s="14" cm="1">
        <f t="array" ref="AK12">BS_Greek("PUT","DELTA",$AG12,$B$1,$B$2,$AH$3,AK$6)</f>
        <v>-0.99333411575638086</v>
      </c>
      <c r="AL12" s="14" cm="1">
        <f t="array" ref="AL12">BS_Greek("PUT","DELTA",$AG12,$B$1,$B$2,$AH$3,AL$6)</f>
        <v>-0.98582102812389361</v>
      </c>
      <c r="AM12" s="14" cm="1">
        <f t="array" ref="AM12">BS_Greek("PUT","DELTA",$AG12,$B$1,$B$2,$AH$3,AM$6)</f>
        <v>-0.97625595044034874</v>
      </c>
      <c r="AN12" s="14" cm="1">
        <f t="array" ref="AN12">BS_Greek("PUT","DELTA",$AG12,$B$1,$B$2,$AH$3,AN$6)</f>
        <v>-0.96538943258594301</v>
      </c>
      <c r="AO12" s="14" cm="1">
        <f t="array" ref="AO12">BS_Greek("PUT","DELTA",$AG12,$B$1,$B$2,$AH$3,AO$6)</f>
        <v>-0.95379820378478741</v>
      </c>
      <c r="AP12" s="14" cm="1">
        <f t="array" ref="AP12">BS_Greek("PUT","DELTA",$AG12,$B$1,$B$2,$AH$3,AP$6)</f>
        <v>-0.94188514642659571</v>
      </c>
      <c r="AQ12" s="14" cm="1">
        <f t="array" ref="AQ12">BS_Greek("PUT","DELTA",$AG12,$B$1,$B$2,$AH$3,AQ$6)</f>
        <v>-0.92991917065856655</v>
      </c>
      <c r="AR12" s="14" cm="1">
        <f t="array" ref="AR12">BS_Greek("PUT","DELTA",$AG12,$B$1,$B$2,$AH$3,AR$6)</f>
        <v>-0.82563366708758723</v>
      </c>
      <c r="AS12" s="14" cm="1">
        <f t="array" ref="AS12">BS_Greek("PUT","DELTA",$AG12,$B$1,$B$2,$AH$3,AS$6)</f>
        <v>-0.75127132472481861</v>
      </c>
      <c r="AT12" s="14" cm="1">
        <f t="array" ref="AT12">BS_Greek("PUT","DELTA",$AG12,$B$1,$B$2,$AH$3,AT$6)</f>
        <v>-0.69588255094248597</v>
      </c>
      <c r="AU12" s="23" cm="1">
        <f t="array" ref="AU12">BS_Greek("PUT","DELTA",$AG12,$B$1,$B$2,$AH$3,AU$6)</f>
        <v>-0.65224792947554422</v>
      </c>
    </row>
    <row r="13" spans="1:47" x14ac:dyDescent="0.2">
      <c r="A13" s="12">
        <v>90</v>
      </c>
      <c r="B13" s="22" cm="1">
        <f t="array" ref="B13">BS_Greek("PUT","DELTA",$A13,$B$1,$B$2,$B$3,B$6)</f>
        <v>-0.94721845000306515</v>
      </c>
      <c r="C13" s="14" cm="1">
        <f t="array" ref="C13">BS_Greek("PUT","DELTA",$A13,$B$1,$B$2,$B$3,C$6)</f>
        <v>-0.86669093075219805</v>
      </c>
      <c r="D13" s="14" cm="1">
        <f t="array" ref="D13">BS_Greek("PUT","DELTA",$A13,$B$1,$B$2,$B$3,D$6)</f>
        <v>-0.81047475187222251</v>
      </c>
      <c r="E13" s="14" cm="1">
        <f t="array" ref="E13">BS_Greek("PUT","DELTA",$A13,$B$1,$B$2,$B$3,E$6)</f>
        <v>-0.76976698530142718</v>
      </c>
      <c r="F13" s="14" cm="1">
        <f t="array" ref="F13">BS_Greek("PUT","DELTA",$A13,$B$1,$B$2,$B$3,F$6)</f>
        <v>-0.73857075243609782</v>
      </c>
      <c r="G13" s="14" cm="1">
        <f t="array" ref="G13">BS_Greek("PUT","DELTA",$A13,$B$1,$B$2,$B$3,G$6)</f>
        <v>-0.71359220714545868</v>
      </c>
      <c r="H13" s="14" cm="1">
        <f t="array" ref="H13">BS_Greek("PUT","DELTA",$A13,$B$1,$B$2,$B$3,H$6)</f>
        <v>-0.69292219222946605</v>
      </c>
      <c r="I13" s="14" cm="1">
        <f t="array" ref="I13">BS_Greek("PUT","DELTA",$A13,$B$1,$B$2,$B$3,I$6)</f>
        <v>-0.67538030929215342</v>
      </c>
      <c r="J13" s="14" cm="1">
        <f t="array" ref="J13">BS_Greek("PUT","DELTA",$A13,$B$1,$B$2,$B$3,J$6)</f>
        <v>-0.66019529381624764</v>
      </c>
      <c r="K13" s="14" cm="1">
        <f t="array" ref="K13">BS_Greek("PUT","DELTA",$A13,$B$1,$B$2,$B$3,K$6)</f>
        <v>-0.64683983773027076</v>
      </c>
      <c r="L13" s="14" cm="1">
        <f t="array" ref="L13">BS_Greek("PUT","DELTA",$A13,$B$1,$B$2,$B$3,L$6)</f>
        <v>-0.56370662389654669</v>
      </c>
      <c r="M13" s="14" cm="1">
        <f t="array" ref="M13">BS_Greek("PUT","DELTA",$A13,$B$1,$B$2,$B$3,M$6)</f>
        <v>-0.51768409900435353</v>
      </c>
      <c r="N13" s="14" cm="1">
        <f t="array" ref="N13">BS_Greek("PUT","DELTA",$A13,$B$1,$B$2,$B$3,N$6)</f>
        <v>-0.48540248571576572</v>
      </c>
      <c r="O13" s="23" cm="1">
        <f t="array" ref="O13">BS_Greek("PUT","DELTA",$A13,$B$1,$B$2,$B$3,O$6)</f>
        <v>-0.46024483687683237</v>
      </c>
      <c r="P13" s="5"/>
      <c r="Q13" s="12">
        <v>90</v>
      </c>
      <c r="R13" s="22" cm="1">
        <f t="array" ref="R13">BS_Greek("PUT","DELTA",$Q13,$B$1,$B$2,$R$3,R$6)</f>
        <v>-0.85374292440200006</v>
      </c>
      <c r="S13" s="14" cm="1">
        <f t="array" ref="S13">BS_Greek("PUT","DELTA",$Q13,$B$1,$B$2,$R$3,S$6)</f>
        <v>-0.75907237290923424</v>
      </c>
      <c r="T13" s="14" cm="1">
        <f t="array" ref="T13">BS_Greek("PUT","DELTA",$Q13,$B$1,$B$2,$R$3,T$6)</f>
        <v>-0.70567310001943828</v>
      </c>
      <c r="U13" s="14" cm="1">
        <f t="array" ref="U13">BS_Greek("PUT","DELTA",$Q13,$B$1,$B$2,$R$3,U$6)</f>
        <v>-0.66979547949050677</v>
      </c>
      <c r="V13" s="14" cm="1">
        <f t="array" ref="V13">BS_Greek("PUT","DELTA",$Q13,$B$1,$B$2,$R$3,V$6)</f>
        <v>-0.64320465993398146</v>
      </c>
      <c r="W13" s="14" cm="1">
        <f t="array" ref="W13">BS_Greek("PUT","DELTA",$Q13,$B$1,$B$2,$R$3,W$6)</f>
        <v>-0.62224795286560064</v>
      </c>
      <c r="X13" s="14" cm="1">
        <f t="array" ref="X13">BS_Greek("PUT","DELTA",$Q13,$B$1,$B$2,$R$3,X$6)</f>
        <v>-0.60502620477444458</v>
      </c>
      <c r="Y13" s="14" cm="1">
        <f t="array" ref="Y13">BS_Greek("PUT","DELTA",$Q13,$B$1,$B$2,$R$3,Y$6)</f>
        <v>-0.59044006826425854</v>
      </c>
      <c r="Z13" s="14" cm="1">
        <f t="array" ref="Z13">BS_Greek("PUT","DELTA",$Q13,$B$1,$B$2,$R$3,Z$6)</f>
        <v>-0.57780208416455869</v>
      </c>
      <c r="AA13" s="14" cm="1">
        <f t="array" ref="AA13">BS_Greek("PUT","DELTA",$Q13,$B$1,$B$2,$R$3,AA$6)</f>
        <v>-0.56665658907905203</v>
      </c>
      <c r="AB13" s="14" cm="1">
        <f t="array" ref="AB13">BS_Greek("PUT","DELTA",$Q13,$B$1,$B$2,$R$3,AB$6)</f>
        <v>-0.49563750571488163</v>
      </c>
      <c r="AC13" s="14" cm="1">
        <f t="array" ref="AC13">BS_Greek("PUT","DELTA",$Q13,$B$1,$B$2,$R$3,AC$6)</f>
        <v>-0.45431124070599771</v>
      </c>
      <c r="AD13" s="14" cm="1">
        <f t="array" ref="AD13">BS_Greek("PUT","DELTA",$Q13,$B$1,$B$2,$R$3,AD$6)</f>
        <v>-0.42423701798348556</v>
      </c>
      <c r="AE13" s="23" cm="1">
        <f t="array" ref="AE13">BS_Greek("PUT","DELTA",$Q13,$B$1,$B$2,$R$3,AE$6)</f>
        <v>-0.40017907667774644</v>
      </c>
      <c r="AF13" s="5"/>
      <c r="AG13" s="12">
        <v>90</v>
      </c>
      <c r="AH13" s="22" cm="1">
        <f t="array" ref="AH13">BS_Greek("PUT","DELTA",$AG13,$B$1,$B$2,$AH$3,AH$6)</f>
        <v>-0.99948892482853091</v>
      </c>
      <c r="AI13" s="14" cm="1">
        <f t="array" ref="AI13">BS_Greek("PUT","DELTA",$AG13,$B$1,$B$2,$AH$3,AI$6)</f>
        <v>-0.9889559860924052</v>
      </c>
      <c r="AJ13" s="14" cm="1">
        <f t="array" ref="AJ13">BS_Greek("PUT","DELTA",$AG13,$B$1,$B$2,$AH$3,AJ$6)</f>
        <v>-0.96722237353959195</v>
      </c>
      <c r="AK13" s="14" cm="1">
        <f t="array" ref="AK13">BS_Greek("PUT","DELTA",$AG13,$B$1,$B$2,$AH$3,AK$6)</f>
        <v>-0.94191189201267966</v>
      </c>
      <c r="AL13" s="14" cm="1">
        <f t="array" ref="AL13">BS_Greek("PUT","DELTA",$AG13,$B$1,$B$2,$AH$3,AL$6)</f>
        <v>-0.91681414086730562</v>
      </c>
      <c r="AM13" s="14" cm="1">
        <f t="array" ref="AM13">BS_Greek("PUT","DELTA",$AG13,$B$1,$B$2,$AH$3,AM$6)</f>
        <v>-0.89325185776813143</v>
      </c>
      <c r="AN13" s="14" cm="1">
        <f t="array" ref="AN13">BS_Greek("PUT","DELTA",$AG13,$B$1,$B$2,$AH$3,AN$6)</f>
        <v>-0.87156077913162922</v>
      </c>
      <c r="AO13" s="14" cm="1">
        <f t="array" ref="AO13">BS_Greek("PUT","DELTA",$AG13,$B$1,$B$2,$AH$3,AO$6)</f>
        <v>-0.85171156569915274</v>
      </c>
      <c r="AP13" s="14" cm="1">
        <f t="array" ref="AP13">BS_Greek("PUT","DELTA",$AG13,$B$1,$B$2,$AH$3,AP$6)</f>
        <v>-0.83355143322926772</v>
      </c>
      <c r="AQ13" s="14" cm="1">
        <f t="array" ref="AQ13">BS_Greek("PUT","DELTA",$AG13,$B$1,$B$2,$AH$3,AQ$6)</f>
        <v>-0.81689759699323372</v>
      </c>
      <c r="AR13" s="14" cm="1">
        <f t="array" ref="AR13">BS_Greek("PUT","DELTA",$AG13,$B$1,$B$2,$AH$3,AR$6)</f>
        <v>-0.70294143810382681</v>
      </c>
      <c r="AS13" s="14" cm="1">
        <f t="array" ref="AS13">BS_Greek("PUT","DELTA",$AG13,$B$1,$B$2,$AH$3,AS$6)</f>
        <v>-0.6362644892772813</v>
      </c>
      <c r="AT13" s="14" cm="1">
        <f t="array" ref="AT13">BS_Greek("PUT","DELTA",$AG13,$B$1,$B$2,$AH$3,AT$6)</f>
        <v>-0.5897113706196716</v>
      </c>
      <c r="AU13" s="23" cm="1">
        <f t="array" ref="AU13">BS_Greek("PUT","DELTA",$AG13,$B$1,$B$2,$AH$3,AU$6)</f>
        <v>-0.55400095752449929</v>
      </c>
    </row>
    <row r="14" spans="1:47" x14ac:dyDescent="0.2">
      <c r="A14" s="12">
        <v>95</v>
      </c>
      <c r="B14" s="22" cm="1">
        <f t="array" ref="B14">BS_Greek("PUT","DELTA",$A14,$B$1,$B$2,$B$3,B$6)</f>
        <v>-0.77744241537585546</v>
      </c>
      <c r="C14" s="14" cm="1">
        <f t="array" ref="C14">BS_Greek("PUT","DELTA",$A14,$B$1,$B$2,$B$3,C$6)</f>
        <v>-0.6937101065655854</v>
      </c>
      <c r="D14" s="14" cm="1">
        <f t="array" ref="D14">BS_Greek("PUT","DELTA",$A14,$B$1,$B$2,$B$3,D$6)</f>
        <v>-0.65028247031978481</v>
      </c>
      <c r="E14" s="14" cm="1">
        <f t="array" ref="E14">BS_Greek("PUT","DELTA",$A14,$B$1,$B$2,$B$3,E$6)</f>
        <v>-0.62196313433435235</v>
      </c>
      <c r="F14" s="14" cm="1">
        <f t="array" ref="F14">BS_Greek("PUT","DELTA",$A14,$B$1,$B$2,$B$3,F$6)</f>
        <v>-0.60126869861810672</v>
      </c>
      <c r="G14" s="14" cm="1">
        <f t="array" ref="G14">BS_Greek("PUT","DELTA",$A14,$B$1,$B$2,$B$3,G$6)</f>
        <v>-0.58508019991269511</v>
      </c>
      <c r="H14" s="14" cm="1">
        <f t="array" ref="H14">BS_Greek("PUT","DELTA",$A14,$B$1,$B$2,$B$3,H$6)</f>
        <v>-0.57183075677667916</v>
      </c>
      <c r="I14" s="14" cm="1">
        <f t="array" ref="I14">BS_Greek("PUT","DELTA",$A14,$B$1,$B$2,$B$3,I$6)</f>
        <v>-0.56063294575822775</v>
      </c>
      <c r="J14" s="14" cm="1">
        <f t="array" ref="J14">BS_Greek("PUT","DELTA",$A14,$B$1,$B$2,$B$3,J$6)</f>
        <v>-0.55094011572048185</v>
      </c>
      <c r="K14" s="14" cm="1">
        <f t="array" ref="K14">BS_Greek("PUT","DELTA",$A14,$B$1,$B$2,$B$3,K$6)</f>
        <v>-0.54239387215072843</v>
      </c>
      <c r="L14" s="14" cm="1">
        <f t="array" ref="L14">BS_Greek("PUT","DELTA",$A14,$B$1,$B$2,$B$3,L$6)</f>
        <v>-0.48772135767095182</v>
      </c>
      <c r="M14" s="14" cm="1">
        <f t="array" ref="M14">BS_Greek("PUT","DELTA",$A14,$B$1,$B$2,$B$3,M$6)</f>
        <v>-0.45551611552615734</v>
      </c>
      <c r="N14" s="14" cm="1">
        <f t="array" ref="N14">BS_Greek("PUT","DELTA",$A14,$B$1,$B$2,$B$3,N$6)</f>
        <v>-0.43181044779477695</v>
      </c>
      <c r="O14" s="23" cm="1">
        <f t="array" ref="O14">BS_Greek("PUT","DELTA",$A14,$B$1,$B$2,$B$3,O$6)</f>
        <v>-0.41265721312345893</v>
      </c>
      <c r="P14" s="5"/>
      <c r="Q14" s="12">
        <v>95</v>
      </c>
      <c r="R14" s="22" cm="1">
        <f t="array" ref="R14">BS_Greek("PUT","DELTA",$Q14,$B$1,$B$2,$R$3,R$6)</f>
        <v>-0.68534693429781512</v>
      </c>
      <c r="S14" s="14" cm="1">
        <f t="array" ref="S14">BS_Greek("PUT","DELTA",$Q14,$B$1,$B$2,$R$3,S$6)</f>
        <v>-0.6180366959210446</v>
      </c>
      <c r="T14" s="14" cm="1">
        <f t="array" ref="T14">BS_Greek("PUT","DELTA",$Q14,$B$1,$B$2,$R$3,T$6)</f>
        <v>-0.58384710662090655</v>
      </c>
      <c r="U14" s="14" cm="1">
        <f t="array" ref="U14">BS_Greek("PUT","DELTA",$Q14,$B$1,$B$2,$R$3,U$6)</f>
        <v>-0.56134857249801873</v>
      </c>
      <c r="V14" s="14" cm="1">
        <f t="array" ref="V14">BS_Greek("PUT","DELTA",$Q14,$B$1,$B$2,$R$3,V$6)</f>
        <v>-0.54465278448532417</v>
      </c>
      <c r="W14" s="14" cm="1">
        <f t="array" ref="W14">BS_Greek("PUT","DELTA",$Q14,$B$1,$B$2,$R$3,W$6)</f>
        <v>-0.53137304929510343</v>
      </c>
      <c r="X14" s="14" cm="1">
        <f t="array" ref="X14">BS_Greek("PUT","DELTA",$Q14,$B$1,$B$2,$R$3,X$6)</f>
        <v>-0.5203251694133888</v>
      </c>
      <c r="Y14" s="14" cm="1">
        <f t="array" ref="Y14">BS_Greek("PUT","DELTA",$Q14,$B$1,$B$2,$R$3,Y$6)</f>
        <v>-0.51084211699665127</v>
      </c>
      <c r="Z14" s="14" cm="1">
        <f t="array" ref="Z14">BS_Greek("PUT","DELTA",$Q14,$B$1,$B$2,$R$3,Z$6)</f>
        <v>-0.50251371636138731</v>
      </c>
      <c r="AA14" s="14" cm="1">
        <f t="array" ref="AA14">BS_Greek("PUT","DELTA",$Q14,$B$1,$B$2,$R$3,AA$6)</f>
        <v>-0.49507092011561626</v>
      </c>
      <c r="AB14" s="14" cm="1">
        <f t="array" ref="AB14">BS_Greek("PUT","DELTA",$Q14,$B$1,$B$2,$R$3,AB$6)</f>
        <v>-0.44497280460428268</v>
      </c>
      <c r="AC14" s="14" cm="1">
        <f t="array" ref="AC14">BS_Greek("PUT","DELTA",$Q14,$B$1,$B$2,$R$3,AC$6)</f>
        <v>-0.41339176139808453</v>
      </c>
      <c r="AD14" s="14" cm="1">
        <f t="array" ref="AD14">BS_Greek("PUT","DELTA",$Q14,$B$1,$B$2,$R$3,AD$6)</f>
        <v>-0.38928699917989928</v>
      </c>
      <c r="AE14" s="23" cm="1">
        <f t="array" ref="AE14">BS_Greek("PUT","DELTA",$Q14,$B$1,$B$2,$R$3,AE$6)</f>
        <v>-0.36938513644082593</v>
      </c>
      <c r="AF14" s="5"/>
      <c r="AG14" s="12">
        <v>95</v>
      </c>
      <c r="AH14" s="22" cm="1">
        <f t="array" ref="AH14">BS_Greek("PUT","DELTA",$AG14,$B$1,$B$2,$AH$3,AH$6)</f>
        <v>-0.94232585548392311</v>
      </c>
      <c r="AI14" s="14" cm="1">
        <f t="array" ref="AI14">BS_Greek("PUT","DELTA",$AG14,$B$1,$B$2,$AH$3,AI$6)</f>
        <v>-0.85990016135422198</v>
      </c>
      <c r="AJ14" s="14" cm="1">
        <f t="array" ref="AJ14">BS_Greek("PUT","DELTA",$AG14,$B$1,$B$2,$AH$3,AJ$6)</f>
        <v>-0.80353746475916554</v>
      </c>
      <c r="AK14" s="14" cm="1">
        <f t="array" ref="AK14">BS_Greek("PUT","DELTA",$AG14,$B$1,$B$2,$AH$3,AK$6)</f>
        <v>-0.76305059187866298</v>
      </c>
      <c r="AL14" s="14" cm="1">
        <f t="array" ref="AL14">BS_Greek("PUT","DELTA",$AG14,$B$1,$B$2,$AH$3,AL$6)</f>
        <v>-0.73215074084786935</v>
      </c>
      <c r="AM14" s="14" cm="1">
        <f t="array" ref="AM14">BS_Greek("PUT","DELTA",$AG14,$B$1,$B$2,$AH$3,AM$6)</f>
        <v>-0.70746843461389441</v>
      </c>
      <c r="AN14" s="14" cm="1">
        <f t="array" ref="AN14">BS_Greek("PUT","DELTA",$AG14,$B$1,$B$2,$AH$3,AN$6)</f>
        <v>-0.68707388235667555</v>
      </c>
      <c r="AO14" s="14" cm="1">
        <f t="array" ref="AO14">BS_Greek("PUT","DELTA",$AG14,$B$1,$B$2,$AH$3,AO$6)</f>
        <v>-0.66978239987143284</v>
      </c>
      <c r="AP14" s="14" cm="1">
        <f t="array" ref="AP14">BS_Greek("PUT","DELTA",$AG14,$B$1,$B$2,$AH$3,AP$6)</f>
        <v>-0.65482358809332131</v>
      </c>
      <c r="AQ14" s="14" cm="1">
        <f t="array" ref="AQ14">BS_Greek("PUT","DELTA",$AG14,$B$1,$B$2,$AH$3,AQ$6)</f>
        <v>-0.64167251171171547</v>
      </c>
      <c r="AR14" s="14" cm="1">
        <f t="array" ref="AR14">BS_Greek("PUT","DELTA",$AG14,$B$1,$B$2,$AH$3,AR$6)</f>
        <v>-0.55984108777794528</v>
      </c>
      <c r="AS14" s="14" cm="1">
        <f t="array" ref="AS14">BS_Greek("PUT","DELTA",$AG14,$B$1,$B$2,$AH$3,AS$6)</f>
        <v>-0.51449212049483484</v>
      </c>
      <c r="AT14" s="14" cm="1">
        <f t="array" ref="AT14">BS_Greek("PUT","DELTA",$AG14,$B$1,$B$2,$AH$3,AT$6)</f>
        <v>-0.48263811916107868</v>
      </c>
      <c r="AU14" s="23" cm="1">
        <f t="array" ref="AU14">BS_Greek("PUT","DELTA",$AG14,$B$1,$B$2,$AH$3,AU$6)</f>
        <v>-0.45778339645558364</v>
      </c>
    </row>
    <row r="15" spans="1:47" x14ac:dyDescent="0.2">
      <c r="A15" s="12">
        <v>100</v>
      </c>
      <c r="B15" s="22" cm="1">
        <f t="array" ref="B15">BS_Greek("PUT","DELTA",$A15,$B$1,$B$2,$B$3,B$6)</f>
        <v>-0.48108360000070371</v>
      </c>
      <c r="C15" s="14" cm="1">
        <f t="array" ref="C15">BS_Greek("PUT","DELTA",$A15,$B$1,$B$2,$B$3,C$6)</f>
        <v>-0.4732581961130774</v>
      </c>
      <c r="D15" s="14" cm="1">
        <f t="array" ref="D15">BS_Greek("PUT","DELTA",$A15,$B$1,$B$2,$B$3,D$6)</f>
        <v>-0.46726038328732289</v>
      </c>
      <c r="E15" s="14" cm="1">
        <f t="array" ref="E15">BS_Greek("PUT","DELTA",$A15,$B$1,$B$2,$B$3,E$6)</f>
        <v>-0.46220970609333534</v>
      </c>
      <c r="F15" s="14" cm="1">
        <f t="array" ref="F15">BS_Greek("PUT","DELTA",$A15,$B$1,$B$2,$B$3,F$6)</f>
        <v>-0.45776498668838594</v>
      </c>
      <c r="G15" s="14" cm="1">
        <f t="array" ref="G15">BS_Greek("PUT","DELTA",$A15,$B$1,$B$2,$B$3,G$6)</f>
        <v>-0.45375117893531969</v>
      </c>
      <c r="H15" s="14" cm="1">
        <f t="array" ref="H15">BS_Greek("PUT","DELTA",$A15,$B$1,$B$2,$B$3,H$6)</f>
        <v>-0.45006425675703965</v>
      </c>
      <c r="I15" s="14" cm="1">
        <f t="array" ref="I15">BS_Greek("PUT","DELTA",$A15,$B$1,$B$2,$B$3,I$6)</f>
        <v>-0.44663641507110596</v>
      </c>
      <c r="J15" s="14" cm="1">
        <f t="array" ref="J15">BS_Greek("PUT","DELTA",$A15,$B$1,$B$2,$B$3,J$6)</f>
        <v>-0.44342053804454018</v>
      </c>
      <c r="K15" s="14" cm="1">
        <f t="array" ref="K15">BS_Greek("PUT","DELTA",$A15,$B$1,$B$2,$B$3,K$6)</f>
        <v>-0.4403823076297575</v>
      </c>
      <c r="L15" s="14" cm="1">
        <f t="array" ref="L15">BS_Greek("PUT","DELTA",$A15,$B$1,$B$2,$B$3,L$6)</f>
        <v>-0.41600201428631822</v>
      </c>
      <c r="M15" s="14" cm="1">
        <f t="array" ref="M15">BS_Greek("PUT","DELTA",$A15,$B$1,$B$2,$B$3,M$6)</f>
        <v>-0.39750608598211901</v>
      </c>
      <c r="N15" s="14" cm="1">
        <f t="array" ref="N15">BS_Greek("PUT","DELTA",$A15,$B$1,$B$2,$B$3,N$6)</f>
        <v>-0.38208857781104733</v>
      </c>
      <c r="O15" s="23" cm="1">
        <f t="array" ref="O15">BS_Greek("PUT","DELTA",$A15,$B$1,$B$2,$B$3,O$6)</f>
        <v>-0.36865783860820911</v>
      </c>
      <c r="P15" s="5"/>
      <c r="Q15" s="12">
        <v>100</v>
      </c>
      <c r="R15" s="22" cm="1">
        <f t="array" ref="R15">BS_Greek("PUT","DELTA",$Q15,$B$1,$B$2,$R$3,R$6)</f>
        <v>-0.47688423504863664</v>
      </c>
      <c r="S15" s="14" cm="1">
        <f t="array" ref="S15">BS_Greek("PUT","DELTA",$Q15,$B$1,$B$2,$R$3,S$6)</f>
        <v>-0.46732766707817819</v>
      </c>
      <c r="T15" s="14" cm="1">
        <f t="array" ref="T15">BS_Greek("PUT","DELTA",$Q15,$B$1,$B$2,$R$3,T$6)</f>
        <v>-0.46000711241294456</v>
      </c>
      <c r="U15" s="14" cm="1">
        <f t="array" ref="U15">BS_Greek("PUT","DELTA",$Q15,$B$1,$B$2,$R$3,U$6)</f>
        <v>-0.45384601264142221</v>
      </c>
      <c r="V15" s="14" cm="1">
        <f t="array" ref="V15">BS_Greek("PUT","DELTA",$Q15,$B$1,$B$2,$R$3,V$6)</f>
        <v>-0.44842711362451881</v>
      </c>
      <c r="W15" s="14" cm="1">
        <f t="array" ref="W15">BS_Greek("PUT","DELTA",$Q15,$B$1,$B$2,$R$3,W$6)</f>
        <v>-0.44353629460817168</v>
      </c>
      <c r="X15" s="14" cm="1">
        <f t="array" ref="X15">BS_Greek("PUT","DELTA",$Q15,$B$1,$B$2,$R$3,X$6)</f>
        <v>-0.43904628326616701</v>
      </c>
      <c r="Y15" s="14" cm="1">
        <f t="array" ref="Y15">BS_Greek("PUT","DELTA",$Q15,$B$1,$B$2,$R$3,Y$6)</f>
        <v>-0.43487410610469346</v>
      </c>
      <c r="Z15" s="14" cm="1">
        <f t="array" ref="Z15">BS_Greek("PUT","DELTA",$Q15,$B$1,$B$2,$R$3,Z$6)</f>
        <v>-0.43096209583856271</v>
      </c>
      <c r="AA15" s="14" cm="1">
        <f t="array" ref="AA15">BS_Greek("PUT","DELTA",$Q15,$B$1,$B$2,$R$3,AA$6)</f>
        <v>-0.42726824069695946</v>
      </c>
      <c r="AB15" s="14" cm="1">
        <f t="array" ref="AB15">BS_Greek("PUT","DELTA",$Q15,$B$1,$B$2,$R$3,AB$6)</f>
        <v>-0.39771250319529661</v>
      </c>
      <c r="AC15" s="14" cm="1">
        <f t="array" ref="AC15">BS_Greek("PUT","DELTA",$Q15,$B$1,$B$2,$R$3,AC$6)</f>
        <v>-0.37541594204455841</v>
      </c>
      <c r="AD15" s="14" cm="1">
        <f t="array" ref="AD15">BS_Greek("PUT","DELTA",$Q15,$B$1,$B$2,$R$3,AD$6)</f>
        <v>-0.35693383673749857</v>
      </c>
      <c r="AE15" s="23" cm="1">
        <f t="array" ref="AE15">BS_Greek("PUT","DELTA",$Q15,$B$1,$B$2,$R$3,AE$6)</f>
        <v>-0.34092285507232256</v>
      </c>
      <c r="AF15" s="5"/>
      <c r="AG15" s="12">
        <v>100</v>
      </c>
      <c r="AH15" s="22" cm="1">
        <f t="array" ref="AH15">BS_Greek("PUT","DELTA",$AG15,$B$1,$B$2,$AH$3,AH$6)</f>
        <v>-0.48108360000070371</v>
      </c>
      <c r="AI15" s="14" cm="1">
        <f t="array" ref="AI15">BS_Greek("PUT","DELTA",$AG15,$B$1,$B$2,$AH$3,AI$6)</f>
        <v>-0.4732581961130774</v>
      </c>
      <c r="AJ15" s="14" cm="1">
        <f t="array" ref="AJ15">BS_Greek("PUT","DELTA",$AG15,$B$1,$B$2,$AH$3,AJ$6)</f>
        <v>-0.46726038328732289</v>
      </c>
      <c r="AK15" s="14" cm="1">
        <f t="array" ref="AK15">BS_Greek("PUT","DELTA",$AG15,$B$1,$B$2,$AH$3,AK$6)</f>
        <v>-0.46220970609333534</v>
      </c>
      <c r="AL15" s="14" cm="1">
        <f t="array" ref="AL15">BS_Greek("PUT","DELTA",$AG15,$B$1,$B$2,$AH$3,AL$6)</f>
        <v>-0.45776498668838594</v>
      </c>
      <c r="AM15" s="14" cm="1">
        <f t="array" ref="AM15">BS_Greek("PUT","DELTA",$AG15,$B$1,$B$2,$AH$3,AM$6)</f>
        <v>-0.45375117893531969</v>
      </c>
      <c r="AN15" s="14" cm="1">
        <f t="array" ref="AN15">BS_Greek("PUT","DELTA",$AG15,$B$1,$B$2,$AH$3,AN$6)</f>
        <v>-0.45006425675703965</v>
      </c>
      <c r="AO15" s="14" cm="1">
        <f t="array" ref="AO15">BS_Greek("PUT","DELTA",$AG15,$B$1,$B$2,$AH$3,AO$6)</f>
        <v>-0.44663641507110596</v>
      </c>
      <c r="AP15" s="14" cm="1">
        <f t="array" ref="AP15">BS_Greek("PUT","DELTA",$AG15,$B$1,$B$2,$AH$3,AP$6)</f>
        <v>-0.44342053804454018</v>
      </c>
      <c r="AQ15" s="14" cm="1">
        <f t="array" ref="AQ15">BS_Greek("PUT","DELTA",$AG15,$B$1,$B$2,$AH$3,AQ$6)</f>
        <v>-0.4403823076297575</v>
      </c>
      <c r="AR15" s="14" cm="1">
        <f t="array" ref="AR15">BS_Greek("PUT","DELTA",$AG15,$B$1,$B$2,$AH$3,AR$6)</f>
        <v>-0.41600201428631822</v>
      </c>
      <c r="AS15" s="14" cm="1">
        <f t="array" ref="AS15">BS_Greek("PUT","DELTA",$AG15,$B$1,$B$2,$AH$3,AS$6)</f>
        <v>-0.39750608598211912</v>
      </c>
      <c r="AT15" s="14" cm="1">
        <f t="array" ref="AT15">BS_Greek("PUT","DELTA",$AG15,$B$1,$B$2,$AH$3,AT$6)</f>
        <v>-0.38208857781104733</v>
      </c>
      <c r="AU15" s="23" cm="1">
        <f t="array" ref="AU15">BS_Greek("PUT","DELTA",$AG15,$B$1,$B$2,$AH$3,AU$6)</f>
        <v>-0.36865783860820911</v>
      </c>
    </row>
    <row r="16" spans="1:47" x14ac:dyDescent="0.2">
      <c r="A16" s="12">
        <v>105</v>
      </c>
      <c r="B16" s="22" cm="1">
        <f t="array" ref="B16">BS_Greek("PUT","DELTA",$A16,$B$1,$B$2,$B$3,B$6)</f>
        <v>-0.20642903973843518</v>
      </c>
      <c r="C16" s="14" cm="1">
        <f t="array" ref="C16">BS_Greek("PUT","DELTA",$A16,$B$1,$B$2,$B$3,C$6)</f>
        <v>-0.27007947091758511</v>
      </c>
      <c r="D16" s="14" cm="1">
        <f t="array" ref="D16">BS_Greek("PUT","DELTA",$A16,$B$1,$B$2,$B$3,D$6)</f>
        <v>-0.29890598798456547</v>
      </c>
      <c r="E16" s="14" cm="1">
        <f t="array" ref="E16">BS_Greek("PUT","DELTA",$A16,$B$1,$B$2,$B$3,E$6)</f>
        <v>-0.31540451463442365</v>
      </c>
      <c r="F16" s="14" cm="1">
        <f t="array" ref="F16">BS_Greek("PUT","DELTA",$A16,$B$1,$B$2,$B$3,F$6)</f>
        <v>-0.32597150372142969</v>
      </c>
      <c r="G16" s="14" cm="1">
        <f t="array" ref="G16">BS_Greek("PUT","DELTA",$A16,$B$1,$B$2,$B$3,G$6)</f>
        <v>-0.33318741279258823</v>
      </c>
      <c r="H16" s="14" cm="1">
        <f t="array" ref="H16">BS_Greek("PUT","DELTA",$A16,$B$1,$B$2,$B$3,H$6)</f>
        <v>-0.33831140787767133</v>
      </c>
      <c r="I16" s="14" cm="1">
        <f t="array" ref="I16">BS_Greek("PUT","DELTA",$A16,$B$1,$B$2,$B$3,I$6)</f>
        <v>-0.34203727030691766</v>
      </c>
      <c r="J16" s="14" cm="1">
        <f t="array" ref="J16">BS_Greek("PUT","DELTA",$A16,$B$1,$B$2,$B$3,J$6)</f>
        <v>-0.34478110979113252</v>
      </c>
      <c r="K16" s="14" cm="1">
        <f t="array" ref="K16">BS_Greek("PUT","DELTA",$A16,$B$1,$B$2,$B$3,K$6)</f>
        <v>-0.34680867419920269</v>
      </c>
      <c r="L16" s="14" cm="1">
        <f t="array" ref="L16">BS_Greek("PUT","DELTA",$A16,$B$1,$B$2,$B$3,L$6)</f>
        <v>-0.35025529522042032</v>
      </c>
      <c r="M16" s="14" cm="1">
        <f t="array" ref="M16">BS_Greek("PUT","DELTA",$A16,$B$1,$B$2,$B$3,M$6)</f>
        <v>-0.3443379223573686</v>
      </c>
      <c r="N16" s="14" cm="1">
        <f t="array" ref="N16">BS_Greek("PUT","DELTA",$A16,$B$1,$B$2,$B$3,N$6)</f>
        <v>-0.33652148286606043</v>
      </c>
      <c r="O16" s="23" cm="1">
        <f t="array" ref="O16">BS_Greek("PUT","DELTA",$A16,$B$1,$B$2,$B$3,O$6)</f>
        <v>-0.32833755733835912</v>
      </c>
      <c r="P16" s="5"/>
      <c r="Q16" s="12">
        <v>105</v>
      </c>
      <c r="R16" s="22" cm="1">
        <f t="array" ref="R16">BS_Greek("PUT","DELTA",$Q16,$B$1,$B$2,$R$3,R$6)</f>
        <v>-0.28357001703173512</v>
      </c>
      <c r="S16" s="14" cm="1">
        <f t="array" ref="S16">BS_Greek("PUT","DELTA",$Q16,$B$1,$B$2,$R$3,S$6)</f>
        <v>-0.32792519835401701</v>
      </c>
      <c r="T16" s="14" cm="1">
        <f t="array" ref="T16">BS_Greek("PUT","DELTA",$Q16,$B$1,$B$2,$R$3,T$6)</f>
        <v>-0.34555716588791241</v>
      </c>
      <c r="U16" s="14" cm="1">
        <f t="array" ref="U16">BS_Greek("PUT","DELTA",$Q16,$B$1,$B$2,$R$3,U$6)</f>
        <v>-0.35453815378573783</v>
      </c>
      <c r="V16" s="14" cm="1">
        <f t="array" ref="V16">BS_Greek("PUT","DELTA",$Q16,$B$1,$B$2,$R$3,V$6)</f>
        <v>-0.35955994735600627</v>
      </c>
      <c r="W16" s="14" cm="1">
        <f t="array" ref="W16">BS_Greek("PUT","DELTA",$Q16,$B$1,$B$2,$R$3,W$6)</f>
        <v>-0.3624308207054423</v>
      </c>
      <c r="X16" s="14" cm="1">
        <f t="array" ref="X16">BS_Greek("PUT","DELTA",$Q16,$B$1,$B$2,$R$3,X$6)</f>
        <v>-0.36400558258912941</v>
      </c>
      <c r="Y16" s="14" cm="1">
        <f t="array" ref="Y16">BS_Greek("PUT","DELTA",$Q16,$B$1,$B$2,$R$3,Y$6)</f>
        <v>-0.36474330915224362</v>
      </c>
      <c r="Z16" s="14" cm="1">
        <f t="array" ref="Z16">BS_Greek("PUT","DELTA",$Q16,$B$1,$B$2,$R$3,Z$6)</f>
        <v>-0.36491321269559851</v>
      </c>
      <c r="AA16" s="14" cm="1">
        <f t="array" ref="AA16">BS_Greek("PUT","DELTA",$Q16,$B$1,$B$2,$R$3,AA$6)</f>
        <v>-0.36468367724410999</v>
      </c>
      <c r="AB16" s="14" cm="1">
        <f t="array" ref="AB16">BS_Greek("PUT","DELTA",$Q16,$B$1,$B$2,$R$3,AB$6)</f>
        <v>-0.35410097844860078</v>
      </c>
      <c r="AC16" s="14" cm="1">
        <f t="array" ref="AC16">BS_Greek("PUT","DELTA",$Q16,$B$1,$B$2,$R$3,AC$6)</f>
        <v>-0.34037519782795722</v>
      </c>
      <c r="AD16" s="14" cm="1">
        <f t="array" ref="AD16">BS_Greek("PUT","DELTA",$Q16,$B$1,$B$2,$R$3,AD$6)</f>
        <v>-0.32708251377171815</v>
      </c>
      <c r="AE16" s="23" cm="1">
        <f t="array" ref="AE16">BS_Greek("PUT","DELTA",$Q16,$B$1,$B$2,$R$3,AE$6)</f>
        <v>-0.31466223641772739</v>
      </c>
      <c r="AF16" s="5"/>
      <c r="AG16" s="12">
        <v>105</v>
      </c>
      <c r="AH16" s="22" cm="1">
        <f t="array" ref="AH16">BS_Greek("PUT","DELTA",$AG16,$B$1,$B$2,$AH$3,AH$6)</f>
        <v>-5.5881951625111226E-2</v>
      </c>
      <c r="AI16" s="14" cm="1">
        <f t="array" ref="AI16">BS_Greek("PUT","DELTA",$AG16,$B$1,$B$2,$AH$3,AI$6)</f>
        <v>-0.12341910750431651</v>
      </c>
      <c r="AJ16" s="14" cm="1">
        <f t="array" ref="AJ16">BS_Greek("PUT","DELTA",$AG16,$B$1,$B$2,$AH$3,AJ$6)</f>
        <v>-0.16529135445498921</v>
      </c>
      <c r="AK16" s="14" cm="1">
        <f t="array" ref="AK16">BS_Greek("PUT","DELTA",$AG16,$B$1,$B$2,$AH$3,AK$6)</f>
        <v>-0.19316048645017747</v>
      </c>
      <c r="AL16" s="14" cm="1">
        <f t="array" ref="AL16">BS_Greek("PUT","DELTA",$AG16,$B$1,$B$2,$AH$3,AL$6)</f>
        <v>-0.21299766973229939</v>
      </c>
      <c r="AM16" s="14" cm="1">
        <f t="array" ref="AM16">BS_Greek("PUT","DELTA",$AG16,$B$1,$B$2,$AH$3,AM$6)</f>
        <v>-0.22781322631362888</v>
      </c>
      <c r="AN16" s="14" cm="1">
        <f t="array" ref="AN16">BS_Greek("PUT","DELTA",$AG16,$B$1,$B$2,$AH$3,AN$6)</f>
        <v>-0.23926991749476589</v>
      </c>
      <c r="AO16" s="14" cm="1">
        <f t="array" ref="AO16">BS_Greek("PUT","DELTA",$AG16,$B$1,$B$2,$AH$3,AO$6)</f>
        <v>-0.24836156369458307</v>
      </c>
      <c r="AP16" s="14" cm="1">
        <f t="array" ref="AP16">BS_Greek("PUT","DELTA",$AG16,$B$1,$B$2,$AH$3,AP$6)</f>
        <v>-0.25572036656605568</v>
      </c>
      <c r="AQ16" s="14" cm="1">
        <f t="array" ref="AQ16">BS_Greek("PUT","DELTA",$AG16,$B$1,$B$2,$AH$3,AQ$6)</f>
        <v>-0.26176885450951881</v>
      </c>
      <c r="AR16" s="14" cm="1">
        <f t="array" ref="AR16">BS_Greek("PUT","DELTA",$AG16,$B$1,$B$2,$AH$3,AR$6)</f>
        <v>-0.28871910308263193</v>
      </c>
      <c r="AS16" s="14" cm="1">
        <f t="array" ref="AS16">BS_Greek("PUT","DELTA",$AG16,$B$1,$B$2,$AH$3,AS$6)</f>
        <v>-0.29408226876632038</v>
      </c>
      <c r="AT16" s="14" cm="1">
        <f t="array" ref="AT16">BS_Greek("PUT","DELTA",$AG16,$B$1,$B$2,$AH$3,AT$6)</f>
        <v>-0.29323765778258948</v>
      </c>
      <c r="AU16" s="23" cm="1">
        <f t="array" ref="AU16">BS_Greek("PUT","DELTA",$AG16,$B$1,$B$2,$AH$3,AU$6)</f>
        <v>-0.28992410745836317</v>
      </c>
    </row>
    <row r="17" spans="1:47" x14ac:dyDescent="0.2">
      <c r="A17" s="12">
        <v>110</v>
      </c>
      <c r="B17" s="22" cm="1">
        <f t="array" ref="B17">BS_Greek("PUT","DELTA",$A17,$B$1,$B$2,$B$3,B$6)</f>
        <v>-6.0042081945350878E-2</v>
      </c>
      <c r="C17" s="14" cm="1">
        <f t="array" ref="C17">BS_Greek("PUT","DELTA",$A17,$B$1,$B$2,$B$3,C$6)</f>
        <v>-0.12867385834263267</v>
      </c>
      <c r="D17" s="14" cm="1">
        <f t="array" ref="D17">BS_Greek("PUT","DELTA",$A17,$B$1,$B$2,$B$3,D$6)</f>
        <v>-0.17049339258313845</v>
      </c>
      <c r="E17" s="14" cm="1">
        <f t="array" ref="E17">BS_Greek("PUT","DELTA",$A17,$B$1,$B$2,$B$3,E$6)</f>
        <v>-0.19811834940327067</v>
      </c>
      <c r="F17" s="14" cm="1">
        <f t="array" ref="F17">BS_Greek("PUT","DELTA",$A17,$B$1,$B$2,$B$3,F$6)</f>
        <v>-0.21769227036615268</v>
      </c>
      <c r="G17" s="14" cm="1">
        <f t="array" ref="G17">BS_Greek("PUT","DELTA",$A17,$B$1,$B$2,$B$3,G$6)</f>
        <v>-0.23226313823370348</v>
      </c>
      <c r="H17" s="14" cm="1">
        <f t="array" ref="H17">BS_Greek("PUT","DELTA",$A17,$B$1,$B$2,$B$3,H$6)</f>
        <v>-0.2435006186136095</v>
      </c>
      <c r="I17" s="14" cm="1">
        <f t="array" ref="I17">BS_Greek("PUT","DELTA",$A17,$B$1,$B$2,$B$3,I$6)</f>
        <v>-0.25239750657251647</v>
      </c>
      <c r="J17" s="14" cm="1">
        <f t="array" ref="J17">BS_Greek("PUT","DELTA",$A17,$B$1,$B$2,$B$3,J$6)</f>
        <v>-0.25958308974686217</v>
      </c>
      <c r="K17" s="14" cm="1">
        <f t="array" ref="K17">BS_Greek("PUT","DELTA",$A17,$B$1,$B$2,$B$3,K$6)</f>
        <v>-0.26547683131082922</v>
      </c>
      <c r="L17" s="14" cm="1">
        <f t="array" ref="L17">BS_Greek("PUT","DELTA",$A17,$B$1,$B$2,$B$3,L$6)</f>
        <v>-0.2914669006454369</v>
      </c>
      <c r="M17" s="14" cm="1">
        <f t="array" ref="M17">BS_Greek("PUT","DELTA",$A17,$B$1,$B$2,$B$3,M$6)</f>
        <v>-0.29634414861059299</v>
      </c>
      <c r="N17" s="14" cm="1">
        <f t="array" ref="N17">BS_Greek("PUT","DELTA",$A17,$B$1,$B$2,$B$3,N$6)</f>
        <v>-0.29519344894865263</v>
      </c>
      <c r="O17" s="23" cm="1">
        <f t="array" ref="O17">BS_Greek("PUT","DELTA",$A17,$B$1,$B$2,$B$3,O$6)</f>
        <v>-0.29166393636753718</v>
      </c>
      <c r="P17" s="5"/>
      <c r="Q17" s="12">
        <v>110</v>
      </c>
      <c r="R17" s="22" cm="1">
        <f t="array" ref="R17">BS_Greek("PUT","DELTA",$Q17,$B$1,$B$2,$R$3,R$6)</f>
        <v>-0.14397429893497082</v>
      </c>
      <c r="S17" s="14" cm="1">
        <f t="array" ref="S17">BS_Greek("PUT","DELTA",$Q17,$B$1,$B$2,$R$3,S$6)</f>
        <v>-0.21406685945973947</v>
      </c>
      <c r="T17" s="14" cm="1">
        <f t="array" ref="T17">BS_Greek("PUT","DELTA",$Q17,$B$1,$B$2,$R$3,T$6)</f>
        <v>-0.24810817610949054</v>
      </c>
      <c r="U17" s="14" cm="1">
        <f t="array" ref="U17">BS_Greek("PUT","DELTA",$Q17,$B$1,$B$2,$R$3,U$6)</f>
        <v>-0.2681957426118291</v>
      </c>
      <c r="V17" s="14" cm="1">
        <f t="array" ref="V17">BS_Greek("PUT","DELTA",$Q17,$B$1,$B$2,$R$3,V$6)</f>
        <v>-0.28131727903685144</v>
      </c>
      <c r="W17" s="14" cm="1">
        <f t="array" ref="W17">BS_Greek("PUT","DELTA",$Q17,$B$1,$B$2,$R$3,W$6)</f>
        <v>-0.29041967693435344</v>
      </c>
      <c r="X17" s="14" cm="1">
        <f t="array" ref="X17">BS_Greek("PUT","DELTA",$Q17,$B$1,$B$2,$R$3,X$6)</f>
        <v>-0.29697784742910749</v>
      </c>
      <c r="Y17" s="14" cm="1">
        <f t="array" ref="Y17">BS_Greek("PUT","DELTA",$Q17,$B$1,$B$2,$R$3,Y$6)</f>
        <v>-0.30181817478322093</v>
      </c>
      <c r="Z17" s="14" cm="1">
        <f t="array" ref="Z17">BS_Greek("PUT","DELTA",$Q17,$B$1,$B$2,$R$3,Z$6)</f>
        <v>-0.30544231654306619</v>
      </c>
      <c r="AA17" s="14" cm="1">
        <f t="array" ref="AA17">BS_Greek("PUT","DELTA",$Q17,$B$1,$B$2,$R$3,AA$6)</f>
        <v>-0.30817362101832413</v>
      </c>
      <c r="AB17" s="14" cm="1">
        <f t="array" ref="AB17">BS_Greek("PUT","DELTA",$Q17,$B$1,$B$2,$R$3,AB$6)</f>
        <v>-0.31422106223939261</v>
      </c>
      <c r="AC17" s="14" cm="1">
        <f t="array" ref="AC17">BS_Greek("PUT","DELTA",$Q17,$B$1,$B$2,$R$3,AC$6)</f>
        <v>-0.30819711245370862</v>
      </c>
      <c r="AD17" s="14" cm="1">
        <f t="array" ref="AD17">BS_Greek("PUT","DELTA",$Q17,$B$1,$B$2,$R$3,AD$6)</f>
        <v>-0.29961193101075256</v>
      </c>
      <c r="AE17" s="23" cm="1">
        <f t="array" ref="AE17">BS_Greek("PUT","DELTA",$Q17,$B$1,$B$2,$R$3,AE$6)</f>
        <v>-0.29046533054367063</v>
      </c>
      <c r="AF17" s="5"/>
      <c r="AG17" s="12">
        <v>110</v>
      </c>
      <c r="AH17" s="22" cm="1">
        <f t="array" ref="AH17">BS_Greek("PUT","DELTA",$AG17,$B$1,$B$2,$AH$3,AH$6)</f>
        <v>-1.1014982272458118E-3</v>
      </c>
      <c r="AI17" s="14" cm="1">
        <f t="array" ref="AI17">BS_Greek("PUT","DELTA",$AG17,$B$1,$B$2,$AH$3,AI$6)</f>
        <v>-1.3964492157249486E-2</v>
      </c>
      <c r="AJ17" s="14" cm="1">
        <f t="array" ref="AJ17">BS_Greek("PUT","DELTA",$AG17,$B$1,$B$2,$AH$3,AJ$6)</f>
        <v>-3.420654138486845E-2</v>
      </c>
      <c r="AK17" s="14" cm="1">
        <f t="array" ref="AK17">BS_Greek("PUT","DELTA",$AG17,$B$1,$B$2,$AH$3,AK$6)</f>
        <v>-5.4593883865311277E-2</v>
      </c>
      <c r="AL17" s="14" cm="1">
        <f t="array" ref="AL17">BS_Greek("PUT","DELTA",$AG17,$B$1,$B$2,$AH$3,AL$6)</f>
        <v>-7.2979321151961596E-2</v>
      </c>
      <c r="AM17" s="14" cm="1">
        <f t="array" ref="AM17">BS_Greek("PUT","DELTA",$AG17,$B$1,$B$2,$AH$3,AM$6)</f>
        <v>-8.9048323051647005E-2</v>
      </c>
      <c r="AN17" s="14" cm="1">
        <f t="array" ref="AN17">BS_Greek("PUT","DELTA",$AG17,$B$1,$B$2,$AH$3,AN$6)</f>
        <v>-0.1029941893437627</v>
      </c>
      <c r="AO17" s="14" cm="1">
        <f t="array" ref="AO17">BS_Greek("PUT","DELTA",$AG17,$B$1,$B$2,$AH$3,AO$6)</f>
        <v>-0.11511544953316066</v>
      </c>
      <c r="AP17" s="14" cm="1">
        <f t="array" ref="AP17">BS_Greek("PUT","DELTA",$AG17,$B$1,$B$2,$AH$3,AP$6)</f>
        <v>-0.12569907598544605</v>
      </c>
      <c r="AQ17" s="14" cm="1">
        <f t="array" ref="AQ17">BS_Greek("PUT","DELTA",$AG17,$B$1,$B$2,$AH$3,AQ$6)</f>
        <v>-0.13499148005453798</v>
      </c>
      <c r="AR17" s="14" cm="1">
        <f t="array" ref="AR17">BS_Greek("PUT","DELTA",$AG17,$B$1,$B$2,$AH$3,AR$6)</f>
        <v>-0.18778807755388893</v>
      </c>
      <c r="AS17" s="14" cm="1">
        <f t="array" ref="AS17">BS_Greek("PUT","DELTA",$AG17,$B$1,$B$2,$AH$3,AS$6)</f>
        <v>-0.20894675405446184</v>
      </c>
      <c r="AT17" s="14" cm="1">
        <f t="array" ref="AT17">BS_Greek("PUT","DELTA",$AG17,$B$1,$B$2,$AH$3,AT$6)</f>
        <v>-0.21871189000521374</v>
      </c>
      <c r="AU17" s="23" cm="1">
        <f t="array" ref="AU17">BS_Greek("PUT","DELTA",$AG17,$B$1,$B$2,$AH$3,AU$6)</f>
        <v>-0.22313437909788203</v>
      </c>
    </row>
    <row r="18" spans="1:47" x14ac:dyDescent="0.2">
      <c r="A18" s="12">
        <v>115</v>
      </c>
      <c r="B18" s="22" cm="1">
        <f t="array" ref="B18">BS_Greek("PUT","DELTA",$A18,$B$1,$B$2,$B$3,B$6)</f>
        <v>-1.1995775931455177E-2</v>
      </c>
      <c r="C18" s="14" cm="1">
        <f t="array" ref="C18">BS_Greek("PUT","DELTA",$A18,$B$1,$B$2,$B$3,C$6)</f>
        <v>-5.1585835851565065E-2</v>
      </c>
      <c r="D18" s="14" cm="1">
        <f t="array" ref="D18">BS_Greek("PUT","DELTA",$A18,$B$1,$B$2,$B$3,D$6)</f>
        <v>-8.7231124066456167E-2</v>
      </c>
      <c r="E18" s="14" cm="1">
        <f t="array" ref="E18">BS_Greek("PUT","DELTA",$A18,$B$1,$B$2,$B$3,E$6)</f>
        <v>-0.11511171694608568</v>
      </c>
      <c r="F18" s="14" cm="1">
        <f t="array" ref="F18">BS_Greek("PUT","DELTA",$A18,$B$1,$B$2,$B$3,F$6)</f>
        <v>-0.1369046562965619</v>
      </c>
      <c r="G18" s="14" cm="1">
        <f t="array" ref="G18">BS_Greek("PUT","DELTA",$A18,$B$1,$B$2,$B$3,G$6)</f>
        <v>-0.15425607458895985</v>
      </c>
      <c r="H18" s="14" cm="1">
        <f t="array" ref="H18">BS_Greek("PUT","DELTA",$A18,$B$1,$B$2,$B$3,H$6)</f>
        <v>-0.16834237110652894</v>
      </c>
      <c r="I18" s="14" cm="1">
        <f t="array" ref="I18">BS_Greek("PUT","DELTA",$A18,$B$1,$B$2,$B$3,I$6)</f>
        <v>-0.17997586012231237</v>
      </c>
      <c r="J18" s="14" cm="1">
        <f t="array" ref="J18">BS_Greek("PUT","DELTA",$A18,$B$1,$B$2,$B$3,J$6)</f>
        <v>-0.18972433093783714</v>
      </c>
      <c r="K18" s="14" cm="1">
        <f t="array" ref="K18">BS_Greek("PUT","DELTA",$A18,$B$1,$B$2,$B$3,K$6)</f>
        <v>-0.19799359259378047</v>
      </c>
      <c r="L18" s="14" cm="1">
        <f t="array" ref="L18">BS_Greek("PUT","DELTA",$A18,$B$1,$B$2,$B$3,L$6)</f>
        <v>-0.24001164001031328</v>
      </c>
      <c r="M18" s="14" cm="1">
        <f t="array" ref="M18">BS_Greek("PUT","DELTA",$A18,$B$1,$B$2,$B$3,M$6)</f>
        <v>-0.25358023320856948</v>
      </c>
      <c r="N18" s="14" cm="1">
        <f t="array" ref="N18">BS_Greek("PUT","DELTA",$A18,$B$1,$B$2,$B$3,N$6)</f>
        <v>-0.25803836305997996</v>
      </c>
      <c r="O18" s="23" cm="1">
        <f t="array" ref="O18">BS_Greek("PUT","DELTA",$A18,$B$1,$B$2,$B$3,O$6)</f>
        <v>-0.25851595379743597</v>
      </c>
      <c r="P18" s="5"/>
      <c r="Q18" s="12">
        <v>115</v>
      </c>
      <c r="R18" s="22" cm="1">
        <f t="array" ref="R18">BS_Greek("PUT","DELTA",$Q18,$B$1,$B$2,$R$3,R$6)</f>
        <v>-6.2860563865533403E-2</v>
      </c>
      <c r="S18" s="14" cm="1">
        <f t="array" ref="S18">BS_Greek("PUT","DELTA",$Q18,$B$1,$B$2,$R$3,S$6)</f>
        <v>-0.13056736333207186</v>
      </c>
      <c r="T18" s="14" cm="1">
        <f t="array" ref="T18">BS_Greek("PUT","DELTA",$Q18,$B$1,$B$2,$R$3,T$6)</f>
        <v>-0.17080729051251253</v>
      </c>
      <c r="U18" s="14" cm="1">
        <f t="array" ref="U18">BS_Greek("PUT","DELTA",$Q18,$B$1,$B$2,$R$3,U$6)</f>
        <v>-0.19695159463482959</v>
      </c>
      <c r="V18" s="14" cm="1">
        <f t="array" ref="V18">BS_Greek("PUT","DELTA",$Q18,$B$1,$B$2,$R$3,V$6)</f>
        <v>-0.21520789168988552</v>
      </c>
      <c r="W18" s="14" cm="1">
        <f t="array" ref="W18">BS_Greek("PUT","DELTA",$Q18,$B$1,$B$2,$R$3,W$6)</f>
        <v>-0.22860493515588864</v>
      </c>
      <c r="X18" s="14" cm="1">
        <f t="array" ref="X18">BS_Greek("PUT","DELTA",$Q18,$B$1,$B$2,$R$3,X$6)</f>
        <v>-0.23878616098400873</v>
      </c>
      <c r="Y18" s="14" cm="1">
        <f t="array" ref="Y18">BS_Greek("PUT","DELTA",$Q18,$B$1,$B$2,$R$3,Y$6)</f>
        <v>-0.24672234308969565</v>
      </c>
      <c r="Z18" s="14" cm="1">
        <f t="array" ref="Z18">BS_Greek("PUT","DELTA",$Q18,$B$1,$B$2,$R$3,Z$6)</f>
        <v>-0.25302566857316067</v>
      </c>
      <c r="AA18" s="14" cm="1">
        <f t="array" ref="AA18">BS_Greek("PUT","DELTA",$Q18,$B$1,$B$2,$R$3,AA$6)</f>
        <v>-0.25810246366170242</v>
      </c>
      <c r="AB18" s="14" cm="1">
        <f t="array" ref="AB18">BS_Greek("PUT","DELTA",$Q18,$B$1,$B$2,$R$3,AB$6)</f>
        <v>-0.27803309935298359</v>
      </c>
      <c r="AC18" s="14" cm="1">
        <f t="array" ref="AC18">BS_Greek("PUT","DELTA",$Q18,$B$1,$B$2,$R$3,AC$6)</f>
        <v>-0.27876486598286454</v>
      </c>
      <c r="AD18" s="14" cm="1">
        <f t="array" ref="AD18">BS_Greek("PUT","DELTA",$Q18,$B$1,$B$2,$R$3,AD$6)</f>
        <v>-0.27438534458062125</v>
      </c>
      <c r="AE18" s="23" cm="1">
        <f t="array" ref="AE18">BS_Greek("PUT","DELTA",$Q18,$B$1,$B$2,$R$3,AE$6)</f>
        <v>-0.2681918990694907</v>
      </c>
      <c r="AF18" s="5"/>
      <c r="AG18" s="12">
        <v>115</v>
      </c>
      <c r="AH18" s="22" cm="1">
        <f t="array" ref="AH18">BS_Greek("PUT","DELTA",$AG18,$B$1,$B$2,$AH$3,AH$6)</f>
        <v>-3.964449127424885E-6</v>
      </c>
      <c r="AI18" s="14" cm="1">
        <f t="array" ref="AI18">BS_Greek("PUT","DELTA",$AG18,$B$1,$B$2,$AH$3,AI$6)</f>
        <v>-7.0583548483338365E-4</v>
      </c>
      <c r="AJ18" s="14" cm="1">
        <f t="array" ref="AJ18">BS_Greek("PUT","DELTA",$AG18,$B$1,$B$2,$AH$3,AJ$6)</f>
        <v>-4.22113045457706E-3</v>
      </c>
      <c r="AK18" s="14" cm="1">
        <f t="array" ref="AK18">BS_Greek("PUT","DELTA",$AG18,$B$1,$B$2,$AH$3,AK$6)</f>
        <v>-1.0591727709338028E-2</v>
      </c>
      <c r="AL18" s="14" cm="1">
        <f t="array" ref="AL18">BS_Greek("PUT","DELTA",$AG18,$B$1,$B$2,$AH$3,AL$6)</f>
        <v>-1.8643924359551423E-2</v>
      </c>
      <c r="AM18" s="14" cm="1">
        <f t="array" ref="AM18">BS_Greek("PUT","DELTA",$AG18,$B$1,$B$2,$AH$3,AM$6)</f>
        <v>-2.7396855446360169E-2</v>
      </c>
      <c r="AN18" s="14" cm="1">
        <f t="array" ref="AN18">BS_Greek("PUT","DELTA",$AG18,$B$1,$B$2,$AH$3,AN$6)</f>
        <v>-3.6249348015701011E-2</v>
      </c>
      <c r="AO18" s="14" cm="1">
        <f t="array" ref="AO18">BS_Greek("PUT","DELTA",$AG18,$B$1,$B$2,$AH$3,AO$6)</f>
        <v>-4.4871958417935009E-2</v>
      </c>
      <c r="AP18" s="14" cm="1">
        <f t="array" ref="AP18">BS_Greek("PUT","DELTA",$AG18,$B$1,$B$2,$AH$3,AP$6)</f>
        <v>-5.3098771928445476E-2</v>
      </c>
      <c r="AQ18" s="14" cm="1">
        <f t="array" ref="AQ18">BS_Greek("PUT","DELTA",$AG18,$B$1,$B$2,$AH$3,AQ$6)</f>
        <v>-6.08569760408737E-2</v>
      </c>
      <c r="AR18" s="14" cm="1">
        <f t="array" ref="AR18">BS_Greek("PUT","DELTA",$AG18,$B$1,$B$2,$AH$3,AR$6)</f>
        <v>-0.11499236256428202</v>
      </c>
      <c r="AS18" s="14" cm="1">
        <f t="array" ref="AS18">BS_Greek("PUT","DELTA",$AG18,$B$1,$B$2,$AH$3,AS$6)</f>
        <v>-0.14304833986221999</v>
      </c>
      <c r="AT18" s="14" cm="1">
        <f t="array" ref="AT18">BS_Greek("PUT","DELTA",$AG18,$B$1,$B$2,$AH$3,AT$6)</f>
        <v>-0.15894344022156293</v>
      </c>
      <c r="AU18" s="23" cm="1">
        <f t="array" ref="AU18">BS_Greek("PUT","DELTA",$AG18,$B$1,$B$2,$AH$3,AU$6)</f>
        <v>-0.16841574919746671</v>
      </c>
    </row>
    <row r="19" spans="1:47" x14ac:dyDescent="0.2">
      <c r="A19" s="12">
        <v>120</v>
      </c>
      <c r="B19" s="22" cm="1">
        <f t="array" ref="B19">BS_Greek("PUT","DELTA",$A19,$B$1,$B$2,$B$3,B$6)</f>
        <v>-1.6937680607602701E-3</v>
      </c>
      <c r="C19" s="14" cm="1">
        <f t="array" ref="C19">BS_Greek("PUT","DELTA",$A19,$B$1,$B$2,$B$3,C$6)</f>
        <v>-1.7623946568294802E-2</v>
      </c>
      <c r="D19" s="14" cm="1">
        <f t="array" ref="D19">BS_Greek("PUT","DELTA",$A19,$B$1,$B$2,$B$3,D$6)</f>
        <v>-4.0360415238651415E-2</v>
      </c>
      <c r="E19" s="14" cm="1">
        <f t="array" ref="E19">BS_Greek("PUT","DELTA",$A19,$B$1,$B$2,$B$3,E$6)</f>
        <v>-6.2238931546006571E-2</v>
      </c>
      <c r="F19" s="14" cm="1">
        <f t="array" ref="F19">BS_Greek("PUT","DELTA",$A19,$B$1,$B$2,$B$3,F$6)</f>
        <v>-8.1466598279311575E-2</v>
      </c>
      <c r="G19" s="14" cm="1">
        <f t="array" ref="G19">BS_Greek("PUT","DELTA",$A19,$B$1,$B$2,$B$3,G$6)</f>
        <v>-9.7993409558041256E-2</v>
      </c>
      <c r="H19" s="14" cm="1">
        <f t="array" ref="H19">BS_Greek("PUT","DELTA",$A19,$B$1,$B$2,$B$3,H$6)</f>
        <v>-0.11216803677626297</v>
      </c>
      <c r="I19" s="14" cm="1">
        <f t="array" ref="I19">BS_Greek("PUT","DELTA",$A19,$B$1,$B$2,$B$3,I$6)</f>
        <v>-0.12437874850463737</v>
      </c>
      <c r="J19" s="14" cm="1">
        <f t="array" ref="J19">BS_Greek("PUT","DELTA",$A19,$B$1,$B$2,$B$3,J$6)</f>
        <v>-0.13496549959519877</v>
      </c>
      <c r="K19" s="14" cm="1">
        <f t="array" ref="K19">BS_Greek("PUT","DELTA",$A19,$B$1,$B$2,$B$3,K$6)</f>
        <v>-0.14420688925670178</v>
      </c>
      <c r="L19" s="14" cm="1">
        <f t="array" ref="L19">BS_Greek("PUT","DELTA",$A19,$B$1,$B$2,$B$3,L$6)</f>
        <v>-0.19579537926180235</v>
      </c>
      <c r="M19" s="14" cm="1">
        <f t="array" ref="M19">BS_Greek("PUT","DELTA",$A19,$B$1,$B$2,$B$3,M$6)</f>
        <v>-0.21589724078774752</v>
      </c>
      <c r="N19" s="14" cm="1">
        <f t="array" ref="N19">BS_Greek("PUT","DELTA",$A19,$B$1,$B$2,$B$3,N$6)</f>
        <v>-0.22488339146361092</v>
      </c>
      <c r="O19" s="23" cm="1">
        <f t="array" ref="O19">BS_Greek("PUT","DELTA",$A19,$B$1,$B$2,$B$3,O$6)</f>
        <v>-0.22871250967264012</v>
      </c>
      <c r="P19" s="5"/>
      <c r="Q19" s="12">
        <v>120</v>
      </c>
      <c r="R19" s="22" cm="1">
        <f t="array" ref="R19">BS_Greek("PUT","DELTA",$Q19,$B$1,$B$2,$R$3,R$6)</f>
        <v>-2.3862270071094094E-2</v>
      </c>
      <c r="S19" s="14" cm="1">
        <f t="array" ref="S19">BS_Greek("PUT","DELTA",$Q19,$B$1,$B$2,$R$3,S$6)</f>
        <v>-7.4801691829901373E-2</v>
      </c>
      <c r="T19" s="14" cm="1">
        <f t="array" ref="T19">BS_Greek("PUT","DELTA",$Q19,$B$1,$B$2,$R$3,T$6)</f>
        <v>-0.11314146829123639</v>
      </c>
      <c r="U19" s="14" cm="1">
        <f t="array" ref="U19">BS_Greek("PUT","DELTA",$Q19,$B$1,$B$2,$R$3,U$6)</f>
        <v>-0.14076936184194067</v>
      </c>
      <c r="V19" s="14" cm="1">
        <f t="array" ref="V19">BS_Greek("PUT","DELTA",$Q19,$B$1,$B$2,$R$3,V$6)</f>
        <v>-0.16130507751855228</v>
      </c>
      <c r="W19" s="14" cm="1">
        <f t="array" ref="W19">BS_Greek("PUT","DELTA",$Q19,$B$1,$B$2,$R$3,W$6)</f>
        <v>-0.17706804981193724</v>
      </c>
      <c r="X19" s="14" cm="1">
        <f t="array" ref="X19">BS_Greek("PUT","DELTA",$Q19,$B$1,$B$2,$R$3,X$6)</f>
        <v>-0.18949083797813837</v>
      </c>
      <c r="Y19" s="14" cm="1">
        <f t="array" ref="Y19">BS_Greek("PUT","DELTA",$Q19,$B$1,$B$2,$R$3,Y$6)</f>
        <v>-0.19948822940550293</v>
      </c>
      <c r="Z19" s="14" cm="1">
        <f t="array" ref="Z19">BS_Greek("PUT","DELTA",$Q19,$B$1,$B$2,$R$3,Z$6)</f>
        <v>-0.20766842830901577</v>
      </c>
      <c r="AA19" s="14" cm="1">
        <f t="array" ref="AA19">BS_Greek("PUT","DELTA",$Q19,$B$1,$B$2,$R$3,AA$6)</f>
        <v>-0.21445103070189353</v>
      </c>
      <c r="AB19" s="14" cm="1">
        <f t="array" ref="AB19">BS_Greek("PUT","DELTA",$Q19,$B$1,$B$2,$R$3,AB$6)</f>
        <v>-0.245408953933274</v>
      </c>
      <c r="AC19" s="14" cm="1">
        <f t="array" ref="AC19">BS_Greek("PUT","DELTA",$Q19,$B$1,$B$2,$R$3,AC$6)</f>
        <v>-0.25193255955166927</v>
      </c>
      <c r="AD19" s="14" cm="1">
        <f t="array" ref="AD19">BS_Greek("PUT","DELTA",$Q19,$B$1,$B$2,$R$3,AD$6)</f>
        <v>-0.25125810561422335</v>
      </c>
      <c r="AE19" s="23" cm="1">
        <f t="array" ref="AE19">BS_Greek("PUT","DELTA",$Q19,$B$1,$B$2,$R$3,AE$6)</f>
        <v>-0.24770335266730614</v>
      </c>
      <c r="AF19" s="5"/>
      <c r="AG19" s="12">
        <v>120</v>
      </c>
      <c r="AH19" s="22" cm="1">
        <f t="array" ref="AH19">BS_Greek("PUT","DELTA",$AG19,$B$1,$B$2,$AH$3,AH$6)</f>
        <v>-3.0691061914112083E-9</v>
      </c>
      <c r="AI19" s="14" cm="1">
        <f t="array" ref="AI19">BS_Greek("PUT","DELTA",$AG19,$B$1,$B$2,$AH$3,AI$6)</f>
        <v>-1.7071243458399721E-5</v>
      </c>
      <c r="AJ19" s="14" cm="1">
        <f t="array" ref="AJ19">BS_Greek("PUT","DELTA",$AG19,$B$1,$B$2,$AH$3,AJ$6)</f>
        <v>-3.2376867290062616E-4</v>
      </c>
      <c r="AK19" s="14" cm="1">
        <f t="array" ref="AK19">BS_Greek("PUT","DELTA",$AG19,$B$1,$B$2,$AH$3,AK$6)</f>
        <v>-1.4524545858777271E-3</v>
      </c>
      <c r="AL19" s="14" cm="1">
        <f t="array" ref="AL19">BS_Greek("PUT","DELTA",$AG19,$B$1,$B$2,$AH$3,AL$6)</f>
        <v>-3.6321125620839556E-3</v>
      </c>
      <c r="AM19" s="14" cm="1">
        <f t="array" ref="AM19">BS_Greek("PUT","DELTA",$AG19,$B$1,$B$2,$AH$3,AM$6)</f>
        <v>-6.7565841192067655E-3</v>
      </c>
      <c r="AN19" s="14" cm="1">
        <f t="array" ref="AN19">BS_Greek("PUT","DELTA",$AG19,$B$1,$B$2,$AH$3,AN$6)</f>
        <v>-1.0592855898519771E-2</v>
      </c>
      <c r="AO19" s="14" cm="1">
        <f t="array" ref="AO19">BS_Greek("PUT","DELTA",$AG19,$B$1,$B$2,$AH$3,AO$6)</f>
        <v>-1.4905931616100987E-2</v>
      </c>
      <c r="AP19" s="14" cm="1">
        <f t="array" ref="AP19">BS_Greek("PUT","DELTA",$AG19,$B$1,$B$2,$AH$3,AP$6)</f>
        <v>-1.9502200944108816E-2</v>
      </c>
      <c r="AQ19" s="14" cm="1">
        <f t="array" ref="AQ19">BS_Greek("PUT","DELTA",$AG19,$B$1,$B$2,$AH$3,AQ$6)</f>
        <v>-2.4235503765815403E-2</v>
      </c>
      <c r="AR19" s="14" cm="1">
        <f t="array" ref="AR19">BS_Greek("PUT","DELTA",$AG19,$B$1,$B$2,$AH$3,AR$6)</f>
        <v>-6.6633805759227727E-2</v>
      </c>
      <c r="AS19" s="14" cm="1">
        <f t="array" ref="AS19">BS_Greek("PUT","DELTA",$AG19,$B$1,$B$2,$AH$3,AS$6)</f>
        <v>-9.468558585603748E-2</v>
      </c>
      <c r="AT19" s="14" cm="1">
        <f t="array" ref="AT19">BS_Greek("PUT","DELTA",$AG19,$B$1,$B$2,$AH$3,AT$6)</f>
        <v>-0.11283127675234184</v>
      </c>
      <c r="AU19" s="23" cm="1">
        <f t="array" ref="AU19">BS_Greek("PUT","DELTA",$AG19,$B$1,$B$2,$AH$3,AU$6)</f>
        <v>-0.12491199749354731</v>
      </c>
    </row>
    <row r="20" spans="1:47" x14ac:dyDescent="0.2">
      <c r="A20" s="12">
        <v>125</v>
      </c>
      <c r="B20" s="22" cm="1">
        <f t="array" ref="B20">BS_Greek("PUT","DELTA",$A20,$B$1,$B$2,$B$3,B$6)</f>
        <v>-1.7468373585427521E-4</v>
      </c>
      <c r="C20" s="14" cm="1">
        <f t="array" ref="C20">BS_Greek("PUT","DELTA",$A20,$B$1,$B$2,$B$3,C$6)</f>
        <v>-5.2050226213751216E-3</v>
      </c>
      <c r="D20" s="14" cm="1">
        <f t="array" ref="D20">BS_Greek("PUT","DELTA",$A20,$B$1,$B$2,$B$3,D$6)</f>
        <v>-1.7038009338831372E-2</v>
      </c>
      <c r="E20" s="14" cm="1">
        <f t="array" ref="E20">BS_Greek("PUT","DELTA",$A20,$B$1,$B$2,$B$3,E$6)</f>
        <v>-3.1515482917612858E-2</v>
      </c>
      <c r="F20" s="14" cm="1">
        <f t="array" ref="F20">BS_Greek("PUT","DELTA",$A20,$B$1,$B$2,$B$3,F$6)</f>
        <v>-4.6097676148000866E-2</v>
      </c>
      <c r="G20" s="14" cm="1">
        <f t="array" ref="G20">BS_Greek("PUT","DELTA",$A20,$B$1,$B$2,$B$3,G$6)</f>
        <v>-5.9785719848803098E-2</v>
      </c>
      <c r="H20" s="14" cm="1">
        <f t="array" ref="H20">BS_Greek("PUT","DELTA",$A20,$B$1,$B$2,$B$3,H$6)</f>
        <v>-7.2277491513736081E-2</v>
      </c>
      <c r="I20" s="14" cm="1">
        <f t="array" ref="I20">BS_Greek("PUT","DELTA",$A20,$B$1,$B$2,$B$3,I$6)</f>
        <v>-8.3551201402274566E-2</v>
      </c>
      <c r="J20" s="14" cm="1">
        <f t="array" ref="J20">BS_Greek("PUT","DELTA",$A20,$B$1,$B$2,$B$3,J$6)</f>
        <v>-9.3689528830588564E-2</v>
      </c>
      <c r="K20" s="14" cm="1">
        <f t="array" ref="K20">BS_Greek("PUT","DELTA",$A20,$B$1,$B$2,$B$3,K$6)</f>
        <v>-0.10280707440266668</v>
      </c>
      <c r="L20" s="14" cm="1">
        <f t="array" ref="L20">BS_Greek("PUT","DELTA",$A20,$B$1,$B$2,$B$3,L$6)</f>
        <v>-0.15839802446828499</v>
      </c>
      <c r="M20" s="14" cm="1">
        <f t="array" ref="M20">BS_Greek("PUT","DELTA",$A20,$B$1,$B$2,$B$3,M$6)</f>
        <v>-0.18300629935642132</v>
      </c>
      <c r="N20" s="14" cm="1">
        <f t="array" ref="N20">BS_Greek("PUT","DELTA",$A20,$B$1,$B$2,$B$3,N$6)</f>
        <v>-0.19548519667211639</v>
      </c>
      <c r="O20" s="23" cm="1">
        <f t="array" ref="O20">BS_Greek("PUT","DELTA",$A20,$B$1,$B$2,$B$3,O$6)</f>
        <v>-0.20203503441308623</v>
      </c>
      <c r="P20" s="5"/>
      <c r="Q20" s="12">
        <v>125</v>
      </c>
      <c r="R20" s="22" cm="1">
        <f t="array" ref="R20">BS_Greek("PUT","DELTA",$Q20,$B$1,$B$2,$R$3,R$6)</f>
        <v>-7.9737541258025901E-3</v>
      </c>
      <c r="S20" s="14" cm="1">
        <f t="array" ref="S20">BS_Greek("PUT","DELTA",$Q20,$B$1,$B$2,$R$3,S$6)</f>
        <v>-4.0474770416252692E-2</v>
      </c>
      <c r="T20" s="14" cm="1">
        <f t="array" ref="T20">BS_Greek("PUT","DELTA",$Q20,$B$1,$B$2,$R$3,T$6)</f>
        <v>-7.236182589639506E-2</v>
      </c>
      <c r="U20" s="14" cm="1">
        <f t="array" ref="U20">BS_Greek("PUT","DELTA",$Q20,$B$1,$B$2,$R$3,U$6)</f>
        <v>-9.8175116216428271E-2</v>
      </c>
      <c r="V20" s="14" cm="1">
        <f t="array" ref="V20">BS_Greek("PUT","DELTA",$Q20,$B$1,$B$2,$R$3,V$6)</f>
        <v>-0.1186931376101773</v>
      </c>
      <c r="W20" s="14" cm="1">
        <f t="array" ref="W20">BS_Greek("PUT","DELTA",$Q20,$B$1,$B$2,$R$3,W$6)</f>
        <v>-0.13517294858026196</v>
      </c>
      <c r="X20" s="14" cm="1">
        <f t="array" ref="X20">BS_Greek("PUT","DELTA",$Q20,$B$1,$B$2,$R$3,X$6)</f>
        <v>-0.14861015340398076</v>
      </c>
      <c r="Y20" s="14" cm="1">
        <f t="array" ref="Y20">BS_Greek("PUT","DELTA",$Q20,$B$1,$B$2,$R$3,Y$6)</f>
        <v>-0.15972585603915745</v>
      </c>
      <c r="Z20" s="14" cm="1">
        <f t="array" ref="Z20">BS_Greek("PUT","DELTA",$Q20,$B$1,$B$2,$R$3,Z$6)</f>
        <v>-0.16903849174838326</v>
      </c>
      <c r="AA20" s="14" cm="1">
        <f t="array" ref="AA20">BS_Greek("PUT","DELTA",$Q20,$B$1,$B$2,$R$3,AA$6)</f>
        <v>-0.17692558288666238</v>
      </c>
      <c r="AB20" s="14" cm="1">
        <f t="array" ref="AB20">BS_Greek("PUT","DELTA",$Q20,$B$1,$B$2,$R$3,AB$6)</f>
        <v>-0.21616027879298261</v>
      </c>
      <c r="AC20" s="14" cm="1">
        <f t="array" ref="AC20">BS_Greek("PUT","DELTA",$Q20,$B$1,$B$2,$R$3,AC$6)</f>
        <v>-0.22753702816334076</v>
      </c>
      <c r="AD20" s="14" cm="1">
        <f t="array" ref="AD20">BS_Greek("PUT","DELTA",$Q20,$B$1,$B$2,$R$3,AD$6)</f>
        <v>-0.23008328807271095</v>
      </c>
      <c r="AE20" s="23" cm="1">
        <f t="array" ref="AE20">BS_Greek("PUT","DELTA",$Q20,$B$1,$B$2,$R$3,AE$6)</f>
        <v>-0.22886540770586983</v>
      </c>
      <c r="AF20" s="5"/>
      <c r="AG20" s="12">
        <v>125</v>
      </c>
      <c r="AH20" s="22" cm="1">
        <f t="array" ref="AH20">BS_Greek("PUT","DELTA",$AG20,$B$1,$B$2,$AH$3,AH$6)</f>
        <v>-6.0662586065518553E-13</v>
      </c>
      <c r="AI20" s="14" cm="1">
        <f t="array" ref="AI20">BS_Greek("PUT","DELTA",$AG20,$B$1,$B$2,$AH$3,AI$6)</f>
        <v>-2.132604316473774E-7</v>
      </c>
      <c r="AJ20" s="14" cm="1">
        <f t="array" ref="AJ20">BS_Greek("PUT","DELTA",$AG20,$B$1,$B$2,$AH$3,AJ$6)</f>
        <v>-1.6180389819542285E-5</v>
      </c>
      <c r="AK20" s="14" cm="1">
        <f t="array" ref="AK20">BS_Greek("PUT","DELTA",$AG20,$B$1,$B$2,$AH$3,AK$6)</f>
        <v>-1.4555918115333188E-4</v>
      </c>
      <c r="AL20" s="14" cm="1">
        <f t="array" ref="AL20">BS_Greek("PUT","DELTA",$AG20,$B$1,$B$2,$AH$3,AL$6)</f>
        <v>-5.5355097682452392E-4</v>
      </c>
      <c r="AM20" s="14" cm="1">
        <f t="array" ref="AM20">BS_Greek("PUT","DELTA",$AG20,$B$1,$B$2,$AH$3,AM$6)</f>
        <v>-1.3634308405563456E-3</v>
      </c>
      <c r="AN20" s="14" cm="1">
        <f t="array" ref="AN20">BS_Greek("PUT","DELTA",$AG20,$B$1,$B$2,$AH$3,AN$6)</f>
        <v>-2.6145206848648961E-3</v>
      </c>
      <c r="AO20" s="14" cm="1">
        <f t="array" ref="AO20">BS_Greek("PUT","DELTA",$AG20,$B$1,$B$2,$AH$3,AO$6)</f>
        <v>-4.2820091080512102E-3</v>
      </c>
      <c r="AP20" s="14" cm="1">
        <f t="array" ref="AP20">BS_Greek("PUT","DELTA",$AG20,$B$1,$B$2,$AH$3,AP$6)</f>
        <v>-6.3077661675613461E-3</v>
      </c>
      <c r="AQ20" s="14" cm="1">
        <f t="array" ref="AQ20">BS_Greek("PUT","DELTA",$AG20,$B$1,$B$2,$AH$3,AQ$6)</f>
        <v>-8.6226549586319035E-3</v>
      </c>
      <c r="AR20" s="14" cm="1">
        <f t="array" ref="AR20">BS_Greek("PUT","DELTA",$AG20,$B$1,$B$2,$AH$3,AR$6)</f>
        <v>-3.6727340119913188E-2</v>
      </c>
      <c r="AS20" s="14" cm="1">
        <f t="array" ref="AS20">BS_Greek("PUT","DELTA",$AG20,$B$1,$B$2,$AH$3,AS$6)</f>
        <v>-6.07957993015249E-2</v>
      </c>
      <c r="AT20" s="14" cm="1">
        <f t="array" ref="AT20">BS_Greek("PUT","DELTA",$AG20,$B$1,$B$2,$AH$3,AT$6)</f>
        <v>-7.8429078701002797E-2</v>
      </c>
      <c r="AU20" s="23" cm="1">
        <f t="array" ref="AU20">BS_Greek("PUT","DELTA",$AG20,$B$1,$B$2,$AH$3,AU$6)</f>
        <v>-9.1210373067739825E-2</v>
      </c>
    </row>
    <row r="21" spans="1:47" x14ac:dyDescent="0.2">
      <c r="A21" s="12">
        <v>130</v>
      </c>
      <c r="B21" s="22" cm="1">
        <f t="array" ref="B21">BS_Greek("PUT","DELTA",$A21,$B$1,$B$2,$B$3,B$6)</f>
        <v>-1.3596859818609808E-5</v>
      </c>
      <c r="C21" s="14" cm="1">
        <f t="array" ref="C21">BS_Greek("PUT","DELTA",$A21,$B$1,$B$2,$B$3,C$6)</f>
        <v>-1.3481100199207452E-3</v>
      </c>
      <c r="D21" s="14" cm="1">
        <f t="array" ref="D21">BS_Greek("PUT","DELTA",$A21,$B$1,$B$2,$B$3,D$6)</f>
        <v>-6.6207821485191332E-3</v>
      </c>
      <c r="E21" s="14" cm="1">
        <f t="array" ref="E21">BS_Greek("PUT","DELTA",$A21,$B$1,$B$2,$B$3,E$6)</f>
        <v>-1.5039825106780258E-2</v>
      </c>
      <c r="F21" s="14" cm="1">
        <f t="array" ref="F21">BS_Greek("PUT","DELTA",$A21,$B$1,$B$2,$B$3,F$6)</f>
        <v>-2.4924261663526792E-2</v>
      </c>
      <c r="G21" s="14" cm="1">
        <f t="array" ref="G21">BS_Greek("PUT","DELTA",$A21,$B$1,$B$2,$B$3,G$6)</f>
        <v>-3.5167783159818167E-2</v>
      </c>
      <c r="H21" s="14" cm="1">
        <f t="array" ref="H21">BS_Greek("PUT","DELTA",$A21,$B$1,$B$2,$B$3,H$6)</f>
        <v>-4.5187263769139729E-2</v>
      </c>
      <c r="I21" s="14" cm="1">
        <f t="array" ref="I21">BS_Greek("PUT","DELTA",$A21,$B$1,$B$2,$B$3,I$6)</f>
        <v>-5.4707853004439699E-2</v>
      </c>
      <c r="J21" s="14" cm="1">
        <f t="array" ref="J21">BS_Greek("PUT","DELTA",$A21,$B$1,$B$2,$B$3,J$6)</f>
        <v>-6.3619125849340485E-2</v>
      </c>
      <c r="K21" s="14" cm="1">
        <f t="array" ref="K21">BS_Greek("PUT","DELTA",$A21,$B$1,$B$2,$B$3,K$6)</f>
        <v>-7.1895089760057207E-2</v>
      </c>
      <c r="L21" s="14" cm="1">
        <f t="array" ref="L21">BS_Greek("PUT","DELTA",$A21,$B$1,$B$2,$B$3,L$6)</f>
        <v>-0.12719944668745575</v>
      </c>
      <c r="M21" s="14" cm="1">
        <f t="array" ref="M21">BS_Greek("PUT","DELTA",$A21,$B$1,$B$2,$B$3,M$6)</f>
        <v>-0.15453199824934205</v>
      </c>
      <c r="N21" s="14" cm="1">
        <f t="array" ref="N21">BS_Greek("PUT","DELTA",$A21,$B$1,$B$2,$B$3,N$6)</f>
        <v>-0.16955868613384428</v>
      </c>
      <c r="O21" s="23" cm="1">
        <f t="array" ref="O21">BS_Greek("PUT","DELTA",$A21,$B$1,$B$2,$B$3,O$6)</f>
        <v>-0.17824485149296021</v>
      </c>
      <c r="P21" s="5"/>
      <c r="Q21" s="12">
        <v>130</v>
      </c>
      <c r="R21" s="22" cm="1">
        <f t="array" ref="R21">BS_Greek("PUT","DELTA",$Q21,$B$1,$B$2,$R$3,R$6)</f>
        <v>-2.3748452032597012E-3</v>
      </c>
      <c r="S21" s="14" cm="1">
        <f t="array" ref="S21">BS_Greek("PUT","DELTA",$Q21,$B$1,$B$2,$R$3,S$6)</f>
        <v>-2.0798132697888772E-2</v>
      </c>
      <c r="T21" s="14" cm="1">
        <f t="array" ref="T21">BS_Greek("PUT","DELTA",$Q21,$B$1,$B$2,$R$3,T$6)</f>
        <v>-4.4837567406159407E-2</v>
      </c>
      <c r="U21" s="14" cm="1">
        <f t="array" ref="U21">BS_Greek("PUT","DELTA",$Q21,$B$1,$B$2,$R$3,U$6)</f>
        <v>-6.6971680787246357E-2</v>
      </c>
      <c r="V21" s="14" cm="1">
        <f t="array" ref="V21">BS_Greek("PUT","DELTA",$Q21,$B$1,$B$2,$R$3,V$6)</f>
        <v>-8.5901509738383175E-2</v>
      </c>
      <c r="W21" s="14" cm="1">
        <f t="array" ref="W21">BS_Greek("PUT","DELTA",$Q21,$B$1,$B$2,$R$3,W$6)</f>
        <v>-0.10185624547043504</v>
      </c>
      <c r="X21" s="14" cm="1">
        <f t="array" ref="X21">BS_Greek("PUT","DELTA",$Q21,$B$1,$B$2,$R$3,X$6)</f>
        <v>-0.1153277701028006</v>
      </c>
      <c r="Y21" s="14" cm="1">
        <f t="array" ref="Y21">BS_Greek("PUT","DELTA",$Q21,$B$1,$B$2,$R$3,Y$6)</f>
        <v>-0.12677851771428283</v>
      </c>
      <c r="Z21" s="14" cm="1">
        <f t="array" ref="Z21">BS_Greek("PUT","DELTA",$Q21,$B$1,$B$2,$R$3,Z$6)</f>
        <v>-0.13658767823312523</v>
      </c>
      <c r="AA21" s="14" cm="1">
        <f t="array" ref="AA21">BS_Greek("PUT","DELTA",$Q21,$B$1,$B$2,$R$3,AA$6)</f>
        <v>-0.14505487619059876</v>
      </c>
      <c r="AB21" s="14" cm="1">
        <f t="array" ref="AB21">BS_Greek("PUT","DELTA",$Q21,$B$1,$B$2,$R$3,AB$6)</f>
        <v>-0.19006114648737371</v>
      </c>
      <c r="AC21" s="14" cm="1">
        <f t="array" ref="AC21">BS_Greek("PUT","DELTA",$Q21,$B$1,$B$2,$R$3,AC$6)</f>
        <v>-0.20540674368816236</v>
      </c>
      <c r="AD21" s="14" cm="1">
        <f t="array" ref="AD21">BS_Greek("PUT","DELTA",$Q21,$B$1,$B$2,$R$3,AD$6)</f>
        <v>-0.21071568645830396</v>
      </c>
      <c r="AE21" s="23" cm="1">
        <f t="array" ref="AE21">BS_Greek("PUT","DELTA",$Q21,$B$1,$B$2,$R$3,AE$6)</f>
        <v>-0.21154980187022532</v>
      </c>
      <c r="AF21" s="5"/>
      <c r="AG21" s="12">
        <v>130</v>
      </c>
      <c r="AH21" s="22" cm="1">
        <f t="array" ref="AH21">BS_Greek("PUT","DELTA",$AG21,$B$1,$B$2,$AH$3,AH$6)</f>
        <v>0</v>
      </c>
      <c r="AI21" s="14" cm="1">
        <f t="array" ref="AI21">BS_Greek("PUT","DELTA",$AG21,$B$1,$B$2,$AH$3,AI$6)</f>
        <v>-1.4806853521065477E-9</v>
      </c>
      <c r="AJ21" s="14" cm="1">
        <f t="array" ref="AJ21">BS_Greek("PUT","DELTA",$AG21,$B$1,$B$2,$AH$3,AJ$6)</f>
        <v>-5.5166492773928155E-7</v>
      </c>
      <c r="AK21" s="14" cm="1">
        <f t="array" ref="AK21">BS_Greek("PUT","DELTA",$AG21,$B$1,$B$2,$AH$3,AK$6)</f>
        <v>-1.101717495310961E-5</v>
      </c>
      <c r="AL21" s="14" cm="1">
        <f t="array" ref="AL21">BS_Greek("PUT","DELTA",$AG21,$B$1,$B$2,$AH$3,AL$6)</f>
        <v>-6.769082007296312E-5</v>
      </c>
      <c r="AM21" s="14" cm="1">
        <f t="array" ref="AM21">BS_Greek("PUT","DELTA",$AG21,$B$1,$B$2,$AH$3,AM$6)</f>
        <v>-2.2976787752915229E-4</v>
      </c>
      <c r="AN21" s="14" cm="1">
        <f t="array" ref="AN21">BS_Greek("PUT","DELTA",$AG21,$B$1,$B$2,$AH$3,AN$6)</f>
        <v>-5.5441197797978514E-4</v>
      </c>
      <c r="AO21" s="14" cm="1">
        <f t="array" ref="AO21">BS_Greek("PUT","DELTA",$AG21,$B$1,$B$2,$AH$3,AO$6)</f>
        <v>-1.0793388372125623E-3</v>
      </c>
      <c r="AP21" s="14" cm="1">
        <f t="array" ref="AP21">BS_Greek("PUT","DELTA",$AG21,$B$1,$B$2,$AH$3,AP$6)</f>
        <v>-1.8195289047336916E-3</v>
      </c>
      <c r="AQ21" s="14" cm="1">
        <f t="array" ref="AQ21">BS_Greek("PUT","DELTA",$AG21,$B$1,$B$2,$AH$3,AQ$6)</f>
        <v>-2.7716266237037823E-3</v>
      </c>
      <c r="AR21" s="14" cm="1">
        <f t="array" ref="AR21">BS_Greek("PUT","DELTA",$AG21,$B$1,$B$2,$AH$3,AR$6)</f>
        <v>-1.93516504591843E-2</v>
      </c>
      <c r="AS21" s="14" cm="1">
        <f t="array" ref="AS21">BS_Greek("PUT","DELTA",$AG21,$B$1,$B$2,$AH$3,AS$6)</f>
        <v>-3.7984588705097355E-2</v>
      </c>
      <c r="AT21" s="14" cm="1">
        <f t="array" ref="AT21">BS_Greek("PUT","DELTA",$AG21,$B$1,$B$2,$AH$3,AT$6)</f>
        <v>-5.3500413442041594E-2</v>
      </c>
      <c r="AU21" s="23" cm="1">
        <f t="array" ref="AU21">BS_Greek("PUT","DELTA",$AG21,$B$1,$B$2,$AH$3,AU$6)</f>
        <v>-6.5682765684590083E-2</v>
      </c>
    </row>
    <row r="22" spans="1:47" x14ac:dyDescent="0.2">
      <c r="A22" s="12">
        <v>135</v>
      </c>
      <c r="B22" s="22" cm="1">
        <f t="array" ref="B22">BS_Greek("PUT","DELTA",$A22,$B$1,$B$2,$B$3,B$6)</f>
        <v>-8.2356076314127336E-7</v>
      </c>
      <c r="C22" s="14" cm="1">
        <f t="array" ref="C22">BS_Greek("PUT","DELTA",$A22,$B$1,$B$2,$B$3,C$6)</f>
        <v>-3.1040784564706492E-4</v>
      </c>
      <c r="D22" s="14" cm="1">
        <f t="array" ref="D22">BS_Greek("PUT","DELTA",$A22,$B$1,$B$2,$B$3,D$6)</f>
        <v>-2.3882986824037555E-3</v>
      </c>
      <c r="E22" s="14" cm="1">
        <f t="array" ref="E22">BS_Greek("PUT","DELTA",$A22,$B$1,$B$2,$B$3,E$6)</f>
        <v>-6.8048459046240461E-3</v>
      </c>
      <c r="F22" s="14" cm="1">
        <f t="array" ref="F22">BS_Greek("PUT","DELTA",$A22,$B$1,$B$2,$B$3,F$6)</f>
        <v>-1.2936058934507999E-2</v>
      </c>
      <c r="G22" s="14" cm="1">
        <f t="array" ref="G22">BS_Greek("PUT","DELTA",$A22,$B$1,$B$2,$B$3,G$6)</f>
        <v>-2.0019016420614544E-2</v>
      </c>
      <c r="H22" s="14" cm="1">
        <f t="array" ref="H22">BS_Greek("PUT","DELTA",$A22,$B$1,$B$2,$B$3,H$6)</f>
        <v>-2.7494256589391308E-2</v>
      </c>
      <c r="I22" s="14" cm="1">
        <f t="array" ref="I22">BS_Greek("PUT","DELTA",$A22,$B$1,$B$2,$B$3,I$6)</f>
        <v>-3.5008571780824504E-2</v>
      </c>
      <c r="J22" s="14" cm="1">
        <f t="array" ref="J22">BS_Greek("PUT","DELTA",$A22,$B$1,$B$2,$B$3,J$6)</f>
        <v>-4.2354591752513771E-2</v>
      </c>
      <c r="K22" s="14" cm="1">
        <f t="array" ref="K22">BS_Greek("PUT","DELTA",$A22,$B$1,$B$2,$B$3,K$6)</f>
        <v>-4.9418010408147417E-2</v>
      </c>
      <c r="L22" s="14" cm="1">
        <f t="array" ref="L22">BS_Greek("PUT","DELTA",$A22,$B$1,$B$2,$B$3,L$6)</f>
        <v>-0.10148028157804423</v>
      </c>
      <c r="M22" s="14" cm="1">
        <f t="array" ref="M22">BS_Greek("PUT","DELTA",$A22,$B$1,$B$2,$B$3,M$6)</f>
        <v>-0.13005419969363385</v>
      </c>
      <c r="N22" s="14" cm="1">
        <f t="array" ref="N22">BS_Greek("PUT","DELTA",$A22,$B$1,$B$2,$B$3,N$6)</f>
        <v>-0.14679895478660199</v>
      </c>
      <c r="O22" s="23" cm="1">
        <f t="array" ref="O22">BS_Greek("PUT","DELTA",$A22,$B$1,$B$2,$B$3,O$6)</f>
        <v>-0.1570960983419486</v>
      </c>
      <c r="P22" s="5"/>
      <c r="Q22" s="12">
        <v>135</v>
      </c>
      <c r="R22" s="22" cm="1">
        <f t="array" ref="R22">BS_Greek("PUT","DELTA",$Q22,$B$1,$B$2,$R$3,R$6)</f>
        <v>-6.3792946107255055E-4</v>
      </c>
      <c r="S22" s="14" cm="1">
        <f t="array" ref="S22">BS_Greek("PUT","DELTA",$Q22,$B$1,$B$2,$R$3,S$6)</f>
        <v>-1.0201945596281514E-2</v>
      </c>
      <c r="T22" s="14" cm="1">
        <f t="array" ref="T22">BS_Greek("PUT","DELTA",$Q22,$B$1,$B$2,$R$3,T$6)</f>
        <v>-2.7002641924538051E-2</v>
      </c>
      <c r="U22" s="14" cm="1">
        <f t="array" ref="U22">BS_Greek("PUT","DELTA",$Q22,$B$1,$B$2,$R$3,U$6)</f>
        <v>-4.4787839514464522E-2</v>
      </c>
      <c r="V22" s="14" cm="1">
        <f t="array" ref="V22">BS_Greek("PUT","DELTA",$Q22,$B$1,$B$2,$R$3,V$6)</f>
        <v>-6.1252647423470141E-2</v>
      </c>
      <c r="W22" s="14" cm="1">
        <f t="array" ref="W22">BS_Greek("PUT","DELTA",$Q22,$B$1,$B$2,$R$3,W$6)</f>
        <v>-7.5864077548471465E-2</v>
      </c>
      <c r="X22" s="14" cm="1">
        <f t="array" ref="X22">BS_Greek("PUT","DELTA",$Q22,$B$1,$B$2,$R$3,X$6)</f>
        <v>-8.8663185428034641E-2</v>
      </c>
      <c r="Y22" s="14" cm="1">
        <f t="array" ref="Y22">BS_Greek("PUT","DELTA",$Q22,$B$1,$B$2,$R$3,Y$6)</f>
        <v>-9.9850813935310367E-2</v>
      </c>
      <c r="Z22" s="14" cm="1">
        <f t="array" ref="Z22">BS_Greek("PUT","DELTA",$Q22,$B$1,$B$2,$R$3,Z$6)</f>
        <v>-0.10965117703705984</v>
      </c>
      <c r="AA22" s="14" cm="1">
        <f t="array" ref="AA22">BS_Greek("PUT","DELTA",$Q22,$B$1,$B$2,$R$3,AA$6)</f>
        <v>-0.11826948842735363</v>
      </c>
      <c r="AB22" s="14" cm="1">
        <f t="array" ref="AB22">BS_Greek("PUT","DELTA",$Q22,$B$1,$B$2,$R$3,AB$6)</f>
        <v>-0.16686556750780079</v>
      </c>
      <c r="AC22" s="14" cm="1">
        <f t="array" ref="AC22">BS_Greek("PUT","DELTA",$Q22,$B$1,$B$2,$R$3,AC$6)</f>
        <v>-0.18536836561406411</v>
      </c>
      <c r="AD22" s="14" cm="1">
        <f t="array" ref="AD22">BS_Greek("PUT","DELTA",$Q22,$B$1,$B$2,$R$3,AD$6)</f>
        <v>-0.19301457050780468</v>
      </c>
      <c r="AE22" s="23" cm="1">
        <f t="array" ref="AE22">BS_Greek("PUT","DELTA",$Q22,$B$1,$B$2,$R$3,AE$6)</f>
        <v>-0.19563532516962057</v>
      </c>
      <c r="AF22" s="5"/>
      <c r="AG22" s="12">
        <v>135</v>
      </c>
      <c r="AH22" s="22" cm="1">
        <f t="array" ref="AH22">BS_Greek("PUT","DELTA",$AG22,$B$1,$B$2,$AH$3,AH$6)</f>
        <v>0</v>
      </c>
      <c r="AI22" s="14" cm="1">
        <f t="array" ref="AI22">BS_Greek("PUT","DELTA",$AG22,$B$1,$B$2,$AH$3,AI$6)</f>
        <v>-6.1083360591851488E-12</v>
      </c>
      <c r="AJ22" s="14" cm="1">
        <f t="array" ref="AJ22">BS_Greek("PUT","DELTA",$AG22,$B$1,$B$2,$AH$3,AJ$6)</f>
        <v>-1.3389116704232151E-8</v>
      </c>
      <c r="AK22" s="14" cm="1">
        <f t="array" ref="AK22">BS_Greek("PUT","DELTA",$AG22,$B$1,$B$2,$AH$3,AK$6)</f>
        <v>-6.4939633814820041E-7</v>
      </c>
      <c r="AL22" s="14" cm="1">
        <f t="array" ref="AL22">BS_Greek("PUT","DELTA",$AG22,$B$1,$B$2,$AH$3,AL$6)</f>
        <v>-6.8011094226383406E-6</v>
      </c>
      <c r="AM22" s="14" cm="1">
        <f t="array" ref="AM22">BS_Greek("PUT","DELTA",$AG22,$B$1,$B$2,$AH$3,AM$6)</f>
        <v>-3.2963859568746479E-5</v>
      </c>
      <c r="AN22" s="14" cm="1">
        <f t="array" ref="AN22">BS_Greek("PUT","DELTA",$AG22,$B$1,$B$2,$AH$3,AN$6)</f>
        <v>-1.0263741426164152E-4</v>
      </c>
      <c r="AO22" s="14" cm="1">
        <f t="array" ref="AO22">BS_Greek("PUT","DELTA",$AG22,$B$1,$B$2,$AH$3,AO$6)</f>
        <v>-2.4202099636327912E-4</v>
      </c>
      <c r="AP22" s="14" cm="1">
        <f t="array" ref="AP22">BS_Greek("PUT","DELTA",$AG22,$B$1,$B$2,$AH$3,AP$6)</f>
        <v>-4.737266396053208E-4</v>
      </c>
      <c r="AQ22" s="14" cm="1">
        <f t="array" ref="AQ22">BS_Greek("PUT","DELTA",$AG22,$B$1,$B$2,$AH$3,AQ$6)</f>
        <v>-8.1343453919457964E-4</v>
      </c>
      <c r="AR22" s="14" cm="1">
        <f t="array" ref="AR22">BS_Greek("PUT","DELTA",$AG22,$B$1,$B$2,$AH$3,AR$6)</f>
        <v>-9.7928364033782467E-3</v>
      </c>
      <c r="AS22" s="14" cm="1">
        <f t="array" ref="AS22">BS_Greek("PUT","DELTA",$AG22,$B$1,$B$2,$AH$3,AS$6)</f>
        <v>-2.316017918913893E-2</v>
      </c>
      <c r="AT22" s="14" cm="1">
        <f t="array" ref="AT22">BS_Greek("PUT","DELTA",$AG22,$B$1,$B$2,$AH$3,AT$6)</f>
        <v>-3.5889050588990501E-2</v>
      </c>
      <c r="AU22" s="23" cm="1">
        <f t="array" ref="AU22">BS_Greek("PUT","DELTA",$AG22,$B$1,$B$2,$AH$3,AU$6)</f>
        <v>-4.67205445320521E-2</v>
      </c>
    </row>
    <row r="23" spans="1:47" x14ac:dyDescent="0.2">
      <c r="A23" s="12">
        <v>140</v>
      </c>
      <c r="B23" s="24" cm="1">
        <f t="array" ref="B23">BS_Greek("PUT","DELTA",$A23,$B$1,$B$2,$B$3,B$6)</f>
        <v>-3.9911703275663513E-8</v>
      </c>
      <c r="C23" s="25" cm="1">
        <f t="array" ref="C23">BS_Greek("PUT","DELTA",$A23,$B$1,$B$2,$B$3,C$6)</f>
        <v>-6.4344002938532263E-5</v>
      </c>
      <c r="D23" s="25" cm="1">
        <f t="array" ref="D23">BS_Greek("PUT","DELTA",$A23,$B$1,$B$2,$B$3,D$6)</f>
        <v>-8.060304662809159E-4</v>
      </c>
      <c r="E23" s="25" cm="1">
        <f t="array" ref="E23">BS_Greek("PUT","DELTA",$A23,$B$1,$B$2,$B$3,E$6)</f>
        <v>-2.9353699446743597E-3</v>
      </c>
      <c r="F23" s="25" cm="1">
        <f t="array" ref="F23">BS_Greek("PUT","DELTA",$A23,$B$1,$B$2,$B$3,F$6)</f>
        <v>-6.4724055303690964E-3</v>
      </c>
      <c r="G23" s="25" cm="1">
        <f t="array" ref="G23">BS_Greek("PUT","DELTA",$A23,$B$1,$B$2,$B$3,G$6)</f>
        <v>-1.1065603183766148E-2</v>
      </c>
      <c r="H23" s="25" cm="1">
        <f t="array" ref="H23">BS_Greek("PUT","DELTA",$A23,$B$1,$B$2,$B$3,H$6)</f>
        <v>-1.6327271792869857E-2</v>
      </c>
      <c r="I23" s="25" cm="1">
        <f t="array" ref="I23">BS_Greek("PUT","DELTA",$A23,$B$1,$B$2,$B$3,I$6)</f>
        <v>-2.1947030461860972E-2</v>
      </c>
      <c r="J23" s="25" cm="1">
        <f t="array" ref="J23">BS_Greek("PUT","DELTA",$A23,$B$1,$B$2,$B$3,J$6)</f>
        <v>-2.7703754722868346E-2</v>
      </c>
      <c r="K23" s="25" cm="1">
        <f t="array" ref="K23">BS_Greek("PUT","DELTA",$A23,$B$1,$B$2,$B$3,K$6)</f>
        <v>-3.3448813603455418E-2</v>
      </c>
      <c r="L23" s="25" cm="1">
        <f t="array" ref="L23">BS_Greek("PUT","DELTA",$A23,$B$1,$B$2,$B$3,L$6)</f>
        <v>-8.0496295997073863E-2</v>
      </c>
      <c r="M23" s="25" cm="1">
        <f t="array" ref="M23">BS_Greek("PUT","DELTA",$A23,$B$1,$B$2,$B$3,M$6)</f>
        <v>-0.10913912348794974</v>
      </c>
      <c r="N23" s="25" cm="1">
        <f t="array" ref="N23">BS_Greek("PUT","DELTA",$A23,$B$1,$B$2,$B$3,N$6)</f>
        <v>-0.12689738962132047</v>
      </c>
      <c r="O23" s="26" cm="1">
        <f t="array" ref="O23">BS_Greek("PUT","DELTA",$A23,$B$1,$B$2,$B$3,O$6)</f>
        <v>-0.13834501863406246</v>
      </c>
      <c r="P23" s="5"/>
      <c r="Q23" s="12">
        <v>140</v>
      </c>
      <c r="R23" s="24" cm="1">
        <f t="array" ref="R23">BS_Greek("PUT","DELTA",$Q23,$B$1,$B$2,$R$3,R$6)</f>
        <v>-1.5625452050427313E-4</v>
      </c>
      <c r="S23" s="25" cm="1">
        <f t="array" ref="S23">BS_Greek("PUT","DELTA",$Q23,$B$1,$B$2,$R$3,S$6)</f>
        <v>-4.8001191425864898E-3</v>
      </c>
      <c r="T23" s="25" cm="1">
        <f t="array" ref="T23">BS_Greek("PUT","DELTA",$Q23,$B$1,$B$2,$R$3,T$6)</f>
        <v>-1.5852087113856994E-2</v>
      </c>
      <c r="U23" s="25" cm="1">
        <f t="array" ref="U23">BS_Greek("PUT","DELTA",$Q23,$B$1,$B$2,$R$3,U$6)</f>
        <v>-2.9424844782154347E-2</v>
      </c>
      <c r="V23" s="25" cm="1">
        <f t="array" ref="V23">BS_Greek("PUT","DELTA",$Q23,$B$1,$B$2,$R$3,V$6)</f>
        <v>-4.3101013576703928E-2</v>
      </c>
      <c r="W23" s="25" cm="1">
        <f t="array" ref="W23">BS_Greek("PUT","DELTA",$Q23,$B$1,$B$2,$R$3,W$6)</f>
        <v>-5.5922434399909848E-2</v>
      </c>
      <c r="X23" s="25" cm="1">
        <f t="array" ref="X23">BS_Greek("PUT","DELTA",$Q23,$B$1,$B$2,$R$3,X$6)</f>
        <v>-6.7597592081242719E-2</v>
      </c>
      <c r="Y23" s="25" cm="1">
        <f t="array" ref="Y23">BS_Greek("PUT","DELTA",$Q23,$B$1,$B$2,$R$3,Y$6)</f>
        <v>-7.8104680465358789E-2</v>
      </c>
      <c r="Z23" s="25" cm="1">
        <f t="array" ref="Z23">BS_Greek("PUT","DELTA",$Q23,$B$1,$B$2,$R$3,Z$6)</f>
        <v>-8.7522828477867298E-2</v>
      </c>
      <c r="AA23" s="25" cm="1">
        <f t="array" ref="AA23">BS_Greek("PUT","DELTA",$Q23,$B$1,$B$2,$R$3,AA$6)</f>
        <v>-9.5962181134868874E-2</v>
      </c>
      <c r="AB23" s="25" cm="1">
        <f t="array" ref="AB23">BS_Greek("PUT","DELTA",$Q23,$B$1,$B$2,$R$3,AB$6)</f>
        <v>-0.14632061111336547</v>
      </c>
      <c r="AC23" s="25" cm="1">
        <f t="array" ref="AC23">BS_Greek("PUT","DELTA",$Q23,$B$1,$B$2,$R$3,AC$6)</f>
        <v>-0.16725142786114877</v>
      </c>
      <c r="AD23" s="25" cm="1">
        <f t="array" ref="AD23">BS_Greek("PUT","DELTA",$Q23,$B$1,$B$2,$R$3,AD$6)</f>
        <v>-0.17684550299325896</v>
      </c>
      <c r="AE23" s="26" cm="1">
        <f t="array" ref="AE23">BS_Greek("PUT","DELTA",$Q23,$B$1,$B$2,$R$3,AE$6)</f>
        <v>-0.18100835859699094</v>
      </c>
      <c r="AF23" s="5"/>
      <c r="AG23" s="12">
        <v>140</v>
      </c>
      <c r="AH23" s="24" cm="1">
        <f t="array" ref="AH23">BS_Greek("PUT","DELTA",$AG23,$B$1,$B$2,$AH$3,AH$6)</f>
        <v>0</v>
      </c>
      <c r="AI23" s="25" cm="1">
        <f t="array" ref="AI23">BS_Greek("PUT","DELTA",$AG23,$B$1,$B$2,$AH$3,AI$6)</f>
        <v>-1.5876189252139739E-14</v>
      </c>
      <c r="AJ23" s="25" cm="1">
        <f t="array" ref="AJ23">BS_Greek("PUT","DELTA",$AG23,$B$1,$B$2,$AH$3,AJ$6)</f>
        <v>-2.4035928802845774E-10</v>
      </c>
      <c r="AK23" s="25" cm="1">
        <f t="array" ref="AK23">BS_Greek("PUT","DELTA",$AG23,$B$1,$B$2,$AH$3,AK$6)</f>
        <v>-3.0650944671251068E-8</v>
      </c>
      <c r="AL23" s="25" cm="1">
        <f t="array" ref="AL23">BS_Greek("PUT","DELTA",$AG23,$B$1,$B$2,$AH$3,AL$6)</f>
        <v>-5.7372667472410654E-7</v>
      </c>
      <c r="AM23" s="25" cm="1">
        <f t="array" ref="AM23">BS_Greek("PUT","DELTA",$AG23,$B$1,$B$2,$AH$3,AM$6)</f>
        <v>-4.097458834229073E-6</v>
      </c>
      <c r="AN23" s="25" cm="1">
        <f t="array" ref="AN23">BS_Greek("PUT","DELTA",$AG23,$B$1,$B$2,$AH$3,AN$6)</f>
        <v>-1.6834810336541217E-5</v>
      </c>
      <c r="AO23" s="25" cm="1">
        <f t="array" ref="AO23">BS_Greek("PUT","DELTA",$AG23,$B$1,$B$2,$AH$3,AO$6)</f>
        <v>-4.8889517762384926E-5</v>
      </c>
      <c r="AP23" s="25" cm="1">
        <f t="array" ref="AP23">BS_Greek("PUT","DELTA",$AG23,$B$1,$B$2,$AH$3,AP$6)</f>
        <v>-1.125547698992424E-4</v>
      </c>
      <c r="AQ23" s="25" cm="1">
        <f t="array" ref="AQ23">BS_Greek("PUT","DELTA",$AG23,$B$1,$B$2,$AH$3,AQ$6)</f>
        <v>-2.2010697477903296E-4</v>
      </c>
      <c r="AR23" s="25" cm="1">
        <f t="array" ref="AR23">BS_Greek("PUT","DELTA",$AG23,$B$1,$B$2,$AH$3,AR$6)</f>
        <v>-4.7800098788316481E-3</v>
      </c>
      <c r="AS23" s="25" cm="1">
        <f t="array" ref="AS23">BS_Greek("PUT","DELTA",$AG23,$B$1,$B$2,$AH$3,AS$6)</f>
        <v>-1.3817439592029412E-2</v>
      </c>
      <c r="AT23" s="25" cm="1">
        <f t="array" ref="AT23">BS_Greek("PUT","DELTA",$AG23,$B$1,$B$2,$AH$3,AT$6)</f>
        <v>-2.3719415395278443E-2</v>
      </c>
      <c r="AU23" s="26" cm="1">
        <f t="array" ref="AU23">BS_Greek("PUT","DELTA",$AG23,$B$1,$B$2,$AH$3,AU$6)</f>
        <v>-3.2872391158081826E-2</v>
      </c>
    </row>
    <row r="24" spans="1:47" x14ac:dyDescent="0.2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</row>
    <row r="25" spans="1:47" x14ac:dyDescent="0.2">
      <c r="A25" s="108" t="s">
        <v>6</v>
      </c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Q25" s="108" t="s">
        <v>7</v>
      </c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G25" s="108" t="s">
        <v>15</v>
      </c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</row>
    <row r="26" spans="1:47" x14ac:dyDescent="0.2">
      <c r="A26" s="9"/>
      <c r="B26" s="16">
        <v>0.1</v>
      </c>
      <c r="C26" s="16">
        <v>0.2</v>
      </c>
      <c r="D26" s="16">
        <v>0.3</v>
      </c>
      <c r="E26" s="16">
        <v>0.4</v>
      </c>
      <c r="F26" s="16">
        <v>0.5</v>
      </c>
      <c r="G26" s="16">
        <v>0.6</v>
      </c>
      <c r="H26" s="16">
        <v>0.7</v>
      </c>
      <c r="I26" s="16">
        <v>0.8</v>
      </c>
      <c r="J26" s="16">
        <v>0.9</v>
      </c>
      <c r="K26" s="16">
        <v>1</v>
      </c>
      <c r="L26" s="16">
        <v>2</v>
      </c>
      <c r="M26" s="16">
        <v>3</v>
      </c>
      <c r="N26" s="16">
        <v>4</v>
      </c>
      <c r="O26" s="16">
        <v>5</v>
      </c>
      <c r="P26" s="10"/>
      <c r="Q26" s="9"/>
      <c r="R26" s="16">
        <v>0.1</v>
      </c>
      <c r="S26" s="16">
        <v>0.2</v>
      </c>
      <c r="T26" s="16">
        <v>0.3</v>
      </c>
      <c r="U26" s="16">
        <v>0.4</v>
      </c>
      <c r="V26" s="16">
        <v>0.5</v>
      </c>
      <c r="W26" s="16">
        <v>0.6</v>
      </c>
      <c r="X26" s="16">
        <v>0.7</v>
      </c>
      <c r="Y26" s="16">
        <v>0.8</v>
      </c>
      <c r="Z26" s="16">
        <v>0.9</v>
      </c>
      <c r="AA26" s="16">
        <v>1</v>
      </c>
      <c r="AB26" s="16">
        <v>2</v>
      </c>
      <c r="AC26" s="16">
        <v>3</v>
      </c>
      <c r="AD26" s="16">
        <v>4</v>
      </c>
      <c r="AE26" s="16">
        <v>5</v>
      </c>
      <c r="AF26" s="10"/>
      <c r="AG26" s="9"/>
      <c r="AH26" s="16">
        <v>0.1</v>
      </c>
      <c r="AI26" s="16">
        <v>0.2</v>
      </c>
      <c r="AJ26" s="16">
        <v>0.3</v>
      </c>
      <c r="AK26" s="16">
        <v>0.4</v>
      </c>
      <c r="AL26" s="16">
        <v>0.5</v>
      </c>
      <c r="AM26" s="16">
        <v>0.6</v>
      </c>
      <c r="AN26" s="16">
        <v>0.7</v>
      </c>
      <c r="AO26" s="16">
        <v>0.8</v>
      </c>
      <c r="AP26" s="16">
        <v>0.9</v>
      </c>
      <c r="AQ26" s="16">
        <v>1</v>
      </c>
      <c r="AR26" s="16">
        <v>2</v>
      </c>
      <c r="AS26" s="16">
        <v>3</v>
      </c>
      <c r="AT26" s="16">
        <v>4</v>
      </c>
      <c r="AU26" s="16">
        <v>5</v>
      </c>
    </row>
    <row r="27" spans="1:47" x14ac:dyDescent="0.2">
      <c r="A27" s="15">
        <v>60</v>
      </c>
      <c r="B27" s="27" cm="1">
        <f t="array" ref="B27">BS_Greek("PUT","GAMMA",$A27,$B$1,$B$2,$B$3,B$6)</f>
        <v>1.0516556577990481E-15</v>
      </c>
      <c r="C27" s="28" cm="1">
        <f t="array" ref="C27">BS_Greek("PUT","GAMMA",$A27,$B$1,$B$2,$B$3,C$6)</f>
        <v>8.9897290546272933E-9</v>
      </c>
      <c r="D27" s="28" cm="1">
        <f t="array" ref="D27">BS_Greek("PUT","GAMMA",$A27,$B$1,$B$2,$B$3,D$6)</f>
        <v>1.683337757156276E-6</v>
      </c>
      <c r="E27" s="28" cm="1">
        <f t="array" ref="E27">BS_Greek("PUT","GAMMA",$A27,$B$1,$B$2,$B$3,E$6)</f>
        <v>2.2064431982817096E-5</v>
      </c>
      <c r="F27" s="28" cm="1">
        <f t="array" ref="F27">BS_Greek("PUT","GAMMA",$A27,$B$1,$B$2,$B$3,F$6)</f>
        <v>1.0070170546498094E-4</v>
      </c>
      <c r="G27" s="28" cm="1">
        <f t="array" ref="G27">BS_Greek("PUT","GAMMA",$A27,$B$1,$B$2,$B$3,G$6)</f>
        <v>2.7236380704730455E-4</v>
      </c>
      <c r="H27" s="28" cm="1">
        <f t="array" ref="H27">BS_Greek("PUT","GAMMA",$A27,$B$1,$B$2,$B$3,H$6)</f>
        <v>5.4760481596518001E-4</v>
      </c>
      <c r="I27" s="28" cm="1">
        <f t="array" ref="I27">BS_Greek("PUT","GAMMA",$A27,$B$1,$B$2,$B$3,I$6)</f>
        <v>9.1609936771568209E-4</v>
      </c>
      <c r="J27" s="28" cm="1">
        <f t="array" ref="J27">BS_Greek("PUT","GAMMA",$A27,$B$1,$B$2,$B$3,J$6)</f>
        <v>1.3571389458380515E-3</v>
      </c>
      <c r="K27" s="28" cm="1">
        <f t="array" ref="K27">BS_Greek("PUT","GAMMA",$A27,$B$1,$B$2,$B$3,K$6)</f>
        <v>1.8477969471792112E-3</v>
      </c>
      <c r="L27" s="28" cm="1">
        <f t="array" ref="L27">BS_Greek("PUT","GAMMA",$A27,$B$1,$B$2,$B$3,L$6)</f>
        <v>6.5999568536451924E-3</v>
      </c>
      <c r="M27" s="28" cm="1">
        <f t="array" ref="M27">BS_Greek("PUT","GAMMA",$A27,$B$1,$B$2,$B$3,M$6)</f>
        <v>9.1771016304238069E-3</v>
      </c>
      <c r="N27" s="28" cm="1">
        <f t="array" ref="N27">BS_Greek("PUT","GAMMA",$A27,$B$1,$B$2,$B$3,N$6)</f>
        <v>1.0313315500073909E-2</v>
      </c>
      <c r="O27" s="29" cm="1">
        <f t="array" ref="O27">BS_Greek("PUT","GAMMA",$A27,$B$1,$B$2,$B$3,O$6)</f>
        <v>1.073708151996329E-2</v>
      </c>
      <c r="Q27" s="15">
        <v>60</v>
      </c>
      <c r="R27" s="27" cm="1">
        <f t="array" ref="R27">BS_Greek("PUT","GAMMA",$Q27,$B$1,$B$2,$R$3,R$6)</f>
        <v>4.8371729163416148E-8</v>
      </c>
      <c r="S27" s="28" cm="1">
        <f t="array" ref="S27">BS_Greek("PUT","GAMMA",$Q27,$B$1,$B$2,$R$3,S$6)</f>
        <v>4.8005602280442924E-5</v>
      </c>
      <c r="T27" s="28" cm="1">
        <f t="array" ref="T27">BS_Greek("PUT","GAMMA",$Q27,$B$1,$B$2,$R$3,T$6)</f>
        <v>4.3836057898992057E-4</v>
      </c>
      <c r="U27" s="28" cm="1">
        <f t="array" ref="U27">BS_Greek("PUT","GAMMA",$Q27,$B$1,$B$2,$R$3,U$6)</f>
        <v>1.2684980236185477E-3</v>
      </c>
      <c r="V27" s="28" cm="1">
        <f t="array" ref="V27">BS_Greek("PUT","GAMMA",$Q27,$B$1,$B$2,$R$3,V$6)</f>
        <v>2.3382957957450976E-3</v>
      </c>
      <c r="W27" s="28" cm="1">
        <f t="array" ref="W27">BS_Greek("PUT","GAMMA",$Q27,$B$1,$B$2,$R$3,W$6)</f>
        <v>3.4549517028754709E-3</v>
      </c>
      <c r="X27" s="28" cm="1">
        <f t="array" ref="X27">BS_Greek("PUT","GAMMA",$Q27,$B$1,$B$2,$R$3,X$6)</f>
        <v>4.5096296845151063E-3</v>
      </c>
      <c r="Y27" s="28" cm="1">
        <f t="array" ref="Y27">BS_Greek("PUT","GAMMA",$Q27,$B$1,$B$2,$R$3,Y$6)</f>
        <v>5.4555892387964195E-3</v>
      </c>
      <c r="Z27" s="28" cm="1">
        <f t="array" ref="Z27">BS_Greek("PUT","GAMMA",$Q27,$B$1,$B$2,$R$3,Z$6)</f>
        <v>6.2802722099484769E-3</v>
      </c>
      <c r="AA27" s="28" cm="1">
        <f t="array" ref="AA27">BS_Greek("PUT","GAMMA",$Q27,$B$1,$B$2,$R$3,AA$6)</f>
        <v>6.9875383385906891E-3</v>
      </c>
      <c r="AB27" s="28" cm="1">
        <f t="array" ref="AB27">BS_Greek("PUT","GAMMA",$Q27,$B$1,$B$2,$R$3,AB$6)</f>
        <v>1.0030097674802636E-2</v>
      </c>
      <c r="AC27" s="28" cm="1">
        <f t="array" ref="AC27">BS_Greek("PUT","GAMMA",$Q27,$B$1,$B$2,$R$3,AC$6)</f>
        <v>1.0253980286650038E-2</v>
      </c>
      <c r="AD27" s="28" cm="1">
        <f t="array" ref="AD27">BS_Greek("PUT","GAMMA",$Q27,$B$1,$B$2,$R$3,AD$6)</f>
        <v>9.8534950455954461E-3</v>
      </c>
      <c r="AE27" s="29" cm="1">
        <f t="array" ref="AE27">BS_Greek("PUT","GAMMA",$Q27,$B$1,$B$2,$R$3,AE$6)</f>
        <v>9.3178601442685666E-3</v>
      </c>
      <c r="AG27" s="15">
        <v>60</v>
      </c>
      <c r="AH27" s="27" cm="1">
        <f t="array" ref="AH27">BS_Greek("PUT","GAMMA",$AG27,$B$1,$B$2,$AH$3,AH$26)</f>
        <v>9.8181668070309807E-58</v>
      </c>
      <c r="AI27" s="28" cm="1">
        <f t="array" ref="AI27">BS_Greek("PUT","GAMMA",$AG27,$B$1,$B$2,$AH$3,AI$26)</f>
        <v>1.4877614568192042E-29</v>
      </c>
      <c r="AJ27" s="28" cm="1">
        <f t="array" ref="AJ27">BS_Greek("PUT","GAMMA",$AG27,$B$1,$B$2,$AH$3,AJ$26)</f>
        <v>3.37158866065404E-20</v>
      </c>
      <c r="AK27" s="28" cm="1">
        <f t="array" ref="AK27">BS_Greek("PUT","GAMMA",$AG27,$B$1,$B$2,$AH$3,AK$26)</f>
        <v>1.5374265651823466E-15</v>
      </c>
      <c r="AL27" s="28" cm="1">
        <f t="array" ref="AL27">BS_Greek("PUT","GAMMA",$AG27,$B$1,$B$2,$AH$3,AL$26)</f>
        <v>9.3540877738932821E-13</v>
      </c>
      <c r="AM27" s="28" cm="1">
        <f t="array" ref="AM27">BS_Greek("PUT","GAMMA",$AG27,$B$1,$B$2,$AH$3,AM$26)</f>
        <v>6.60221001258594E-11</v>
      </c>
      <c r="AN27" s="28" cm="1">
        <f t="array" ref="AN27">BS_Greek("PUT","GAMMA",$AG27,$B$1,$B$2,$AH$3,AN$26)</f>
        <v>1.3641015888556874E-9</v>
      </c>
      <c r="AO27" s="28" cm="1">
        <f t="array" ref="AO27">BS_Greek("PUT","GAMMA",$AG27,$B$1,$B$2,$AH$3,AO$26)</f>
        <v>1.309790020055326E-8</v>
      </c>
      <c r="AP27" s="28" cm="1">
        <f t="array" ref="AP27">BS_Greek("PUT","GAMMA",$AG27,$B$1,$B$2,$AH$3,AP$26)</f>
        <v>7.5530633187758507E-8</v>
      </c>
      <c r="AQ27" s="28" cm="1">
        <f t="array" ref="AQ27">BS_Greek("PUT","GAMMA",$AG27,$B$1,$B$2,$AH$3,AQ$26)</f>
        <v>3.0503159925846771E-7</v>
      </c>
      <c r="AR27" s="28" cm="1">
        <f t="array" ref="AR27">BS_Greek("PUT","GAMMA",$AG27,$B$1,$B$2,$AH$3,AR$26)</f>
        <v>1.4524281869372614E-4</v>
      </c>
      <c r="AS27" s="28" cm="1">
        <f t="array" ref="AS27">BS_Greek("PUT","GAMMA",$AG27,$B$1,$B$2,$AH$3,AS$26)</f>
        <v>1.0316841901525139E-3</v>
      </c>
      <c r="AT27" s="28" cm="1">
        <f t="array" ref="AT27">BS_Greek("PUT","GAMMA",$AG27,$B$1,$B$2,$AH$3,AT$26)</f>
        <v>2.6204952010288863E-3</v>
      </c>
      <c r="AU27" s="29" cm="1">
        <f t="array" ref="AU27">BS_Greek("PUT","GAMMA",$AG27,$B$1,$B$2,$AH$3,AU$26)</f>
        <v>4.4499754398238511E-3</v>
      </c>
    </row>
    <row r="28" spans="1:47" x14ac:dyDescent="0.2">
      <c r="A28" s="15">
        <v>65</v>
      </c>
      <c r="B28" s="30" cm="1">
        <f t="array" ref="B28">BS_Greek("PUT","GAMMA",$A28,$B$1,$B$2,$B$3,B$6)</f>
        <v>1.1286957540817281E-11</v>
      </c>
      <c r="C28" s="18" cm="1">
        <f t="array" ref="C28">BS_Greek("PUT","GAMMA",$A28,$B$1,$B$2,$B$3,C$6)</f>
        <v>8.6832323834608022E-7</v>
      </c>
      <c r="D28" s="18" cm="1">
        <f t="array" ref="D28">BS_Greek("PUT","GAMMA",$A28,$B$1,$B$2,$B$3,D$6)</f>
        <v>3.3820751258091636E-5</v>
      </c>
      <c r="E28" s="18" cm="1">
        <f t="array" ref="E28">BS_Greek("PUT","GAMMA",$A28,$B$1,$B$2,$B$3,E$6)</f>
        <v>2.0218238688417132E-4</v>
      </c>
      <c r="F28" s="18" cm="1">
        <f t="array" ref="F28">BS_Greek("PUT","GAMMA",$A28,$B$1,$B$2,$B$3,F$6)</f>
        <v>5.7611680391896742E-4</v>
      </c>
      <c r="G28" s="18" cm="1">
        <f t="array" ref="G28">BS_Greek("PUT","GAMMA",$A28,$B$1,$B$2,$B$3,G$6)</f>
        <v>1.1382523244176247E-3</v>
      </c>
      <c r="H28" s="18" cm="1">
        <f t="array" ref="H28">BS_Greek("PUT","GAMMA",$A28,$B$1,$B$2,$B$3,H$6)</f>
        <v>1.8286848240875091E-3</v>
      </c>
      <c r="I28" s="18" cm="1">
        <f t="array" ref="I28">BS_Greek("PUT","GAMMA",$A28,$B$1,$B$2,$B$3,I$6)</f>
        <v>2.585538590771336E-3</v>
      </c>
      <c r="J28" s="18" cm="1">
        <f t="array" ref="J28">BS_Greek("PUT","GAMMA",$A28,$B$1,$B$2,$B$3,J$6)</f>
        <v>3.3605151026574525E-3</v>
      </c>
      <c r="K28" s="18" cm="1">
        <f t="array" ref="K28">BS_Greek("PUT","GAMMA",$A28,$B$1,$B$2,$B$3,K$6)</f>
        <v>4.1207309613217006E-3</v>
      </c>
      <c r="L28" s="18" cm="1">
        <f t="array" ref="L28">BS_Greek("PUT","GAMMA",$A28,$B$1,$B$2,$B$3,L$6)</f>
        <v>9.1893387459059377E-3</v>
      </c>
      <c r="M28" s="18" cm="1">
        <f t="array" ref="M28">BS_Greek("PUT","GAMMA",$A28,$B$1,$B$2,$B$3,M$6)</f>
        <v>1.0920849507992856E-2</v>
      </c>
      <c r="N28" s="18" cm="1">
        <f t="array" ref="N28">BS_Greek("PUT","GAMMA",$A28,$B$1,$B$2,$B$3,N$6)</f>
        <v>1.1346268148064857E-2</v>
      </c>
      <c r="O28" s="31" cm="1">
        <f t="array" ref="O28">BS_Greek("PUT","GAMMA",$A28,$B$1,$B$2,$B$3,O$6)</f>
        <v>1.1268946181697022E-2</v>
      </c>
      <c r="Q28" s="15">
        <v>65</v>
      </c>
      <c r="R28" s="30" cm="1">
        <f t="array" ref="R28">BS_Greek("PUT","GAMMA",$Q28,$B$1,$B$2,$R$3,R$6)</f>
        <v>2.7992835519207707E-6</v>
      </c>
      <c r="S28" s="18" cm="1">
        <f t="array" ref="S28">BS_Greek("PUT","GAMMA",$Q28,$B$1,$B$2,$R$3,S$6)</f>
        <v>3.4238659642402483E-4</v>
      </c>
      <c r="T28" s="18" cm="1">
        <f t="array" ref="T28">BS_Greek("PUT","GAMMA",$Q28,$B$1,$B$2,$R$3,T$6)</f>
        <v>1.5558922158995399E-3</v>
      </c>
      <c r="U28" s="18" cm="1">
        <f t="array" ref="U28">BS_Greek("PUT","GAMMA",$Q28,$B$1,$B$2,$R$3,U$6)</f>
        <v>3.1761382873591237E-3</v>
      </c>
      <c r="V28" s="18" cm="1">
        <f t="array" ref="V28">BS_Greek("PUT","GAMMA",$Q28,$B$1,$B$2,$R$3,V$6)</f>
        <v>4.7488233231175476E-3</v>
      </c>
      <c r="W28" s="18" cm="1">
        <f t="array" ref="W28">BS_Greek("PUT","GAMMA",$Q28,$B$1,$B$2,$R$3,W$6)</f>
        <v>6.1025757786037117E-3</v>
      </c>
      <c r="X28" s="18" cm="1">
        <f t="array" ref="X28">BS_Greek("PUT","GAMMA",$Q28,$B$1,$B$2,$R$3,X$6)</f>
        <v>7.2096701015754916E-3</v>
      </c>
      <c r="Y28" s="18" cm="1">
        <f t="array" ref="Y28">BS_Greek("PUT","GAMMA",$Q28,$B$1,$B$2,$R$3,Y$6)</f>
        <v>8.0936358441935641E-3</v>
      </c>
      <c r="Z28" s="18" cm="1">
        <f t="array" ref="Z28">BS_Greek("PUT","GAMMA",$Q28,$B$1,$B$2,$R$3,Z$6)</f>
        <v>8.7907122230331206E-3</v>
      </c>
      <c r="AA28" s="18" cm="1">
        <f t="array" ref="AA28">BS_Greek("PUT","GAMMA",$Q28,$B$1,$B$2,$R$3,AA$6)</f>
        <v>9.336082432746199E-3</v>
      </c>
      <c r="AB28" s="18" cm="1">
        <f t="array" ref="AB28">BS_Greek("PUT","GAMMA",$Q28,$B$1,$B$2,$R$3,AB$6)</f>
        <v>1.0869825982032191E-2</v>
      </c>
      <c r="AC28" s="18" cm="1">
        <f t="array" ref="AC28">BS_Greek("PUT","GAMMA",$Q28,$B$1,$B$2,$R$3,AC$6)</f>
        <v>1.0363399155444453E-2</v>
      </c>
      <c r="AD28" s="18" cm="1">
        <f t="array" ref="AD28">BS_Greek("PUT","GAMMA",$Q28,$B$1,$B$2,$R$3,AD$6)</f>
        <v>9.6171460019162294E-3</v>
      </c>
      <c r="AE28" s="31" cm="1">
        <f t="array" ref="AE28">BS_Greek("PUT","GAMMA",$Q28,$B$1,$B$2,$R$3,AE$6)</f>
        <v>8.9059405124312912E-3</v>
      </c>
      <c r="AG28" s="15">
        <v>65</v>
      </c>
      <c r="AH28" s="30" cm="1">
        <f t="array" ref="AH28">BS_Greek("PUT","GAMMA",$AG28,$B$1,$B$2,$AH$3,AH$26)</f>
        <v>1.8675541334492263E-41</v>
      </c>
      <c r="AI28" s="18" cm="1">
        <f t="array" ref="AI28">BS_Greek("PUT","GAMMA",$AG28,$B$1,$B$2,$AH$3,AI$26)</f>
        <v>1.8565304082520432E-21</v>
      </c>
      <c r="AJ28" s="18" cm="1">
        <f t="array" ref="AJ28">BS_Greek("PUT","GAMMA",$AG28,$B$1,$B$2,$AH$3,AJ$26)</f>
        <v>7.8761142092032751E-15</v>
      </c>
      <c r="AK28" s="18" cm="1">
        <f t="array" ref="AK28">BS_Greek("PUT","GAMMA",$AG28,$B$1,$B$2,$AH$3,AK$26)</f>
        <v>1.553910960400279E-11</v>
      </c>
      <c r="AL28" s="18" cm="1">
        <f t="array" ref="AL28">BS_Greek("PUT","GAMMA",$AG28,$B$1,$B$2,$AH$3,AL$26)</f>
        <v>1.4365666725428593E-9</v>
      </c>
      <c r="AM28" s="18" cm="1">
        <f t="array" ref="AM28">BS_Greek("PUT","GAMMA",$AG28,$B$1,$B$2,$AH$3,AM$26)</f>
        <v>2.8871903156587547E-8</v>
      </c>
      <c r="AN28" s="18" cm="1">
        <f t="array" ref="AN28">BS_Greek("PUT","GAMMA",$AG28,$B$1,$B$2,$AH$3,AN$26)</f>
        <v>2.4319945667214557E-7</v>
      </c>
      <c r="AO28" s="18" cm="1">
        <f t="array" ref="AO28">BS_Greek("PUT","GAMMA",$AG28,$B$1,$B$2,$AH$3,AO$26)</f>
        <v>1.1914200891051552E-6</v>
      </c>
      <c r="AP28" s="18" cm="1">
        <f t="array" ref="AP28">BS_Greek("PUT","GAMMA",$AG28,$B$1,$B$2,$AH$3,AP$26)</f>
        <v>4.070790527191798E-6</v>
      </c>
      <c r="AQ28" s="18" cm="1">
        <f t="array" ref="AQ28">BS_Greek("PUT","GAMMA",$AG28,$B$1,$B$2,$AH$3,AQ$26)</f>
        <v>1.0815693509621757E-5</v>
      </c>
      <c r="AR28" s="18" cm="1">
        <f t="array" ref="AR28">BS_Greek("PUT","GAMMA",$AG28,$B$1,$B$2,$AH$3,AR$26)</f>
        <v>7.8252244975754123E-4</v>
      </c>
      <c r="AS28" s="18" cm="1">
        <f t="array" ref="AS28">BS_Greek("PUT","GAMMA",$AG28,$B$1,$B$2,$AH$3,AS$26)</f>
        <v>2.9660589498737315E-3</v>
      </c>
      <c r="AT28" s="18" cm="1">
        <f t="array" ref="AT28">BS_Greek("PUT","GAMMA",$AG28,$B$1,$B$2,$AH$3,AT$26)</f>
        <v>5.5034091875470377E-3</v>
      </c>
      <c r="AU28" s="31" cm="1">
        <f t="array" ref="AU28">BS_Greek("PUT","GAMMA",$AG28,$B$1,$B$2,$AH$3,AU$26)</f>
        <v>7.7406121902881759E-3</v>
      </c>
    </row>
    <row r="29" spans="1:47" x14ac:dyDescent="0.2">
      <c r="A29" s="15">
        <v>70</v>
      </c>
      <c r="B29" s="30" cm="1">
        <f t="array" ref="B29">BS_Greek("PUT","GAMMA",$A29,$B$1,$B$2,$B$3,B$6)</f>
        <v>1.4597010892531749E-8</v>
      </c>
      <c r="C29" s="18" cm="1">
        <f t="array" ref="C29">BS_Greek("PUT","GAMMA",$A29,$B$1,$B$2,$B$3,C$6)</f>
        <v>2.9265998523210966E-5</v>
      </c>
      <c r="D29" s="18" cm="1">
        <f t="array" ref="D29">BS_Greek("PUT","GAMMA",$A29,$B$1,$B$2,$B$3,D$6)</f>
        <v>3.3795857220289077E-4</v>
      </c>
      <c r="E29" s="18" cm="1">
        <f t="array" ref="E29">BS_Greek("PUT","GAMMA",$A29,$B$1,$B$2,$B$3,E$6)</f>
        <v>1.100075981489598E-3</v>
      </c>
      <c r="F29" s="18" cm="1">
        <f t="array" ref="F29">BS_Greek("PUT","GAMMA",$A29,$B$1,$B$2,$B$3,F$6)</f>
        <v>2.1766539744157011E-3</v>
      </c>
      <c r="G29" s="18" cm="1">
        <f t="array" ref="G29">BS_Greek("PUT","GAMMA",$A29,$B$1,$B$2,$B$3,G$6)</f>
        <v>3.3722289783455596E-3</v>
      </c>
      <c r="H29" s="18" cm="1">
        <f t="array" ref="H29">BS_Greek("PUT","GAMMA",$A29,$B$1,$B$2,$B$3,H$6)</f>
        <v>4.5539531232495038E-3</v>
      </c>
      <c r="I29" s="18" cm="1">
        <f t="array" ref="I29">BS_Greek("PUT","GAMMA",$A29,$B$1,$B$2,$B$3,I$6)</f>
        <v>5.6523508060789462E-3</v>
      </c>
      <c r="J29" s="18" cm="1">
        <f t="array" ref="J29">BS_Greek("PUT","GAMMA",$A29,$B$1,$B$2,$B$3,J$6)</f>
        <v>6.6387114573764538E-3</v>
      </c>
      <c r="K29" s="18" cm="1">
        <f t="array" ref="K29">BS_Greek("PUT","GAMMA",$A29,$B$1,$B$2,$B$3,K$6)</f>
        <v>7.5067523489369872E-3</v>
      </c>
      <c r="L29" s="18" cm="1">
        <f t="array" ref="L29">BS_Greek("PUT","GAMMA",$A29,$B$1,$B$2,$B$3,L$6)</f>
        <v>1.1624159945686188E-2</v>
      </c>
      <c r="M29" s="18" cm="1">
        <f t="array" ref="M29">BS_Greek("PUT","GAMMA",$A29,$B$1,$B$2,$B$3,M$6)</f>
        <v>1.2233016676571298E-2</v>
      </c>
      <c r="N29" s="18" cm="1">
        <f t="array" ref="N29">BS_Greek("PUT","GAMMA",$A29,$B$1,$B$2,$B$3,N$6)</f>
        <v>1.1959970353331821E-2</v>
      </c>
      <c r="O29" s="31" cm="1">
        <f t="array" ref="O29">BS_Greek("PUT","GAMMA",$A29,$B$1,$B$2,$B$3,O$6)</f>
        <v>1.1453027766679769E-2</v>
      </c>
      <c r="Q29" s="15">
        <v>70</v>
      </c>
      <c r="R29" s="30" cm="1">
        <f t="array" ref="R29">BS_Greek("PUT","GAMMA",$Q29,$B$1,$B$2,$R$3,R$6)</f>
        <v>6.35621151820228E-5</v>
      </c>
      <c r="S29" s="18" cm="1">
        <f t="array" ref="S29">BS_Greek("PUT","GAMMA",$Q29,$B$1,$B$2,$R$3,S$6)</f>
        <v>1.5369719040112578E-3</v>
      </c>
      <c r="T29" s="18" cm="1">
        <f t="array" ref="T29">BS_Greek("PUT","GAMMA",$Q29,$B$1,$B$2,$R$3,T$6)</f>
        <v>4.068752351690158E-3</v>
      </c>
      <c r="U29" s="18" cm="1">
        <f t="array" ref="U29">BS_Greek("PUT","GAMMA",$Q29,$B$1,$B$2,$R$3,U$6)</f>
        <v>6.3393895489089096E-3</v>
      </c>
      <c r="V29" s="18" cm="1">
        <f t="array" ref="V29">BS_Greek("PUT","GAMMA",$Q29,$B$1,$B$2,$R$3,V$6)</f>
        <v>8.059977346624966E-3</v>
      </c>
      <c r="W29" s="18" cm="1">
        <f t="array" ref="W29">BS_Greek("PUT","GAMMA",$Q29,$B$1,$B$2,$R$3,W$6)</f>
        <v>9.296671919160799E-3</v>
      </c>
      <c r="X29" s="18" cm="1">
        <f t="array" ref="X29">BS_Greek("PUT","GAMMA",$Q29,$B$1,$B$2,$R$3,X$6)</f>
        <v>1.0167303762997194E-2</v>
      </c>
      <c r="Y29" s="18" cm="1">
        <f t="array" ref="Y29">BS_Greek("PUT","GAMMA",$Q29,$B$1,$B$2,$R$3,Y$6)</f>
        <v>1.0771870609204374E-2</v>
      </c>
      <c r="Z29" s="18" cm="1">
        <f t="array" ref="Z29">BS_Greek("PUT","GAMMA",$Q29,$B$1,$B$2,$R$3,Z$6)</f>
        <v>1.1184482954854207E-2</v>
      </c>
      <c r="AA29" s="18" cm="1">
        <f t="array" ref="AA29">BS_Greek("PUT","GAMMA",$Q29,$B$1,$B$2,$R$3,AA$6)</f>
        <v>1.1458084787714838E-2</v>
      </c>
      <c r="AB29" s="18" cm="1">
        <f t="array" ref="AB29">BS_Greek("PUT","GAMMA",$Q29,$B$1,$B$2,$R$3,AB$6)</f>
        <v>1.1344091423781004E-2</v>
      </c>
      <c r="AC29" s="18" cm="1">
        <f t="array" ref="AC29">BS_Greek("PUT","GAMMA",$Q29,$B$1,$B$2,$R$3,AC$6)</f>
        <v>1.0246666696571996E-2</v>
      </c>
      <c r="AD29" s="18" cm="1">
        <f t="array" ref="AD29">BS_Greek("PUT","GAMMA",$Q29,$B$1,$B$2,$R$3,AD$6)</f>
        <v>9.255358000051405E-3</v>
      </c>
      <c r="AE29" s="31" cm="1">
        <f t="array" ref="AE29">BS_Greek("PUT","GAMMA",$Q29,$B$1,$B$2,$R$3,AE$6)</f>
        <v>8.4330908674948215E-3</v>
      </c>
      <c r="AG29" s="15">
        <v>70</v>
      </c>
      <c r="AH29" s="30" cm="1">
        <f t="array" ref="AH29">BS_Greek("PUT","GAMMA",$AG29,$B$1,$B$2,$AH$3,AH$26)</f>
        <v>7.2920970083606943E-29</v>
      </c>
      <c r="AI29" s="18" cm="1">
        <f t="array" ref="AI29">BS_Greek("PUT","GAMMA",$AG29,$B$1,$B$2,$AH$3,AI$26)</f>
        <v>3.3439581371571192E-15</v>
      </c>
      <c r="AJ29" s="18" cm="1">
        <f t="array" ref="AJ29">BS_Greek("PUT","GAMMA",$AG29,$B$1,$B$2,$AH$3,AJ$26)</f>
        <v>1.0961347486332762E-10</v>
      </c>
      <c r="AK29" s="18" cm="1">
        <f t="array" ref="AK29">BS_Greek("PUT","GAMMA",$AG29,$B$1,$B$2,$AH$3,AK$26)</f>
        <v>1.9009673521623239E-8</v>
      </c>
      <c r="AL29" s="18" cm="1">
        <f t="array" ref="AL29">BS_Greek("PUT","GAMMA",$AG29,$B$1,$B$2,$AH$3,AL$26)</f>
        <v>4.0857545005606403E-7</v>
      </c>
      <c r="AM29" s="18" cm="1">
        <f t="array" ref="AM29">BS_Greek("PUT","GAMMA",$AG29,$B$1,$B$2,$AH$3,AM$26)</f>
        <v>3.1047063387496911E-6</v>
      </c>
      <c r="AN29" s="18" cm="1">
        <f t="array" ref="AN29">BS_Greek("PUT","GAMMA",$AG29,$B$1,$B$2,$AH$3,AN$26)</f>
        <v>1.3055468334454288E-5</v>
      </c>
      <c r="AO29" s="18" cm="1">
        <f t="array" ref="AO29">BS_Greek("PUT","GAMMA",$AG29,$B$1,$B$2,$AH$3,AO$26)</f>
        <v>3.7984667450688666E-5</v>
      </c>
      <c r="AP29" s="18" cm="1">
        <f t="array" ref="AP29">BS_Greek("PUT","GAMMA",$AG29,$B$1,$B$2,$AH$3,AP$26)</f>
        <v>8.6540937665519226E-5</v>
      </c>
      <c r="AQ29" s="18" cm="1">
        <f t="array" ref="AQ29">BS_Greek("PUT","GAMMA",$AG29,$B$1,$B$2,$AH$3,AQ$26)</f>
        <v>1.6626343859570762E-4</v>
      </c>
      <c r="AR29" s="18" cm="1">
        <f t="array" ref="AR29">BS_Greek("PUT","GAMMA",$AG29,$B$1,$B$2,$AH$3,AR$26)</f>
        <v>2.7966437332461501E-3</v>
      </c>
      <c r="AS29" s="18" cm="1">
        <f t="array" ref="AS29">BS_Greek("PUT","GAMMA",$AG29,$B$1,$B$2,$AH$3,AS$26)</f>
        <v>6.5180762218454997E-3</v>
      </c>
      <c r="AT29" s="18" cm="1">
        <f t="array" ref="AT29">BS_Greek("PUT","GAMMA",$AG29,$B$1,$B$2,$AH$3,AT$26)</f>
        <v>9.4835539632301003E-3</v>
      </c>
      <c r="AU29" s="31" cm="1">
        <f t="array" ref="AU29">BS_Greek("PUT","GAMMA",$AG29,$B$1,$B$2,$AH$3,AU$26)</f>
        <v>1.1528012005023357E-2</v>
      </c>
    </row>
    <row r="30" spans="1:47" x14ac:dyDescent="0.2">
      <c r="A30" s="15">
        <v>75</v>
      </c>
      <c r="B30" s="30" cm="1">
        <f t="array" ref="B30">BS_Greek("PUT","GAMMA",$A30,$B$1,$B$2,$B$3,B$6)</f>
        <v>3.3512354645083046E-6</v>
      </c>
      <c r="C30" s="18" cm="1">
        <f t="array" ref="C30">BS_Greek("PUT","GAMMA",$A30,$B$1,$B$2,$B$3,C$6)</f>
        <v>4.1746111765088794E-4</v>
      </c>
      <c r="D30" s="18" cm="1">
        <f t="array" ref="D30">BS_Greek("PUT","GAMMA",$A30,$B$1,$B$2,$B$3,D$6)</f>
        <v>1.9093551185000314E-3</v>
      </c>
      <c r="E30" s="18" cm="1">
        <f t="array" ref="E30">BS_Greek("PUT","GAMMA",$A30,$B$1,$B$2,$B$3,E$6)</f>
        <v>3.9113907532951553E-3</v>
      </c>
      <c r="F30" s="18" cm="1">
        <f t="array" ref="F30">BS_Greek("PUT","GAMMA",$A30,$B$1,$B$2,$B$3,F$6)</f>
        <v>5.8617741810673704E-3</v>
      </c>
      <c r="G30" s="18" cm="1">
        <f t="array" ref="G30">BS_Greek("PUT","GAMMA",$A30,$B$1,$B$2,$B$3,G$6)</f>
        <v>7.5458967272333394E-3</v>
      </c>
      <c r="H30" s="18" cm="1">
        <f t="array" ref="H30">BS_Greek("PUT","GAMMA",$A30,$B$1,$B$2,$B$3,H$6)</f>
        <v>8.9273180622224217E-3</v>
      </c>
      <c r="I30" s="18" cm="1">
        <f t="array" ref="I30">BS_Greek("PUT","GAMMA",$A30,$B$1,$B$2,$B$3,I$6)</f>
        <v>1.0033802504733586E-2</v>
      </c>
      <c r="J30" s="18" cm="1">
        <f t="array" ref="J30">BS_Greek("PUT","GAMMA",$A30,$B$1,$B$2,$B$3,J$6)</f>
        <v>1.090940622330224E-2</v>
      </c>
      <c r="K30" s="18" cm="1">
        <f t="array" ref="K30">BS_Greek("PUT","GAMMA",$A30,$B$1,$B$2,$B$3,K$6)</f>
        <v>1.1597225794774839E-2</v>
      </c>
      <c r="L30" s="18" cm="1">
        <f t="array" ref="L30">BS_Greek("PUT","GAMMA",$A30,$B$1,$B$2,$B$3,L$6)</f>
        <v>1.3601749391133747E-2</v>
      </c>
      <c r="M30" s="18" cm="1">
        <f t="array" ref="M30">BS_Greek("PUT","GAMMA",$A30,$B$1,$B$2,$B$3,M$6)</f>
        <v>1.304799601147523E-2</v>
      </c>
      <c r="N30" s="18" cm="1">
        <f t="array" ref="N30">BS_Greek("PUT","GAMMA",$A30,$B$1,$B$2,$B$3,N$6)</f>
        <v>1.2179483699411454E-2</v>
      </c>
      <c r="O30" s="31" cm="1">
        <f t="array" ref="O30">BS_Greek("PUT","GAMMA",$A30,$B$1,$B$2,$B$3,O$6)</f>
        <v>1.1343634002882845E-2</v>
      </c>
      <c r="Q30" s="15">
        <v>75</v>
      </c>
      <c r="R30" s="30" cm="1">
        <f t="array" ref="R30">BS_Greek("PUT","GAMMA",$Q30,$B$1,$B$2,$R$3,R$6)</f>
        <v>6.7225819369320016E-4</v>
      </c>
      <c r="S30" s="18" cm="1">
        <f t="array" ref="S30">BS_Greek("PUT","GAMMA",$Q30,$B$1,$B$2,$R$3,S$6)</f>
        <v>4.7282210181891797E-3</v>
      </c>
      <c r="T30" s="18" cm="1">
        <f t="array" ref="T30">BS_Greek("PUT","GAMMA",$Q30,$B$1,$B$2,$R$3,T$6)</f>
        <v>8.2932442565351958E-3</v>
      </c>
      <c r="U30" s="18" cm="1">
        <f t="array" ref="U30">BS_Greek("PUT","GAMMA",$Q30,$B$1,$B$2,$R$3,U$6)</f>
        <v>1.0517834159617732E-2</v>
      </c>
      <c r="V30" s="18" cm="1">
        <f t="array" ref="V30">BS_Greek("PUT","GAMMA",$Q30,$B$1,$B$2,$R$3,V$6)</f>
        <v>1.1819037433225307E-2</v>
      </c>
      <c r="W30" s="18" cm="1">
        <f t="array" ref="W30">BS_Greek("PUT","GAMMA",$Q30,$B$1,$B$2,$R$3,W$6)</f>
        <v>1.255515456723554E-2</v>
      </c>
      <c r="X30" s="18" cm="1">
        <f t="array" ref="X30">BS_Greek("PUT","GAMMA",$Q30,$B$1,$B$2,$R$3,X$6)</f>
        <v>1.2946786325768763E-2</v>
      </c>
      <c r="Y30" s="18" cm="1">
        <f t="array" ref="Y30">BS_Greek("PUT","GAMMA",$Q30,$B$1,$B$2,$R$3,Y$6)</f>
        <v>1.3124825156577537E-2</v>
      </c>
      <c r="Z30" s="18" cm="1">
        <f t="array" ref="Z30">BS_Greek("PUT","GAMMA",$Q30,$B$1,$B$2,$R$3,Z$6)</f>
        <v>1.3168033532704496E-2</v>
      </c>
      <c r="AA30" s="18" cm="1">
        <f t="array" ref="AA30">BS_Greek("PUT","GAMMA",$Q30,$B$1,$B$2,$R$3,AA$6)</f>
        <v>1.3124994619891273E-2</v>
      </c>
      <c r="AB30" s="18" cm="1">
        <f t="array" ref="AB30">BS_Greek("PUT","GAMMA",$Q30,$B$1,$B$2,$R$3,AB$6)</f>
        <v>1.1484873818246508E-2</v>
      </c>
      <c r="AC30" s="18" cm="1">
        <f t="array" ref="AC30">BS_Greek("PUT","GAMMA",$Q30,$B$1,$B$2,$R$3,AC$6)</f>
        <v>9.9554811818721185E-3</v>
      </c>
      <c r="AD30" s="18" cm="1">
        <f t="array" ref="AD30">BS_Greek("PUT","GAMMA",$Q30,$B$1,$B$2,$R$3,AD$6)</f>
        <v>8.8091587418353077E-3</v>
      </c>
      <c r="AE30" s="31" cm="1">
        <f t="array" ref="AE30">BS_Greek("PUT","GAMMA",$Q30,$B$1,$B$2,$R$3,AE$6)</f>
        <v>7.9280236081079453E-3</v>
      </c>
      <c r="AG30" s="15">
        <v>75</v>
      </c>
      <c r="AH30" s="30" cm="1">
        <f t="array" ref="AH30">BS_Greek("PUT","GAMMA",$AG30,$B$1,$B$2,$AH$3,AH$26)</f>
        <v>2.7634460319906593E-19</v>
      </c>
      <c r="AI30" s="18" cm="1">
        <f t="array" ref="AI30">BS_Greek("PUT","GAMMA",$AG30,$B$1,$B$2,$AH$3,AI$26)</f>
        <v>1.8884525527510622E-10</v>
      </c>
      <c r="AJ30" s="18" cm="1">
        <f t="array" ref="AJ30">BS_Greek("PUT","GAMMA",$AG30,$B$1,$B$2,$AH$3,AJ$26)</f>
        <v>1.523320979336045E-7</v>
      </c>
      <c r="AK30" s="18" cm="1">
        <f t="array" ref="AK30">BS_Greek("PUT","GAMMA",$AG30,$B$1,$B$2,$AH$3,AK$26)</f>
        <v>4.1442242901485525E-6</v>
      </c>
      <c r="AL30" s="18" cm="1">
        <f t="array" ref="AL30">BS_Greek("PUT","GAMMA",$AG30,$B$1,$B$2,$AH$3,AL$26)</f>
        <v>2.931335523260756E-5</v>
      </c>
      <c r="AM30" s="18" cm="1">
        <f t="array" ref="AM30">BS_Greek("PUT","GAMMA",$AG30,$B$1,$B$2,$AH$3,AM$26)</f>
        <v>1.0617694808839044E-4</v>
      </c>
      <c r="AN30" s="18" cm="1">
        <f t="array" ref="AN30">BS_Greek("PUT","GAMMA",$AG30,$B$1,$B$2,$AH$3,AN$26)</f>
        <v>2.630006185665992E-4</v>
      </c>
      <c r="AO30" s="18" cm="1">
        <f t="array" ref="AO30">BS_Greek("PUT","GAMMA",$AG30,$B$1,$B$2,$AH$3,AO$26)</f>
        <v>5.1450381124671068E-4</v>
      </c>
      <c r="AP30" s="18" cm="1">
        <f t="array" ref="AP30">BS_Greek("PUT","GAMMA",$AG30,$B$1,$B$2,$AH$3,AP$26)</f>
        <v>8.6084583659867787E-4</v>
      </c>
      <c r="AQ30" s="18" cm="1">
        <f t="array" ref="AQ30">BS_Greek("PUT","GAMMA",$AG30,$B$1,$B$2,$AH$3,AQ$26)</f>
        <v>1.2919311227899846E-3</v>
      </c>
      <c r="AR30" s="18" cm="1">
        <f t="array" ref="AR30">BS_Greek("PUT","GAMMA",$AG30,$B$1,$B$2,$AH$3,AR$26)</f>
        <v>7.1516197776597054E-3</v>
      </c>
      <c r="AS30" s="18" cm="1">
        <f t="array" ref="AS30">BS_Greek("PUT","GAMMA",$AG30,$B$1,$B$2,$AH$3,AS$26)</f>
        <v>1.1507869542832888E-2</v>
      </c>
      <c r="AT30" s="18" cm="1">
        <f t="array" ref="AT30">BS_Greek("PUT","GAMMA",$AG30,$B$1,$B$2,$AH$3,AT$26)</f>
        <v>1.3912357420204602E-2</v>
      </c>
      <c r="AU30" s="31" cm="1">
        <f t="array" ref="AU30">BS_Greek("PUT","GAMMA",$AG30,$B$1,$B$2,$AH$3,AU$26)</f>
        <v>1.5132702486471092E-2</v>
      </c>
    </row>
    <row r="31" spans="1:47" x14ac:dyDescent="0.2">
      <c r="A31" s="15">
        <v>80</v>
      </c>
      <c r="B31" s="30" cm="1">
        <f t="array" ref="B31">BS_Greek("PUT","GAMMA",$A31,$B$1,$B$2,$B$3,B$6)</f>
        <v>1.8444991272199745E-4</v>
      </c>
      <c r="C31" s="18" cm="1">
        <f t="array" ref="C31">BS_Greek("PUT","GAMMA",$A31,$B$1,$B$2,$B$3,C$6)</f>
        <v>2.9270332354272232E-3</v>
      </c>
      <c r="D31" s="18" cm="1">
        <f t="array" ref="D31">BS_Greek("PUT","GAMMA",$A31,$B$1,$B$2,$B$3,D$6)</f>
        <v>6.7361389316554247E-3</v>
      </c>
      <c r="E31" s="18" cm="1">
        <f t="array" ref="E31">BS_Greek("PUT","GAMMA",$A31,$B$1,$B$2,$B$3,E$6)</f>
        <v>9.7884039294375228E-3</v>
      </c>
      <c r="F31" s="18" cm="1">
        <f t="array" ref="F31">BS_Greek("PUT","GAMMA",$A31,$B$1,$B$2,$B$3,F$6)</f>
        <v>1.1937780047109169E-2</v>
      </c>
      <c r="G31" s="18" cm="1">
        <f t="array" ref="G31">BS_Greek("PUT","GAMMA",$A31,$B$1,$B$2,$B$3,G$6)</f>
        <v>1.3395159432299537E-2</v>
      </c>
      <c r="H31" s="18" cm="1">
        <f t="array" ref="H31">BS_Greek("PUT","GAMMA",$A31,$B$1,$B$2,$B$3,H$6)</f>
        <v>1.4366321033900606E-2</v>
      </c>
      <c r="I31" s="18" cm="1">
        <f t="array" ref="I31">BS_Greek("PUT","GAMMA",$A31,$B$1,$B$2,$B$3,I$6)</f>
        <v>1.5001364182628535E-2</v>
      </c>
      <c r="J31" s="18" cm="1">
        <f t="array" ref="J31">BS_Greek("PUT","GAMMA",$A31,$B$1,$B$2,$B$3,J$6)</f>
        <v>1.5403132263133369E-2</v>
      </c>
      <c r="K31" s="18" cm="1">
        <f t="array" ref="K31">BS_Greek("PUT","GAMMA",$A31,$B$1,$B$2,$B$3,K$6)</f>
        <v>1.5641421674019225E-2</v>
      </c>
      <c r="L31" s="18" cm="1">
        <f t="array" ref="L31">BS_Greek("PUT","GAMMA",$A31,$B$1,$B$2,$B$3,L$6)</f>
        <v>1.4928999083209112E-2</v>
      </c>
      <c r="M31" s="18" cm="1">
        <f t="array" ref="M31">BS_Greek("PUT","GAMMA",$A31,$B$1,$B$2,$B$3,M$6)</f>
        <v>1.337060343987685E-2</v>
      </c>
      <c r="N31" s="18" cm="1">
        <f t="array" ref="N31">BS_Greek("PUT","GAMMA",$A31,$B$1,$B$2,$B$3,N$6)</f>
        <v>1.2059289097501428E-2</v>
      </c>
      <c r="O31" s="31" cm="1">
        <f t="array" ref="O31">BS_Greek("PUT","GAMMA",$A31,$B$1,$B$2,$B$3,O$6)</f>
        <v>1.1002627628314172E-2</v>
      </c>
      <c r="Q31" s="15">
        <v>80</v>
      </c>
      <c r="R31" s="30" cm="1">
        <f t="array" ref="R31">BS_Greek("PUT","GAMMA",$Q31,$B$1,$B$2,$R$3,R$6)</f>
        <v>3.7827836741325771E-3</v>
      </c>
      <c r="S31" s="18" cm="1">
        <f t="array" ref="S31">BS_Greek("PUT","GAMMA",$Q31,$B$1,$B$2,$R$3,S$6)</f>
        <v>1.0647723775453425E-2</v>
      </c>
      <c r="T31" s="18" cm="1">
        <f t="array" ref="T31">BS_Greek("PUT","GAMMA",$Q31,$B$1,$B$2,$R$3,T$6)</f>
        <v>1.3762943653982109E-2</v>
      </c>
      <c r="U31" s="18" cm="1">
        <f t="array" ref="U31">BS_Greek("PUT","GAMMA",$Q31,$B$1,$B$2,$R$3,U$6)</f>
        <v>1.4983978051139484E-2</v>
      </c>
      <c r="V31" s="18" cm="1">
        <f t="array" ref="V31">BS_Greek("PUT","GAMMA",$Q31,$B$1,$B$2,$R$3,V$6)</f>
        <v>1.5364246918448026E-2</v>
      </c>
      <c r="W31" s="18" cm="1">
        <f t="array" ref="W31">BS_Greek("PUT","GAMMA",$Q31,$B$1,$B$2,$R$3,W$6)</f>
        <v>1.5354539900425004E-2</v>
      </c>
      <c r="X31" s="18" cm="1">
        <f t="array" ref="X31">BS_Greek("PUT","GAMMA",$Q31,$B$1,$B$2,$R$3,X$6)</f>
        <v>1.5157858484034765E-2</v>
      </c>
      <c r="Y31" s="18" cm="1">
        <f t="array" ref="Y31">BS_Greek("PUT","GAMMA",$Q31,$B$1,$B$2,$R$3,Y$6)</f>
        <v>1.4871858249720593E-2</v>
      </c>
      <c r="Z31" s="18" cm="1">
        <f t="array" ref="Z31">BS_Greek("PUT","GAMMA",$Q31,$B$1,$B$2,$R$3,Z$6)</f>
        <v>1.4546046008012571E-2</v>
      </c>
      <c r="AA31" s="18" cm="1">
        <f t="array" ref="AA31">BS_Greek("PUT","GAMMA",$Q31,$B$1,$B$2,$R$3,AA$6)</f>
        <v>1.4206432265572271E-2</v>
      </c>
      <c r="AB31" s="18" cm="1">
        <f t="array" ref="AB31">BS_Greek("PUT","GAMMA",$Q31,$B$1,$B$2,$R$3,AB$6)</f>
        <v>1.1343327721716878E-2</v>
      </c>
      <c r="AC31" s="18" cm="1">
        <f t="array" ref="AC31">BS_Greek("PUT","GAMMA",$Q31,$B$1,$B$2,$R$3,AC$6)</f>
        <v>9.5371649510801199E-3</v>
      </c>
      <c r="AD31" s="18" cm="1">
        <f t="array" ref="AD31">BS_Greek("PUT","GAMMA",$Q31,$B$1,$B$2,$R$3,AD$6)</f>
        <v>8.3111834375704362E-3</v>
      </c>
      <c r="AE31" s="31" cm="1">
        <f t="array" ref="AE31">BS_Greek("PUT","GAMMA",$Q31,$B$1,$B$2,$R$3,AE$6)</f>
        <v>7.4116721863495584E-3</v>
      </c>
      <c r="AG31" s="15">
        <v>80</v>
      </c>
      <c r="AH31" s="30" cm="1">
        <f t="array" ref="AH31">BS_Greek("PUT","GAMMA",$AG31,$B$1,$B$2,$AH$3,AH$26)</f>
        <v>3.3905822708430672E-12</v>
      </c>
      <c r="AI31" s="18" cm="1">
        <f t="array" ref="AI31">BS_Greek("PUT","GAMMA",$AG31,$B$1,$B$2,$AH$3,AI$26)</f>
        <v>6.1021351588952594E-7</v>
      </c>
      <c r="AJ31" s="18" cm="1">
        <f t="array" ref="AJ31">BS_Greek("PUT","GAMMA",$AG31,$B$1,$B$2,$AH$3,AJ$26)</f>
        <v>3.155135271549592E-5</v>
      </c>
      <c r="AK31" s="18" cm="1">
        <f t="array" ref="AK31">BS_Greek("PUT","GAMMA",$AG31,$B$1,$B$2,$AH$3,AK$26)</f>
        <v>2.1731776002153875E-4</v>
      </c>
      <c r="AL31" s="18" cm="1">
        <f t="array" ref="AL31">BS_Greek("PUT","GAMMA",$AG31,$B$1,$B$2,$AH$3,AL$26)</f>
        <v>6.7417515498728673E-4</v>
      </c>
      <c r="AM31" s="18" cm="1">
        <f t="array" ref="AM31">BS_Greek("PUT","GAMMA",$AG31,$B$1,$B$2,$AH$3,AM$26)</f>
        <v>1.4096380488958426E-3</v>
      </c>
      <c r="AN31" s="18" cm="1">
        <f t="array" ref="AN31">BS_Greek("PUT","GAMMA",$AG31,$B$1,$B$2,$AH$3,AN$26)</f>
        <v>2.3582196949555518E-3</v>
      </c>
      <c r="AO31" s="18" cm="1">
        <f t="array" ref="AO31">BS_Greek("PUT","GAMMA",$AG31,$B$1,$B$2,$AH$3,AO$26)</f>
        <v>3.4369932223750682E-3</v>
      </c>
      <c r="AP31" s="18" cm="1">
        <f t="array" ref="AP31">BS_Greek("PUT","GAMMA",$AG31,$B$1,$B$2,$AH$3,AP$26)</f>
        <v>4.5738968285542487E-3</v>
      </c>
      <c r="AQ31" s="18" cm="1">
        <f t="array" ref="AQ31">BS_Greek("PUT","GAMMA",$AG31,$B$1,$B$2,$AH$3,AQ$26)</f>
        <v>5.7155372876400061E-3</v>
      </c>
      <c r="AR31" s="18" cm="1">
        <f t="array" ref="AR31">BS_Greek("PUT","GAMMA",$AG31,$B$1,$B$2,$AH$3,AR$26)</f>
        <v>1.3876417664915324E-2</v>
      </c>
      <c r="AS31" s="18" cm="1">
        <f t="array" ref="AS31">BS_Greek("PUT","GAMMA",$AG31,$B$1,$B$2,$AH$3,AS$26)</f>
        <v>1.6964964604488354E-2</v>
      </c>
      <c r="AT31" s="18" cm="1">
        <f t="array" ref="AT31">BS_Greek("PUT","GAMMA",$AG31,$B$1,$B$2,$AH$3,AT$26)</f>
        <v>1.7877273947675215E-2</v>
      </c>
      <c r="AU31" s="31" cm="1">
        <f t="array" ref="AU31">BS_Greek("PUT","GAMMA",$AG31,$B$1,$B$2,$AH$3,AU$26)</f>
        <v>1.7906989830010486E-2</v>
      </c>
    </row>
    <row r="32" spans="1:47" x14ac:dyDescent="0.2">
      <c r="A32" s="15">
        <v>85</v>
      </c>
      <c r="B32" s="30" cm="1">
        <f t="array" ref="B32">BS_Greek("PUT","GAMMA",$A32,$B$1,$B$2,$B$3,B$6)</f>
        <v>3.0836372935947143E-3</v>
      </c>
      <c r="C32" s="18" cm="1">
        <f t="array" ref="C32">BS_Greek("PUT","GAMMA",$A32,$B$1,$B$2,$B$3,C$6)</f>
        <v>1.134964427745312E-2</v>
      </c>
      <c r="D32" s="18" cm="1">
        <f t="array" ref="D32">BS_Greek("PUT","GAMMA",$A32,$B$1,$B$2,$B$3,D$6)</f>
        <v>1.6048048164004222E-2</v>
      </c>
      <c r="E32" s="18" cm="1">
        <f t="array" ref="E32">BS_Greek("PUT","GAMMA",$A32,$B$1,$B$2,$B$3,E$6)</f>
        <v>1.8278954822369093E-2</v>
      </c>
      <c r="F32" s="18" cm="1">
        <f t="array" ref="F32">BS_Greek("PUT","GAMMA",$A32,$B$1,$B$2,$B$3,F$6)</f>
        <v>1.926193999623425E-2</v>
      </c>
      <c r="G32" s="18" cm="1">
        <f t="array" ref="G32">BS_Greek("PUT","GAMMA",$A32,$B$1,$B$2,$B$3,G$6)</f>
        <v>1.9607203543702156E-2</v>
      </c>
      <c r="H32" s="18" cm="1">
        <f t="array" ref="H32">BS_Greek("PUT","GAMMA",$A32,$B$1,$B$2,$B$3,H$6)</f>
        <v>1.9615204928584505E-2</v>
      </c>
      <c r="I32" s="18" cm="1">
        <f t="array" ref="I32">BS_Greek("PUT","GAMMA",$A32,$B$1,$B$2,$B$3,I$6)</f>
        <v>1.944073459830415E-2</v>
      </c>
      <c r="J32" s="18" cm="1">
        <f t="array" ref="J32">BS_Greek("PUT","GAMMA",$A32,$B$1,$B$2,$B$3,J$6)</f>
        <v>1.9167361944162006E-2</v>
      </c>
      <c r="K32" s="18" cm="1">
        <f t="array" ref="K32">BS_Greek("PUT","GAMMA",$A32,$B$1,$B$2,$B$3,K$6)</f>
        <v>1.8841983940109525E-2</v>
      </c>
      <c r="L32" s="18" cm="1">
        <f t="array" ref="L32">BS_Greek("PUT","GAMMA",$A32,$B$1,$B$2,$B$3,L$6)</f>
        <v>1.5538821309956895E-2</v>
      </c>
      <c r="M32" s="18" cm="1">
        <f t="array" ref="M32">BS_Greek("PUT","GAMMA",$A32,$B$1,$B$2,$B$3,M$6)</f>
        <v>1.3255131727717093E-2</v>
      </c>
      <c r="N32" s="18" cm="1">
        <f t="array" ref="N32">BS_Greek("PUT","GAMMA",$A32,$B$1,$B$2,$B$3,N$6)</f>
        <v>1.1667493720574828E-2</v>
      </c>
      <c r="O32" s="31" cm="1">
        <f t="array" ref="O32">BS_Greek("PUT","GAMMA",$A32,$B$1,$B$2,$B$3,O$6)</f>
        <v>1.0490736571836448E-2</v>
      </c>
      <c r="Q32" s="15">
        <v>85</v>
      </c>
      <c r="R32" s="30" cm="1">
        <f t="array" ref="R32">BS_Greek("PUT","GAMMA",$Q32,$B$1,$B$2,$R$3,R$6)</f>
        <v>1.257501258451457E-2</v>
      </c>
      <c r="S32" s="18" cm="1">
        <f t="array" ref="S32">BS_Greek("PUT","GAMMA",$Q32,$B$1,$B$2,$R$3,S$6)</f>
        <v>1.8488250396356997E-2</v>
      </c>
      <c r="T32" s="18" cm="1">
        <f t="array" ref="T32">BS_Greek("PUT","GAMMA",$Q32,$B$1,$B$2,$R$3,T$6)</f>
        <v>1.9245583173855801E-2</v>
      </c>
      <c r="U32" s="18" cm="1">
        <f t="array" ref="U32">BS_Greek("PUT","GAMMA",$Q32,$B$1,$B$2,$R$3,U$6)</f>
        <v>1.8803436356655608E-2</v>
      </c>
      <c r="V32" s="18" cm="1">
        <f t="array" ref="V32">BS_Greek("PUT","GAMMA",$Q32,$B$1,$B$2,$R$3,V$6)</f>
        <v>1.8068228988525177E-2</v>
      </c>
      <c r="W32" s="18" cm="1">
        <f t="array" ref="W32">BS_Greek("PUT","GAMMA",$Q32,$B$1,$B$2,$R$3,W$6)</f>
        <v>1.7291682643531966E-2</v>
      </c>
      <c r="X32" s="18" cm="1">
        <f t="array" ref="X32">BS_Greek("PUT","GAMMA",$Q32,$B$1,$B$2,$R$3,X$6)</f>
        <v>1.655034187397918E-2</v>
      </c>
      <c r="Y32" s="18" cm="1">
        <f t="array" ref="Y32">BS_Greek("PUT","GAMMA",$Q32,$B$1,$B$2,$R$3,Y$6)</f>
        <v>1.5865759347980533E-2</v>
      </c>
      <c r="Z32" s="18" cm="1">
        <f t="array" ref="Z32">BS_Greek("PUT","GAMMA",$Q32,$B$1,$B$2,$R$3,Z$6)</f>
        <v>1.524072549459882E-2</v>
      </c>
      <c r="AA32" s="18" cm="1">
        <f t="array" ref="AA32">BS_Greek("PUT","GAMMA",$Q32,$B$1,$B$2,$R$3,AA$6)</f>
        <v>1.4671609392337213E-2</v>
      </c>
      <c r="AB32" s="18" cm="1">
        <f t="array" ref="AB32">BS_Greek("PUT","GAMMA",$Q32,$B$1,$B$2,$R$3,AB$6)</f>
        <v>1.0978106060139997E-2</v>
      </c>
      <c r="AC32" s="18" cm="1">
        <f t="array" ref="AC32">BS_Greek("PUT","GAMMA",$Q32,$B$1,$B$2,$R$3,AC$6)</f>
        <v>9.0324238181826739E-3</v>
      </c>
      <c r="AD32" s="18" cm="1">
        <f t="array" ref="AD32">BS_Greek("PUT","GAMMA",$Q32,$B$1,$B$2,$R$3,AD$6)</f>
        <v>7.7865829825335148E-3</v>
      </c>
      <c r="AE32" s="31" cm="1">
        <f t="array" ref="AE32">BS_Greek("PUT","GAMMA",$Q32,$B$1,$B$2,$R$3,AE$6)</f>
        <v>6.8988971767481675E-3</v>
      </c>
      <c r="AG32" s="15">
        <v>85</v>
      </c>
      <c r="AH32" s="30" cm="1">
        <f t="array" ref="AH32">BS_Greek("PUT","GAMMA",$AG32,$B$1,$B$2,$AH$3,AH$26)</f>
        <v>3.4793158250122273E-7</v>
      </c>
      <c r="AI32" s="18" cm="1">
        <f t="array" ref="AI32">BS_Greek("PUT","GAMMA",$AG32,$B$1,$B$2,$AH$3,AI$26)</f>
        <v>1.8120927891742718E-4</v>
      </c>
      <c r="AJ32" s="18" cm="1">
        <f t="array" ref="AJ32">BS_Greek("PUT","GAMMA",$AG32,$B$1,$B$2,$AH$3,AJ$26)</f>
        <v>1.3351896003566924E-3</v>
      </c>
      <c r="AK32" s="18" cm="1">
        <f t="array" ref="AK32">BS_Greek("PUT","GAMMA",$AG32,$B$1,$B$2,$AH$3,AK$26)</f>
        <v>3.4716293491663342E-3</v>
      </c>
      <c r="AL32" s="18" cm="1">
        <f t="array" ref="AL32">BS_Greek("PUT","GAMMA",$AG32,$B$1,$B$2,$AH$3,AL$26)</f>
        <v>6.0028678035568012E-3</v>
      </c>
      <c r="AM32" s="18" cm="1">
        <f t="array" ref="AM32">BS_Greek("PUT","GAMMA",$AG32,$B$1,$B$2,$AH$3,AM$26)</f>
        <v>8.5007827825346501E-3</v>
      </c>
      <c r="AN32" s="18" cm="1">
        <f t="array" ref="AN32">BS_Greek("PUT","GAMMA",$AG32,$B$1,$B$2,$AH$3,AN$26)</f>
        <v>1.0765981199439559E-2</v>
      </c>
      <c r="AO32" s="18" cm="1">
        <f t="array" ref="AO32">BS_Greek("PUT","GAMMA",$AG32,$B$1,$B$2,$AH$3,AO$26)</f>
        <v>1.2734636942227625E-2</v>
      </c>
      <c r="AP32" s="18" cm="1">
        <f t="array" ref="AP32">BS_Greek("PUT","GAMMA",$AG32,$B$1,$B$2,$AH$3,AP$26)</f>
        <v>1.4407206646598534E-2</v>
      </c>
      <c r="AQ32" s="18" cm="1">
        <f t="array" ref="AQ32">BS_Greek("PUT","GAMMA",$AG32,$B$1,$B$2,$AH$3,AQ$26)</f>
        <v>1.5810256172317044E-2</v>
      </c>
      <c r="AR32" s="18" cm="1">
        <f t="array" ref="AR32">BS_Greek("PUT","GAMMA",$AG32,$B$1,$B$2,$AH$3,AR$26)</f>
        <v>2.139474487152776E-2</v>
      </c>
      <c r="AS32" s="18" cm="1">
        <f t="array" ref="AS32">BS_Greek("PUT","GAMMA",$AG32,$B$1,$B$2,$AH$3,AS$26)</f>
        <v>2.1526099405862077E-2</v>
      </c>
      <c r="AT32" s="18" cm="1">
        <f t="array" ref="AT32">BS_Greek("PUT","GAMMA",$AG32,$B$1,$B$2,$AH$3,AT$26)</f>
        <v>2.0578086869191908E-2</v>
      </c>
      <c r="AU32" s="31" cm="1">
        <f t="array" ref="AU32">BS_Greek("PUT","GAMMA",$AG32,$B$1,$B$2,$AH$3,AU$26)</f>
        <v>1.9442006249843848E-2</v>
      </c>
    </row>
    <row r="33" spans="1:47" x14ac:dyDescent="0.2">
      <c r="A33" s="15">
        <v>90</v>
      </c>
      <c r="B33" s="30" cm="1">
        <f t="array" ref="B33">BS_Greek("PUT","GAMMA",$A33,$B$1,$B$2,$B$3,B$6)</f>
        <v>1.8916378586336526E-2</v>
      </c>
      <c r="C33" s="18" cm="1">
        <f t="array" ref="C33">BS_Greek("PUT","GAMMA",$A33,$B$1,$B$2,$B$3,C$6)</f>
        <v>2.6739234389615493E-2</v>
      </c>
      <c r="D33" s="18" cm="1">
        <f t="array" ref="D33">BS_Greek("PUT","GAMMA",$A33,$B$1,$B$2,$B$3,D$6)</f>
        <v>2.7482291431425856E-2</v>
      </c>
      <c r="E33" s="18" cm="1">
        <f t="array" ref="E33">BS_Greek("PUT","GAMMA",$A33,$B$1,$B$2,$B$3,E$6)</f>
        <v>2.6687880405210137E-2</v>
      </c>
      <c r="F33" s="18" cm="1">
        <f t="array" ref="F33">BS_Greek("PUT","GAMMA",$A33,$B$1,$B$2,$B$3,F$6)</f>
        <v>2.5556533759819557E-2</v>
      </c>
      <c r="G33" s="18" cm="1">
        <f t="array" ref="G33">BS_Greek("PUT","GAMMA",$A33,$B$1,$B$2,$B$3,G$6)</f>
        <v>2.4406774147524606E-2</v>
      </c>
      <c r="H33" s="18" cm="1">
        <f t="array" ref="H33">BS_Greek("PUT","GAMMA",$A33,$B$1,$B$2,$B$3,H$6)</f>
        <v>2.3329031963279279E-2</v>
      </c>
      <c r="I33" s="18" cm="1">
        <f t="array" ref="I33">BS_Greek("PUT","GAMMA",$A33,$B$1,$B$2,$B$3,I$6)</f>
        <v>2.2344641814505347E-2</v>
      </c>
      <c r="J33" s="18" cm="1">
        <f t="array" ref="J33">BS_Greek("PUT","GAMMA",$A33,$B$1,$B$2,$B$3,J$6)</f>
        <v>2.1452524339852529E-2</v>
      </c>
      <c r="K33" s="18" cm="1">
        <f t="array" ref="K33">BS_Greek("PUT","GAMMA",$A33,$B$1,$B$2,$B$3,K$6)</f>
        <v>2.0644622964645625E-2</v>
      </c>
      <c r="L33" s="18" cm="1">
        <f t="array" ref="L33">BS_Greek("PUT","GAMMA",$A33,$B$1,$B$2,$B$3,L$6)</f>
        <v>1.5471684475151491E-2</v>
      </c>
      <c r="M33" s="18" cm="1">
        <f t="array" ref="M33">BS_Greek("PUT","GAMMA",$A33,$B$1,$B$2,$B$3,M$6)</f>
        <v>1.2783505889003444E-2</v>
      </c>
      <c r="N33" s="18" cm="1">
        <f t="array" ref="N33">BS_Greek("PUT","GAMMA",$A33,$B$1,$B$2,$B$3,N$6)</f>
        <v>1.1074310697636872E-2</v>
      </c>
      <c r="O33" s="31" cm="1">
        <f t="array" ref="O33">BS_Greek("PUT","GAMMA",$A33,$B$1,$B$2,$B$3,O$6)</f>
        <v>9.8625457284395677E-3</v>
      </c>
      <c r="Q33" s="15">
        <v>90</v>
      </c>
      <c r="R33" s="30" cm="1">
        <f t="array" ref="R33">BS_Greek("PUT","GAMMA",$Q33,$B$1,$B$2,$R$3,R$6)</f>
        <v>2.6849994493107553E-2</v>
      </c>
      <c r="S33" s="18" cm="1">
        <f t="array" ref="S33">BS_Greek("PUT","GAMMA",$Q33,$B$1,$B$2,$R$3,S$6)</f>
        <v>2.5799834788109946E-2</v>
      </c>
      <c r="T33" s="18" cm="1">
        <f t="array" ref="T33">BS_Greek("PUT","GAMMA",$Q33,$B$1,$B$2,$R$3,T$6)</f>
        <v>2.3306691732956811E-2</v>
      </c>
      <c r="U33" s="18" cm="1">
        <f t="array" ref="U33">BS_Greek("PUT","GAMMA",$Q33,$B$1,$B$2,$R$3,U$6)</f>
        <v>2.1212946857819121E-2</v>
      </c>
      <c r="V33" s="18" cm="1">
        <f t="array" ref="V33">BS_Greek("PUT","GAMMA",$Q33,$B$1,$B$2,$R$3,V$6)</f>
        <v>1.9534751872486739E-2</v>
      </c>
      <c r="W33" s="18" cm="1">
        <f t="array" ref="W33">BS_Greek("PUT","GAMMA",$Q33,$B$1,$B$2,$R$3,W$6)</f>
        <v>1.8172524320191754E-2</v>
      </c>
      <c r="X33" s="18" cm="1">
        <f t="array" ref="X33">BS_Greek("PUT","GAMMA",$Q33,$B$1,$B$2,$R$3,X$6)</f>
        <v>1.7044687194816176E-2</v>
      </c>
      <c r="Y33" s="18" cm="1">
        <f t="array" ref="Y33">BS_Greek("PUT","GAMMA",$Q33,$B$1,$B$2,$R$3,Y$6)</f>
        <v>1.6093332217008621E-2</v>
      </c>
      <c r="Z33" s="18" cm="1">
        <f t="array" ref="Z33">BS_Greek("PUT","GAMMA",$Q33,$B$1,$B$2,$R$3,Z$6)</f>
        <v>1.5277763824001957E-2</v>
      </c>
      <c r="AA33" s="18" cm="1">
        <f t="array" ref="AA33">BS_Greek("PUT","GAMMA",$Q33,$B$1,$B$2,$R$3,AA$6)</f>
        <v>1.4568912566910484E-2</v>
      </c>
      <c r="AB33" s="18" cm="1">
        <f t="array" ref="AB33">BS_Greek("PUT","GAMMA",$Q33,$B$1,$B$2,$R$3,AB$6)</f>
        <v>1.0447330574272131E-2</v>
      </c>
      <c r="AC33" s="18" cm="1">
        <f t="array" ref="AC33">BS_Greek("PUT","GAMMA",$Q33,$B$1,$B$2,$R$3,AC$6)</f>
        <v>8.4747143075524257E-3</v>
      </c>
      <c r="AD33" s="18" cm="1">
        <f t="array" ref="AD33">BS_Greek("PUT","GAMMA",$Q33,$B$1,$B$2,$R$3,AD$6)</f>
        <v>7.2541928646975579E-3</v>
      </c>
      <c r="AE33" s="31" cm="1">
        <f t="array" ref="AE33">BS_Greek("PUT","GAMMA",$Q33,$B$1,$B$2,$R$3,AE$6)</f>
        <v>6.3999223842824441E-3</v>
      </c>
      <c r="AG33" s="15">
        <v>90</v>
      </c>
      <c r="AH33" s="30" cm="1">
        <f t="array" ref="AH33">BS_Greek("PUT","GAMMA",$AG33,$B$1,$B$2,$AH$3,AH$26)</f>
        <v>6.3723381042931433E-4</v>
      </c>
      <c r="AI33" s="18" cm="1">
        <f t="array" ref="AI33">BS_Greek("PUT","GAMMA",$AG33,$B$1,$B$2,$AH$3,AI$26)</f>
        <v>7.2202698909513219E-3</v>
      </c>
      <c r="AJ33" s="18" cm="1">
        <f t="array" ref="AJ33">BS_Greek("PUT","GAMMA",$AG33,$B$1,$B$2,$AH$3,AJ$26)</f>
        <v>1.4851555899595281E-2</v>
      </c>
      <c r="AK33" s="18" cm="1">
        <f t="array" ref="AK33">BS_Greek("PUT","GAMMA",$AG33,$B$1,$B$2,$AH$3,AK$26)</f>
        <v>2.0402828136932078E-2</v>
      </c>
      <c r="AL33" s="18" cm="1">
        <f t="array" ref="AL33">BS_Greek("PUT","GAMMA",$AG33,$B$1,$B$2,$AH$3,AL$26)</f>
        <v>2.4058724750173604E-2</v>
      </c>
      <c r="AM33" s="18" cm="1">
        <f t="array" ref="AM33">BS_Greek("PUT","GAMMA",$AG33,$B$1,$B$2,$AH$3,AM$26)</f>
        <v>2.6396354113062126E-2</v>
      </c>
      <c r="AN33" s="18" cm="1">
        <f t="array" ref="AN33">BS_Greek("PUT","GAMMA",$AG33,$B$1,$B$2,$AH$3,AN$26)</f>
        <v>2.7859621858699932E-2</v>
      </c>
      <c r="AO33" s="18" cm="1">
        <f t="array" ref="AO33">BS_Greek("PUT","GAMMA",$AG33,$B$1,$B$2,$AH$3,AO$26)</f>
        <v>2.8743231871235127E-2</v>
      </c>
      <c r="AP33" s="18" cm="1">
        <f t="array" ref="AP33">BS_Greek("PUT","GAMMA",$AG33,$B$1,$B$2,$AH$3,AP$26)</f>
        <v>2.9238167534758403E-2</v>
      </c>
      <c r="AQ33" s="18" cm="1">
        <f t="array" ref="AQ33">BS_Greek("PUT","GAMMA",$AG33,$B$1,$B$2,$AH$3,AQ$26)</f>
        <v>2.9469063817634214E-2</v>
      </c>
      <c r="AR33" s="18" cm="1">
        <f t="array" ref="AR33">BS_Greek("PUT","GAMMA",$AG33,$B$1,$B$2,$AH$3,AR$26)</f>
        <v>2.7195143108108635E-2</v>
      </c>
      <c r="AS33" s="18" cm="1">
        <f t="array" ref="AS33">BS_Greek("PUT","GAMMA",$AG33,$B$1,$B$2,$AH$3,AS$26)</f>
        <v>2.4084363839664263E-2</v>
      </c>
      <c r="AT33" s="18" cm="1">
        <f t="array" ref="AT33">BS_Greek("PUT","GAMMA",$AG33,$B$1,$B$2,$AH$3,AT$26)</f>
        <v>2.1600690529166151E-2</v>
      </c>
      <c r="AU33" s="31" cm="1">
        <f t="array" ref="AU33">BS_Greek("PUT","GAMMA",$AG33,$B$1,$B$2,$AH$3,AU$26)</f>
        <v>1.9641714650531644E-2</v>
      </c>
    </row>
    <row r="34" spans="1:47" x14ac:dyDescent="0.2">
      <c r="A34" s="15">
        <v>95</v>
      </c>
      <c r="B34" s="30" cm="1">
        <f t="array" ref="B34">BS_Greek("PUT","GAMMA",$A34,$B$1,$B$2,$B$3,B$6)</f>
        <v>4.9607400575778247E-2</v>
      </c>
      <c r="C34" s="18" cm="1">
        <f t="array" ref="C34">BS_Greek("PUT","GAMMA",$A34,$B$1,$B$2,$B$3,C$6)</f>
        <v>4.1300684164172589E-2</v>
      </c>
      <c r="D34" s="18" cm="1">
        <f t="array" ref="D34">BS_Greek("PUT","GAMMA",$A34,$B$1,$B$2,$B$3,D$6)</f>
        <v>3.5581792279001205E-2</v>
      </c>
      <c r="E34" s="18" cm="1">
        <f t="array" ref="E34">BS_Greek("PUT","GAMMA",$A34,$B$1,$B$2,$B$3,E$6)</f>
        <v>3.1635322258043573E-2</v>
      </c>
      <c r="F34" s="18" cm="1">
        <f t="array" ref="F34">BS_Greek("PUT","GAMMA",$A34,$B$1,$B$2,$B$3,F$6)</f>
        <v>2.8732281352043247E-2</v>
      </c>
      <c r="G34" s="18" cm="1">
        <f t="array" ref="G34">BS_Greek("PUT","GAMMA",$A34,$B$1,$B$2,$B$3,G$6)</f>
        <v>2.6488164394297603E-2</v>
      </c>
      <c r="H34" s="18" cm="1">
        <f t="array" ref="H34">BS_Greek("PUT","GAMMA",$A34,$B$1,$B$2,$B$3,H$6)</f>
        <v>2.4688265009858643E-2</v>
      </c>
      <c r="I34" s="18" cm="1">
        <f t="array" ref="I34">BS_Greek("PUT","GAMMA",$A34,$B$1,$B$2,$B$3,I$6)</f>
        <v>2.3203661883923712E-2</v>
      </c>
      <c r="J34" s="18" cm="1">
        <f t="array" ref="J34">BS_Greek("PUT","GAMMA",$A34,$B$1,$B$2,$B$3,J$6)</f>
        <v>2.1952066922098782E-2</v>
      </c>
      <c r="K34" s="18" cm="1">
        <f t="array" ref="K34">BS_Greek("PUT","GAMMA",$A34,$B$1,$B$2,$B$3,K$6)</f>
        <v>2.087829727981377E-2</v>
      </c>
      <c r="L34" s="18" cm="1">
        <f t="array" ref="L34">BS_Greek("PUT","GAMMA",$A34,$B$1,$B$2,$B$3,L$6)</f>
        <v>1.4840061535306965E-2</v>
      </c>
      <c r="M34" s="18" cm="1">
        <f t="array" ref="M34">BS_Greek("PUT","GAMMA",$A34,$B$1,$B$2,$B$3,M$6)</f>
        <v>1.2047161650680642E-2</v>
      </c>
      <c r="N34" s="18" cm="1">
        <f t="array" ref="N34">BS_Greek("PUT","GAMMA",$A34,$B$1,$B$2,$B$3,N$6)</f>
        <v>1.034474514620942E-2</v>
      </c>
      <c r="O34" s="31" cm="1">
        <f t="array" ref="O34">BS_Greek("PUT","GAMMA",$A34,$B$1,$B$2,$B$3,O$6)</f>
        <v>9.1641696406864256E-3</v>
      </c>
      <c r="Q34" s="15">
        <v>95</v>
      </c>
      <c r="R34" s="30" cm="1">
        <f t="array" ref="R34">BS_Greek("PUT","GAMMA",$Q34,$B$1,$B$2,$R$3,R$6)</f>
        <v>3.9397555493342631E-2</v>
      </c>
      <c r="S34" s="18" cm="1">
        <f t="array" ref="S34">BS_Greek("PUT","GAMMA",$Q34,$B$1,$B$2,$R$3,S$6)</f>
        <v>2.9920175402764981E-2</v>
      </c>
      <c r="T34" s="18" cm="1">
        <f t="array" ref="T34">BS_Greek("PUT","GAMMA",$Q34,$B$1,$B$2,$R$3,T$6)</f>
        <v>2.4990132225163459E-2</v>
      </c>
      <c r="U34" s="18" cm="1">
        <f t="array" ref="U34">BS_Greek("PUT","GAMMA",$Q34,$B$1,$B$2,$R$3,U$6)</f>
        <v>2.187052870331763E-2</v>
      </c>
      <c r="V34" s="18" cm="1">
        <f t="array" ref="V34">BS_Greek("PUT","GAMMA",$Q34,$B$1,$B$2,$R$3,V$6)</f>
        <v>1.9671994336736279E-2</v>
      </c>
      <c r="W34" s="18" cm="1">
        <f t="array" ref="W34">BS_Greek("PUT","GAMMA",$Q34,$B$1,$B$2,$R$3,W$6)</f>
        <v>1.8015399304984771E-2</v>
      </c>
      <c r="X34" s="18" cm="1">
        <f t="array" ref="X34">BS_Greek("PUT","GAMMA",$Q34,$B$1,$B$2,$R$3,X$6)</f>
        <v>1.6709061466729097E-2</v>
      </c>
      <c r="Y34" s="18" cm="1">
        <f t="array" ref="Y34">BS_Greek("PUT","GAMMA",$Q34,$B$1,$B$2,$R$3,Y$6)</f>
        <v>1.5644431582997612E-2</v>
      </c>
      <c r="Z34" s="18" cm="1">
        <f t="array" ref="Z34">BS_Greek("PUT","GAMMA",$Q34,$B$1,$B$2,$R$3,Z$6)</f>
        <v>1.4754868041798959E-2</v>
      </c>
      <c r="AA34" s="18" cm="1">
        <f t="array" ref="AA34">BS_Greek("PUT","GAMMA",$Q34,$B$1,$B$2,$R$3,AA$6)</f>
        <v>1.3996906305568678E-2</v>
      </c>
      <c r="AB34" s="18" cm="1">
        <f t="array" ref="AB34">BS_Greek("PUT","GAMMA",$Q34,$B$1,$B$2,$R$3,AB$6)</f>
        <v>9.8037554378220936E-3</v>
      </c>
      <c r="AC34" s="18" cm="1">
        <f t="array" ref="AC34">BS_Greek("PUT","GAMMA",$Q34,$B$1,$B$2,$R$3,AC$6)</f>
        <v>7.8905317151781781E-3</v>
      </c>
      <c r="AD34" s="18" cm="1">
        <f t="array" ref="AD34">BS_Greek("PUT","GAMMA",$Q34,$B$1,$B$2,$R$3,AD$6)</f>
        <v>6.7277111439822531E-3</v>
      </c>
      <c r="AE34" s="31" cm="1">
        <f t="array" ref="AE34">BS_Greek("PUT","GAMMA",$Q34,$B$1,$B$2,$R$3,AE$6)</f>
        <v>5.9214922774464777E-3</v>
      </c>
      <c r="AG34" s="15">
        <v>95</v>
      </c>
      <c r="AH34" s="30" cm="1">
        <f t="array" ref="AH34">BS_Greek("PUT","GAMMA",$AG34,$B$1,$B$2,$AH$3,AH$26)</f>
        <v>3.8441261874572016E-2</v>
      </c>
      <c r="AI34" s="18" cm="1">
        <f t="array" ref="AI34">BS_Greek("PUT","GAMMA",$AG34,$B$1,$B$2,$AH$3,AI$26)</f>
        <v>5.2414503254015782E-2</v>
      </c>
      <c r="AJ34" s="18" cm="1">
        <f t="array" ref="AJ34">BS_Greek("PUT","GAMMA",$AG34,$B$1,$B$2,$AH$3,AJ$26)</f>
        <v>5.3227540948401576E-2</v>
      </c>
      <c r="AK34" s="18" cm="1">
        <f t="array" ref="AK34">BS_Greek("PUT","GAMMA",$AG34,$B$1,$B$2,$AH$3,AK$26)</f>
        <v>5.1379281037838453E-2</v>
      </c>
      <c r="AL34" s="18" cm="1">
        <f t="array" ref="AL34">BS_Greek("PUT","GAMMA",$AG34,$B$1,$B$2,$AH$3,AL$26)</f>
        <v>4.9024161779533067E-2</v>
      </c>
      <c r="AM34" s="18" cm="1">
        <f t="array" ref="AM34">BS_Greek("PUT","GAMMA",$AG34,$B$1,$B$2,$AH$3,AM$26)</f>
        <v>4.670622857015766E-2</v>
      </c>
      <c r="AN34" s="18" cm="1">
        <f t="array" ref="AN34">BS_Greek("PUT","GAMMA",$AG34,$B$1,$B$2,$AH$3,AN$26)</f>
        <v>4.4567221413124185E-2</v>
      </c>
      <c r="AO34" s="18" cm="1">
        <f t="array" ref="AO34">BS_Greek("PUT","GAMMA",$AG34,$B$1,$B$2,$AH$3,AO$26)</f>
        <v>4.2631739576590874E-2</v>
      </c>
      <c r="AP34" s="18" cm="1">
        <f t="array" ref="AP34">BS_Greek("PUT","GAMMA",$AG34,$B$1,$B$2,$AH$3,AP$26)</f>
        <v>4.0888684659269085E-2</v>
      </c>
      <c r="AQ34" s="18" cm="1">
        <f t="array" ref="AQ34">BS_Greek("PUT","GAMMA",$AG34,$B$1,$B$2,$AH$3,AQ$26)</f>
        <v>3.931730631905752E-2</v>
      </c>
      <c r="AR34" s="18" cm="1">
        <f t="array" ref="AR34">BS_Greek("PUT","GAMMA",$AG34,$B$1,$B$2,$AH$3,AR$26)</f>
        <v>2.9359502161316497E-2</v>
      </c>
      <c r="AS34" s="18" cm="1">
        <f t="array" ref="AS34">BS_Greek("PUT","GAMMA",$AG34,$B$1,$B$2,$AH$3,AS$26)</f>
        <v>2.422920467390802E-2</v>
      </c>
      <c r="AT34" s="18" cm="1">
        <f t="array" ref="AT34">BS_Greek("PUT","GAMMA",$AG34,$B$1,$B$2,$AH$3,AT$26)</f>
        <v>2.0977075164115507E-2</v>
      </c>
      <c r="AU34" s="31" cm="1">
        <f t="array" ref="AU34">BS_Greek("PUT","GAMMA",$AG34,$B$1,$B$2,$AH$3,AU$26)</f>
        <v>1.8675003380643759E-2</v>
      </c>
    </row>
    <row r="35" spans="1:47" x14ac:dyDescent="0.2">
      <c r="A35" s="15">
        <v>100</v>
      </c>
      <c r="B35" s="30" cm="1">
        <f t="array" ref="B35">BS_Greek("PUT","GAMMA",$A35,$B$1,$B$2,$B$3,B$6)</f>
        <v>6.3007389850102583E-2</v>
      </c>
      <c r="C35" s="18" cm="1">
        <f t="array" ref="C35">BS_Greek("PUT","GAMMA",$A35,$B$1,$B$2,$B$3,C$6)</f>
        <v>4.4502858739261318E-2</v>
      </c>
      <c r="D35" s="18" cm="1">
        <f t="array" ref="D35">BS_Greek("PUT","GAMMA",$A35,$B$1,$B$2,$B$3,D$6)</f>
        <v>3.6295576501642057E-2</v>
      </c>
      <c r="E35" s="18" cm="1">
        <f t="array" ref="E35">BS_Greek("PUT","GAMMA",$A35,$B$1,$B$2,$B$3,E$6)</f>
        <v>3.1397549176385632E-2</v>
      </c>
      <c r="F35" s="18" cm="1">
        <f t="array" ref="F35">BS_Greek("PUT","GAMMA",$A35,$B$1,$B$2,$B$3,F$6)</f>
        <v>2.8051246304186251E-2</v>
      </c>
      <c r="G35" s="18" cm="1">
        <f t="array" ref="G35">BS_Greek("PUT","GAMMA",$A35,$B$1,$B$2,$B$3,G$6)</f>
        <v>2.55783754134996E-2</v>
      </c>
      <c r="H35" s="18" cm="1">
        <f t="array" ref="H35">BS_Greek("PUT","GAMMA",$A35,$B$1,$B$2,$B$3,H$6)</f>
        <v>2.3654347961507349E-2</v>
      </c>
      <c r="I35" s="18" cm="1">
        <f t="array" ref="I35">BS_Greek("PUT","GAMMA",$A35,$B$1,$B$2,$B$3,I$6)</f>
        <v>2.2101737998123483E-2</v>
      </c>
      <c r="J35" s="18" cm="1">
        <f t="array" ref="J35">BS_Greek("PUT","GAMMA",$A35,$B$1,$B$2,$B$3,J$6)</f>
        <v>2.0814289167512139E-2</v>
      </c>
      <c r="K35" s="18" cm="1">
        <f t="array" ref="K35">BS_Greek("PUT","GAMMA",$A35,$B$1,$B$2,$B$3,K$6)</f>
        <v>1.9723966545394447E-2</v>
      </c>
      <c r="L35" s="18" cm="1">
        <f t="array" ref="L35">BS_Greek("PUT","GAMMA",$A35,$B$1,$B$2,$B$3,L$6)</f>
        <v>1.3790926583135299E-2</v>
      </c>
      <c r="M35" s="18" cm="1">
        <f t="array" ref="M35">BS_Greek("PUT","GAMMA",$A35,$B$1,$B$2,$B$3,M$6)</f>
        <v>1.1134276551152787E-2</v>
      </c>
      <c r="N35" s="18" cm="1">
        <f t="array" ref="N35">BS_Greek("PUT","GAMMA",$A35,$B$1,$B$2,$B$3,N$6)</f>
        <v>9.5346953865131021E-3</v>
      </c>
      <c r="O35" s="31" cm="1">
        <f t="array" ref="O35">BS_Greek("PUT","GAMMA",$A35,$B$1,$B$2,$B$3,O$6)</f>
        <v>8.4326874401380626E-3</v>
      </c>
      <c r="Q35" s="15">
        <v>100</v>
      </c>
      <c r="R35" s="30" cm="1">
        <f t="array" ref="R35">BS_Greek("PUT","GAMMA",$Q35,$B$1,$B$2,$R$3,R$6)</f>
        <v>4.1981596977461712E-2</v>
      </c>
      <c r="S35" s="18" cm="1">
        <f t="array" ref="S35">BS_Greek("PUT","GAMMA",$Q35,$B$1,$B$2,$R$3,S$6)</f>
        <v>2.9635625719445866E-2</v>
      </c>
      <c r="T35" s="18" cm="1">
        <f t="array" ref="T35">BS_Greek("PUT","GAMMA",$Q35,$B$1,$B$2,$R$3,T$6)</f>
        <v>2.4156756171112039E-2</v>
      </c>
      <c r="U35" s="18" cm="1">
        <f t="array" ref="U35">BS_Greek("PUT","GAMMA",$Q35,$B$1,$B$2,$R$3,U$6)</f>
        <v>2.0885236208200961E-2</v>
      </c>
      <c r="V35" s="18" cm="1">
        <f t="array" ref="V35">BS_Greek("PUT","GAMMA",$Q35,$B$1,$B$2,$R$3,V$6)</f>
        <v>1.8648956198551999E-2</v>
      </c>
      <c r="W35" s="18" cm="1">
        <f t="array" ref="W35">BS_Greek("PUT","GAMMA",$Q35,$B$1,$B$2,$R$3,W$6)</f>
        <v>1.6995504070964784E-2</v>
      </c>
      <c r="X35" s="18" cm="1">
        <f t="array" ref="X35">BS_Greek("PUT","GAMMA",$Q35,$B$1,$B$2,$R$3,X$6)</f>
        <v>1.5708358311106813E-2</v>
      </c>
      <c r="Y35" s="18" cm="1">
        <f t="array" ref="Y35">BS_Greek("PUT","GAMMA",$Q35,$B$1,$B$2,$R$3,Y$6)</f>
        <v>1.4669150678135829E-2</v>
      </c>
      <c r="Z35" s="18" cm="1">
        <f t="array" ref="Z35">BS_Greek("PUT","GAMMA",$Q35,$B$1,$B$2,$R$3,Z$6)</f>
        <v>1.3806984978133097E-2</v>
      </c>
      <c r="AA35" s="18" cm="1">
        <f t="array" ref="AA35">BS_Greek("PUT","GAMMA",$Q35,$B$1,$B$2,$R$3,AA$6)</f>
        <v>1.307646184852442E-2</v>
      </c>
      <c r="AB35" s="18" cm="1">
        <f t="array" ref="AB35">BS_Greek("PUT","GAMMA",$Q35,$B$1,$B$2,$R$3,AB$6)</f>
        <v>9.092361475410371E-3</v>
      </c>
      <c r="AC35" s="18" cm="1">
        <f t="array" ref="AC35">BS_Greek("PUT","GAMMA",$Q35,$B$1,$B$2,$R$3,AC$6)</f>
        <v>7.300162098009451E-3</v>
      </c>
      <c r="AD35" s="18" cm="1">
        <f t="array" ref="AD35">BS_Greek("PUT","GAMMA",$Q35,$B$1,$B$2,$R$3,AD$6)</f>
        <v>6.2167667801221425E-3</v>
      </c>
      <c r="AE35" s="31" cm="1">
        <f t="array" ref="AE35">BS_Greek("PUT","GAMMA",$Q35,$B$1,$B$2,$R$3,AE$6)</f>
        <v>5.4677797056007175E-3</v>
      </c>
      <c r="AG35" s="15">
        <v>100</v>
      </c>
      <c r="AH35" s="30" cm="1">
        <f t="array" ref="AH35">BS_Greek("PUT","GAMMA",$AG35,$B$1,$B$2,$AH$3,AH$26)</f>
        <v>0.12601477970020517</v>
      </c>
      <c r="AI35" s="18" cm="1">
        <f t="array" ref="AI35">BS_Greek("PUT","GAMMA",$AG35,$B$1,$B$2,$AH$3,AI$26)</f>
        <v>8.9005717478522636E-2</v>
      </c>
      <c r="AJ35" s="18" cm="1">
        <f t="array" ref="AJ35">BS_Greek("PUT","GAMMA",$AG35,$B$1,$B$2,$AH$3,AJ$26)</f>
        <v>7.2591153003284115E-2</v>
      </c>
      <c r="AK35" s="18" cm="1">
        <f t="array" ref="AK35">BS_Greek("PUT","GAMMA",$AG35,$B$1,$B$2,$AH$3,AK$26)</f>
        <v>6.2795098352771264E-2</v>
      </c>
      <c r="AL35" s="18" cm="1">
        <f t="array" ref="AL35">BS_Greek("PUT","GAMMA",$AG35,$B$1,$B$2,$AH$3,AL$26)</f>
        <v>5.6102492608372502E-2</v>
      </c>
      <c r="AM35" s="18" cm="1">
        <f t="array" ref="AM35">BS_Greek("PUT","GAMMA",$AG35,$B$1,$B$2,$AH$3,AM$26)</f>
        <v>5.1156750826999199E-2</v>
      </c>
      <c r="AN35" s="18" cm="1">
        <f t="array" ref="AN35">BS_Greek("PUT","GAMMA",$AG35,$B$1,$B$2,$AH$3,AN$26)</f>
        <v>4.7308695923014697E-2</v>
      </c>
      <c r="AO35" s="18" cm="1">
        <f t="array" ref="AO35">BS_Greek("PUT","GAMMA",$AG35,$B$1,$B$2,$AH$3,AO$26)</f>
        <v>4.4203475996246966E-2</v>
      </c>
      <c r="AP35" s="18" cm="1">
        <f t="array" ref="AP35">BS_Greek("PUT","GAMMA",$AG35,$B$1,$B$2,$AH$3,AP$26)</f>
        <v>4.1628578335024279E-2</v>
      </c>
      <c r="AQ35" s="18" cm="1">
        <f t="array" ref="AQ35">BS_Greek("PUT","GAMMA",$AG35,$B$1,$B$2,$AH$3,AQ$26)</f>
        <v>3.9447933090788895E-2</v>
      </c>
      <c r="AR35" s="18" cm="1">
        <f t="array" ref="AR35">BS_Greek("PUT","GAMMA",$AG35,$B$1,$B$2,$AH$3,AR$26)</f>
        <v>2.7581853166270598E-2</v>
      </c>
      <c r="AS35" s="18" cm="1">
        <f t="array" ref="AS35">BS_Greek("PUT","GAMMA",$AG35,$B$1,$B$2,$AH$3,AS$26)</f>
        <v>2.2268553102305574E-2</v>
      </c>
      <c r="AT35" s="18" cm="1">
        <f t="array" ref="AT35">BS_Greek("PUT","GAMMA",$AG35,$B$1,$B$2,$AH$3,AT$26)</f>
        <v>1.9069390773026208E-2</v>
      </c>
      <c r="AU35" s="31" cm="1">
        <f t="array" ref="AU35">BS_Greek("PUT","GAMMA",$AG35,$B$1,$B$2,$AH$3,AU$26)</f>
        <v>1.6865374880276125E-2</v>
      </c>
    </row>
    <row r="36" spans="1:47" x14ac:dyDescent="0.2">
      <c r="A36" s="15">
        <v>105</v>
      </c>
      <c r="B36" s="30" cm="1">
        <f t="array" ref="B36">BS_Greek("PUT","GAMMA",$A36,$B$1,$B$2,$B$3,B$6)</f>
        <v>4.2961708392642108E-2</v>
      </c>
      <c r="C36" s="18" cm="1">
        <f t="array" ref="C36">BS_Greek("PUT","GAMMA",$A36,$B$1,$B$2,$B$3,C$6)</f>
        <v>3.5212130286942131E-2</v>
      </c>
      <c r="D36" s="18" cm="1">
        <f t="array" ref="D36">BS_Greek("PUT","GAMMA",$A36,$B$1,$B$2,$B$3,D$6)</f>
        <v>3.0178399358531966E-2</v>
      </c>
      <c r="E36" s="18" cm="1">
        <f t="array" ref="E36">BS_Greek("PUT","GAMMA",$A36,$B$1,$B$2,$B$3,E$6)</f>
        <v>2.6761306237360671E-2</v>
      </c>
      <c r="F36" s="18" cm="1">
        <f t="array" ref="F36">BS_Greek("PUT","GAMMA",$A36,$B$1,$B$2,$B$3,F$6)</f>
        <v>2.4267506445708336E-2</v>
      </c>
      <c r="G36" s="18" cm="1">
        <f t="array" ref="G36">BS_Greek("PUT","GAMMA",$A36,$B$1,$B$2,$B$3,G$6)</f>
        <v>2.2348767206295847E-2</v>
      </c>
      <c r="H36" s="18" cm="1">
        <f t="array" ref="H36">BS_Greek("PUT","GAMMA",$A36,$B$1,$B$2,$B$3,H$6)</f>
        <v>2.0814619144845083E-2</v>
      </c>
      <c r="I36" s="18" cm="1">
        <f t="array" ref="I36">BS_Greek("PUT","GAMMA",$A36,$B$1,$B$2,$B$3,I$6)</f>
        <v>1.9552017122180458E-2</v>
      </c>
      <c r="J36" s="18" cm="1">
        <f t="array" ref="J36">BS_Greek("PUT","GAMMA",$A36,$B$1,$B$2,$B$3,J$6)</f>
        <v>1.8489346824041981E-2</v>
      </c>
      <c r="K36" s="18" cm="1">
        <f t="array" ref="K36">BS_Greek("PUT","GAMMA",$A36,$B$1,$B$2,$B$3,K$6)</f>
        <v>1.7578836087368842E-2</v>
      </c>
      <c r="L36" s="18" cm="1">
        <f t="array" ref="L36">BS_Greek("PUT","GAMMA",$A36,$B$1,$B$2,$B$3,L$6)</f>
        <v>1.2475292570391814E-2</v>
      </c>
      <c r="M36" s="18" cm="1">
        <f t="array" ref="M36">BS_Greek("PUT","GAMMA",$A36,$B$1,$B$2,$B$3,M$6)</f>
        <v>1.0122157910866229E-2</v>
      </c>
      <c r="N36" s="18" cm="1">
        <f t="array" ref="N36">BS_Greek("PUT","GAMMA",$A36,$B$1,$B$2,$B$3,N$6)</f>
        <v>8.6895009017126795E-3</v>
      </c>
      <c r="O36" s="31" cm="1">
        <f t="array" ref="O36">BS_Greek("PUT","GAMMA",$A36,$B$1,$B$2,$B$3,O$6)</f>
        <v>7.6966219777363509E-3</v>
      </c>
      <c r="Q36" s="15">
        <v>105</v>
      </c>
      <c r="R36" s="30" cm="1">
        <f t="array" ref="R36">BS_Greek("PUT","GAMMA",$Q36,$B$1,$B$2,$R$3,R$6)</f>
        <v>3.4000529020197345E-2</v>
      </c>
      <c r="S36" s="18" cm="1">
        <f t="array" ref="S36">BS_Greek("PUT","GAMMA",$Q36,$B$1,$B$2,$R$3,S$6)</f>
        <v>2.5642378317564649E-2</v>
      </c>
      <c r="T36" s="18" cm="1">
        <f t="array" ref="T36">BS_Greek("PUT","GAMMA",$Q36,$B$1,$B$2,$R$3,T$6)</f>
        <v>2.1367578691690262E-2</v>
      </c>
      <c r="U36" s="18" cm="1">
        <f t="array" ref="U36">BS_Greek("PUT","GAMMA",$Q36,$B$1,$B$2,$R$3,U$6)</f>
        <v>1.8678514542129085E-2</v>
      </c>
      <c r="V36" s="18" cm="1">
        <f t="array" ref="V36">BS_Greek("PUT","GAMMA",$Q36,$B$1,$B$2,$R$3,V$6)</f>
        <v>1.6789169768697553E-2</v>
      </c>
      <c r="W36" s="18" cm="1">
        <f t="array" ref="W36">BS_Greek("PUT","GAMMA",$Q36,$B$1,$B$2,$R$3,W$6)</f>
        <v>1.5368208376167368E-2</v>
      </c>
      <c r="X36" s="18" cm="1">
        <f t="array" ref="X36">BS_Greek("PUT","GAMMA",$Q36,$B$1,$B$2,$R$3,X$6)</f>
        <v>1.4249101786859474E-2</v>
      </c>
      <c r="Y36" s="18" cm="1">
        <f t="array" ref="Y36">BS_Greek("PUT","GAMMA",$Q36,$B$1,$B$2,$R$3,Y$6)</f>
        <v>1.3337894677823488E-2</v>
      </c>
      <c r="Z36" s="18" cm="1">
        <f t="array" ref="Z36">BS_Greek("PUT","GAMMA",$Q36,$B$1,$B$2,$R$3,Z$6)</f>
        <v>1.2577052515957669E-2</v>
      </c>
      <c r="AA36" s="18" cm="1">
        <f t="array" ref="AA36">BS_Greek("PUT","GAMMA",$Q36,$B$1,$B$2,$R$3,AA$6)</f>
        <v>1.1929120878360653E-2</v>
      </c>
      <c r="AB36" s="18" cm="1">
        <f t="array" ref="AB36">BS_Greek("PUT","GAMMA",$Q36,$B$1,$B$2,$R$3,AB$6)</f>
        <v>8.3496184427614955E-3</v>
      </c>
      <c r="AC36" s="18" cm="1">
        <f t="array" ref="AC36">BS_Greek("PUT","GAMMA",$Q36,$B$1,$B$2,$R$3,AC$6)</f>
        <v>6.7186139847336453E-3</v>
      </c>
      <c r="AD36" s="18" cm="1">
        <f t="array" ref="AD36">BS_Greek("PUT","GAMMA",$Q36,$B$1,$B$2,$R$3,AD$6)</f>
        <v>5.7278335105389279E-3</v>
      </c>
      <c r="AE36" s="31" cm="1">
        <f t="array" ref="AE36">BS_Greek("PUT","GAMMA",$Q36,$B$1,$B$2,$R$3,AE$6)</f>
        <v>5.0410846970877594E-3</v>
      </c>
      <c r="AG36" s="15">
        <v>105</v>
      </c>
      <c r="AH36" s="30" cm="1">
        <f t="array" ref="AH36">BS_Greek("PUT","GAMMA",$AG36,$B$1,$B$2,$AH$3,AH$26)</f>
        <v>3.3926069444668285E-2</v>
      </c>
      <c r="AI36" s="18" cm="1">
        <f t="array" ref="AI36">BS_Greek("PUT","GAMMA",$AG36,$B$1,$B$2,$AH$3,AI$26)</f>
        <v>4.3449753071981678E-2</v>
      </c>
      <c r="AJ36" s="18" cm="1">
        <f t="array" ref="AJ36">BS_Greek("PUT","GAMMA",$AG36,$B$1,$B$2,$AH$3,AJ$26)</f>
        <v>4.3212117686085308E-2</v>
      </c>
      <c r="AK36" s="18" cm="1">
        <f t="array" ref="AK36">BS_Greek("PUT","GAMMA",$AG36,$B$1,$B$2,$AH$3,AK$26)</f>
        <v>4.1278492158452369E-2</v>
      </c>
      <c r="AL36" s="18" cm="1">
        <f t="array" ref="AL36">BS_Greek("PUT","GAMMA",$AG36,$B$1,$B$2,$AH$3,AL$26)</f>
        <v>3.9140464152421513E-2</v>
      </c>
      <c r="AM36" s="18" cm="1">
        <f t="array" ref="AM36">BS_Greek("PUT","GAMMA",$AG36,$B$1,$B$2,$AH$3,AM$26)</f>
        <v>3.7134472308525492E-2</v>
      </c>
      <c r="AN36" s="18" cm="1">
        <f t="array" ref="AN36">BS_Greek("PUT","GAMMA",$AG36,$B$1,$B$2,$AH$3,AN$26)</f>
        <v>3.5328302741473978E-2</v>
      </c>
      <c r="AO36" s="18" cm="1">
        <f t="array" ref="AO36">BS_Greek("PUT","GAMMA",$AG36,$B$1,$B$2,$AH$3,AO$26)</f>
        <v>3.3718545937390328E-2</v>
      </c>
      <c r="AP36" s="18" cm="1">
        <f t="array" ref="AP36">BS_Greek("PUT","GAMMA",$AG36,$B$1,$B$2,$AH$3,AP$26)</f>
        <v>3.2283704705699044E-2</v>
      </c>
      <c r="AQ36" s="18" cm="1">
        <f t="array" ref="AQ36">BS_Greek("PUT","GAMMA",$AG36,$B$1,$B$2,$AH$3,AQ$26)</f>
        <v>3.0999845988993836E-2</v>
      </c>
      <c r="AR36" s="18" cm="1">
        <f t="array" ref="AR36">BS_Greek("PUT","GAMMA",$AG36,$B$1,$B$2,$AH$3,AR$26)</f>
        <v>2.3004058320651034E-2</v>
      </c>
      <c r="AS36" s="18" cm="1">
        <f t="array" ref="AS36">BS_Greek("PUT","GAMMA",$AG36,$B$1,$B$2,$AH$3,AS$26)</f>
        <v>1.8944723118837964E-2</v>
      </c>
      <c r="AT36" s="18" cm="1">
        <f t="array" ref="AT36">BS_Greek("PUT","GAMMA",$AG36,$B$1,$B$2,$AH$3,AT$26)</f>
        <v>1.6384783361470954E-2</v>
      </c>
      <c r="AU36" s="31" cm="1">
        <f t="array" ref="AU36">BS_Greek("PUT","GAMMA",$AG36,$B$1,$B$2,$AH$3,AU$26)</f>
        <v>1.457754724330231E-2</v>
      </c>
    </row>
    <row r="37" spans="1:47" x14ac:dyDescent="0.2">
      <c r="A37" s="15">
        <v>110</v>
      </c>
      <c r="B37" s="30" cm="1">
        <f t="array" ref="B37">BS_Greek("PUT","GAMMA",$A37,$B$1,$B$2,$B$3,B$6)</f>
        <v>1.7132125878144413E-2</v>
      </c>
      <c r="C37" s="18" cm="1">
        <f t="array" ref="C37">BS_Greek("PUT","GAMMA",$A37,$B$1,$B$2,$B$3,C$6)</f>
        <v>2.1349081451222499E-2</v>
      </c>
      <c r="D37" s="18" cm="1">
        <f t="array" ref="D37">BS_Greek("PUT","GAMMA",$A37,$B$1,$B$2,$B$3,D$6)</f>
        <v>2.1039503593612036E-2</v>
      </c>
      <c r="E37" s="18" cm="1">
        <f t="array" ref="E37">BS_Greek("PUT","GAMMA",$A37,$B$1,$B$2,$B$3,E$6)</f>
        <v>2.0006577096239694E-2</v>
      </c>
      <c r="F37" s="18" cm="1">
        <f t="array" ref="F37">BS_Greek("PUT","GAMMA",$A37,$B$1,$B$2,$B$3,F$6)</f>
        <v>1.8918485039079759E-2</v>
      </c>
      <c r="G37" s="18" cm="1">
        <f t="array" ref="G37">BS_Greek("PUT","GAMMA",$A37,$B$1,$B$2,$B$3,G$6)</f>
        <v>1.7916173218194175E-2</v>
      </c>
      <c r="H37" s="18" cm="1">
        <f t="array" ref="H37">BS_Greek("PUT","GAMMA",$A37,$B$1,$B$2,$B$3,H$6)</f>
        <v>1.7022556226213847E-2</v>
      </c>
      <c r="I37" s="18" cm="1">
        <f t="array" ref="I37">BS_Greek("PUT","GAMMA",$A37,$B$1,$B$2,$B$3,I$6)</f>
        <v>1.6231040004613291E-2</v>
      </c>
      <c r="J37" s="18" cm="1">
        <f t="array" ref="J37">BS_Greek("PUT","GAMMA",$A37,$B$1,$B$2,$B$3,J$6)</f>
        <v>1.5528543194402064E-2</v>
      </c>
      <c r="K37" s="18" cm="1">
        <f t="array" ref="K37">BS_Greek("PUT","GAMMA",$A37,$B$1,$B$2,$B$3,K$6)</f>
        <v>1.4901938093572724E-2</v>
      </c>
      <c r="L37" s="18" cm="1">
        <f t="array" ref="L37">BS_Greek("PUT","GAMMA",$A37,$B$1,$B$2,$B$3,L$6)</f>
        <v>1.1028059378052653E-2</v>
      </c>
      <c r="M37" s="18" cm="1">
        <f t="array" ref="M37">BS_Greek("PUT","GAMMA",$A37,$B$1,$B$2,$B$3,M$6)</f>
        <v>9.0737477955800411E-3</v>
      </c>
      <c r="N37" s="18" cm="1">
        <f t="array" ref="N37">BS_Greek("PUT","GAMMA",$A37,$B$1,$B$2,$B$3,N$6)</f>
        <v>7.8440625463605997E-3</v>
      </c>
      <c r="O37" s="31" cm="1">
        <f t="array" ref="O37">BS_Greek("PUT","GAMMA",$A37,$B$1,$B$2,$B$3,O$6)</f>
        <v>6.9769553505238452E-3</v>
      </c>
      <c r="Q37" s="15">
        <v>110</v>
      </c>
      <c r="R37" s="30" cm="1">
        <f t="array" ref="R37">BS_Greek("PUT","GAMMA",$Q37,$B$1,$B$2,$R$3,R$6)</f>
        <v>2.1736822486638243E-2</v>
      </c>
      <c r="S37" s="18" cm="1">
        <f t="array" ref="S37">BS_Greek("PUT","GAMMA",$Q37,$B$1,$B$2,$R$3,S$6)</f>
        <v>1.9748701502398162E-2</v>
      </c>
      <c r="T37" s="18" cm="1">
        <f t="array" ref="T37">BS_Greek("PUT","GAMMA",$Q37,$B$1,$B$2,$R$3,T$6)</f>
        <v>1.7510243021562299E-2</v>
      </c>
      <c r="U37" s="18" cm="1">
        <f t="array" ref="U37">BS_Greek("PUT","GAMMA",$Q37,$B$1,$B$2,$R$3,U$6)</f>
        <v>1.5789104753624824E-2</v>
      </c>
      <c r="V37" s="18" cm="1">
        <f t="array" ref="V37">BS_Greek("PUT","GAMMA",$Q37,$B$1,$B$2,$R$3,V$6)</f>
        <v>1.4458770943216178E-2</v>
      </c>
      <c r="W37" s="18" cm="1">
        <f t="array" ref="W37">BS_Greek("PUT","GAMMA",$Q37,$B$1,$B$2,$R$3,W$6)</f>
        <v>1.3400367884206782E-2</v>
      </c>
      <c r="X37" s="18" cm="1">
        <f t="array" ref="X37">BS_Greek("PUT","GAMMA",$Q37,$B$1,$B$2,$R$3,X$6)</f>
        <v>1.2535218696786308E-2</v>
      </c>
      <c r="Y37" s="18" cm="1">
        <f t="array" ref="Y37">BS_Greek("PUT","GAMMA",$Q37,$B$1,$B$2,$R$3,Y$6)</f>
        <v>1.1811904293602779E-2</v>
      </c>
      <c r="Z37" s="18" cm="1">
        <f t="array" ref="Z37">BS_Greek("PUT","GAMMA",$Q37,$B$1,$B$2,$R$3,Z$6)</f>
        <v>1.1195871235951031E-2</v>
      </c>
      <c r="AA37" s="18" cm="1">
        <f t="array" ref="AA37">BS_Greek("PUT","GAMMA",$Q37,$B$1,$B$2,$R$3,AA$6)</f>
        <v>1.0663126660408759E-2</v>
      </c>
      <c r="AB37" s="18" cm="1">
        <f t="array" ref="AB37">BS_Greek("PUT","GAMMA",$Q37,$B$1,$B$2,$R$3,AB$6)</f>
        <v>7.603783522576131E-3</v>
      </c>
      <c r="AC37" s="18" cm="1">
        <f t="array" ref="AC37">BS_Greek("PUT","GAMMA",$Q37,$B$1,$B$2,$R$3,AC$6)</f>
        <v>6.1565649557768741E-3</v>
      </c>
      <c r="AD37" s="18" cm="1">
        <f t="array" ref="AD37">BS_Greek("PUT","GAMMA",$Q37,$B$1,$B$2,$R$3,AD$6)</f>
        <v>5.2649832426331956E-3</v>
      </c>
      <c r="AE37" s="31" cm="1">
        <f t="array" ref="AE37">BS_Greek("PUT","GAMMA",$Q37,$B$1,$B$2,$R$3,AE$6)</f>
        <v>4.6423651796184996E-3</v>
      </c>
      <c r="AG37" s="15">
        <v>110</v>
      </c>
      <c r="AH37" s="30" cm="1">
        <f t="array" ref="AH37">BS_Greek("PUT","GAMMA",$AG37,$B$1,$B$2,$AH$3,AH$26)</f>
        <v>1.0577125055269184E-3</v>
      </c>
      <c r="AI37" s="18" cm="1">
        <f t="array" ref="AI37">BS_Greek("PUT","GAMMA",$AG37,$B$1,$B$2,$AH$3,AI$26)</f>
        <v>7.2385257929532482E-3</v>
      </c>
      <c r="AJ37" s="18" cm="1">
        <f t="array" ref="AJ37">BS_Greek("PUT","GAMMA",$AG37,$B$1,$B$2,$AH$3,AJ$26)</f>
        <v>1.2585716288856257E-2</v>
      </c>
      <c r="AK37" s="18" cm="1">
        <f t="array" ref="AK37">BS_Greek("PUT","GAMMA",$AG37,$B$1,$B$2,$AH$3,AK$26)</f>
        <v>1.5896481134192911E-2</v>
      </c>
      <c r="AL37" s="18" cm="1">
        <f t="array" ref="AL37">BS_Greek("PUT","GAMMA",$AG37,$B$1,$B$2,$AH$3,AL$26)</f>
        <v>1.7823213843019738E-2</v>
      </c>
      <c r="AM37" s="18" cm="1">
        <f t="array" ref="AM37">BS_Greek("PUT","GAMMA",$AG37,$B$1,$B$2,$AH$3,AM$26)</f>
        <v>1.8908593172743498E-2</v>
      </c>
      <c r="AN37" s="18" cm="1">
        <f t="array" ref="AN37">BS_Greek("PUT","GAMMA",$AG37,$B$1,$B$2,$AH$3,AN$26)</f>
        <v>1.9483332622964509E-2</v>
      </c>
      <c r="AO37" s="18" cm="1">
        <f t="array" ref="AO37">BS_Greek("PUT","GAMMA",$AG37,$B$1,$B$2,$AH$3,AO$26)</f>
        <v>1.9742547542846395E-2</v>
      </c>
      <c r="AP37" s="18" cm="1">
        <f t="array" ref="AP37">BS_Greek("PUT","GAMMA",$AG37,$B$1,$B$2,$AH$3,AP$26)</f>
        <v>1.9803191408745979E-2</v>
      </c>
      <c r="AQ37" s="18" cm="1">
        <f t="array" ref="AQ37">BS_Greek("PUT","GAMMA",$AG37,$B$1,$B$2,$AH$3,AQ$26)</f>
        <v>1.9737190221859435E-2</v>
      </c>
      <c r="AR37" s="18" cm="1">
        <f t="array" ref="AR37">BS_Greek("PUT","GAMMA",$AG37,$B$1,$B$2,$AH$3,AR$26)</f>
        <v>1.7318613598151577E-2</v>
      </c>
      <c r="AS37" s="18" cm="1">
        <f t="array" ref="AS37">BS_Greek("PUT","GAMMA",$AG37,$B$1,$B$2,$AH$3,AS$26)</f>
        <v>1.5081963394812057E-2</v>
      </c>
      <c r="AT37" s="18" cm="1">
        <f t="array" ref="AT37">BS_Greek("PUT","GAMMA",$AG37,$B$1,$B$2,$AH$3,AT$26)</f>
        <v>1.3413459498534529E-2</v>
      </c>
      <c r="AU37" s="31" cm="1">
        <f t="array" ref="AU37">BS_Greek("PUT","GAMMA",$AG37,$B$1,$B$2,$AH$3,AU$26)</f>
        <v>1.2135644435772964E-2</v>
      </c>
    </row>
    <row r="38" spans="1:47" x14ac:dyDescent="0.2">
      <c r="A38" s="15">
        <v>115</v>
      </c>
      <c r="B38" s="30" cm="1">
        <f t="array" ref="B38">BS_Greek("PUT","GAMMA",$A38,$B$1,$B$2,$B$3,B$6)</f>
        <v>4.293033327812704E-3</v>
      </c>
      <c r="C38" s="18" cm="1">
        <f t="array" ref="C38">BS_Greek("PUT","GAMMA",$A38,$B$1,$B$2,$B$3,C$6)</f>
        <v>1.0279303406877476E-2</v>
      </c>
      <c r="D38" s="18" cm="1">
        <f t="array" ref="D38">BS_Greek("PUT","GAMMA",$A38,$B$1,$B$2,$B$3,D$6)</f>
        <v>1.259400347775148E-2</v>
      </c>
      <c r="E38" s="18" cm="1">
        <f t="array" ref="E38">BS_Greek("PUT","GAMMA",$A38,$B$1,$B$2,$B$3,E$6)</f>
        <v>1.3352820984703351E-2</v>
      </c>
      <c r="F38" s="18" cm="1">
        <f t="array" ref="F38">BS_Greek("PUT","GAMMA",$A38,$B$1,$B$2,$B$3,F$6)</f>
        <v>1.3478753756809105E-2</v>
      </c>
      <c r="G38" s="18" cm="1">
        <f t="array" ref="G38">BS_Greek("PUT","GAMMA",$A38,$B$1,$B$2,$B$3,G$6)</f>
        <v>1.3332678349343829E-2</v>
      </c>
      <c r="H38" s="18" cm="1">
        <f t="array" ref="H38">BS_Greek("PUT","GAMMA",$A38,$B$1,$B$2,$B$3,H$6)</f>
        <v>1.306782132810054E-2</v>
      </c>
      <c r="I38" s="18" cm="1">
        <f t="array" ref="I38">BS_Greek("PUT","GAMMA",$A38,$B$1,$B$2,$B$3,I$6)</f>
        <v>1.2754236173725023E-2</v>
      </c>
      <c r="J38" s="18" cm="1">
        <f t="array" ref="J38">BS_Greek("PUT","GAMMA",$A38,$B$1,$B$2,$B$3,J$6)</f>
        <v>1.2425602990436633E-2</v>
      </c>
      <c r="K38" s="18" cm="1">
        <f t="array" ref="K38">BS_Greek("PUT","GAMMA",$A38,$B$1,$B$2,$B$3,K$6)</f>
        <v>1.2098525266351955E-2</v>
      </c>
      <c r="L38" s="18" cm="1">
        <f t="array" ref="L38">BS_Greek("PUT","GAMMA",$A38,$B$1,$B$2,$B$3,L$6)</f>
        <v>9.5576676672171155E-3</v>
      </c>
      <c r="M38" s="18" cm="1">
        <f t="array" ref="M38">BS_Greek("PUT","GAMMA",$A38,$B$1,$B$2,$B$3,M$6)</f>
        <v>8.0369990403848408E-3</v>
      </c>
      <c r="N38" s="18" cm="1">
        <f t="array" ref="N38">BS_Greek("PUT","GAMMA",$A38,$B$1,$B$2,$B$3,N$6)</f>
        <v>7.0238536178371452E-3</v>
      </c>
      <c r="O38" s="31" cm="1">
        <f t="array" ref="O38">BS_Greek("PUT","GAMMA",$A38,$B$1,$B$2,$B$3,O$6)</f>
        <v>6.2883493733863092E-3</v>
      </c>
      <c r="Q38" s="15">
        <v>115</v>
      </c>
      <c r="R38" s="30" cm="1">
        <f t="array" ref="R38">BS_Greek("PUT","GAMMA",$Q38,$B$1,$B$2,$R$3,R$6)</f>
        <v>1.1323389096223548E-2</v>
      </c>
      <c r="S38" s="18" cm="1">
        <f t="array" ref="S38">BS_Greek("PUT","GAMMA",$Q38,$B$1,$B$2,$R$3,S$6)</f>
        <v>1.3752363931184041E-2</v>
      </c>
      <c r="T38" s="18" cm="1">
        <f t="array" ref="T38">BS_Greek("PUT","GAMMA",$Q38,$B$1,$B$2,$R$3,T$6)</f>
        <v>1.3432302518922605E-2</v>
      </c>
      <c r="U38" s="18" cm="1">
        <f t="array" ref="U38">BS_Greek("PUT","GAMMA",$Q38,$B$1,$B$2,$R$3,U$6)</f>
        <v>1.2712341075815795E-2</v>
      </c>
      <c r="V38" s="18" cm="1">
        <f t="array" ref="V38">BS_Greek("PUT","GAMMA",$Q38,$B$1,$B$2,$R$3,V$6)</f>
        <v>1.1984095247208171E-2</v>
      </c>
      <c r="W38" s="18" cm="1">
        <f t="array" ref="W38">BS_Greek("PUT","GAMMA",$Q38,$B$1,$B$2,$R$3,W$6)</f>
        <v>1.1323860006353008E-2</v>
      </c>
      <c r="X38" s="18" cm="1">
        <f t="array" ref="X38">BS_Greek("PUT","GAMMA",$Q38,$B$1,$B$2,$R$3,X$6)</f>
        <v>1.0740202466580619E-2</v>
      </c>
      <c r="Y38" s="18" cm="1">
        <f t="array" ref="Y38">BS_Greek("PUT","GAMMA",$Q38,$B$1,$B$2,$R$3,Y$6)</f>
        <v>1.0225923975723967E-2</v>
      </c>
      <c r="Z38" s="18" cm="1">
        <f t="array" ref="Z38">BS_Greek("PUT","GAMMA",$Q38,$B$1,$B$2,$R$3,Z$6)</f>
        <v>9.7710707636894829E-3</v>
      </c>
      <c r="AA38" s="18" cm="1">
        <f t="array" ref="AA38">BS_Greek("PUT","GAMMA",$Q38,$B$1,$B$2,$R$3,AA$6)</f>
        <v>9.366344559542529E-3</v>
      </c>
      <c r="AB38" s="18" cm="1">
        <f t="array" ref="AB38">BS_Greek("PUT","GAMMA",$Q38,$B$1,$B$2,$R$3,AB$6)</f>
        <v>6.8757669831697619E-3</v>
      </c>
      <c r="AC38" s="18" cm="1">
        <f t="array" ref="AC38">BS_Greek("PUT","GAMMA",$Q38,$B$1,$B$2,$R$3,AC$6)</f>
        <v>5.6212360131347814E-3</v>
      </c>
      <c r="AD38" s="18" cm="1">
        <f t="array" ref="AD38">BS_Greek("PUT","GAMMA",$Q38,$B$1,$B$2,$R$3,AD$6)</f>
        <v>4.8304914892427558E-3</v>
      </c>
      <c r="AE38" s="31" cm="1">
        <f t="array" ref="AE38">BS_Greek("PUT","GAMMA",$Q38,$B$1,$B$2,$R$3,AE$6)</f>
        <v>4.2716357498546308E-3</v>
      </c>
      <c r="AG38" s="15">
        <v>115</v>
      </c>
      <c r="AH38" s="30" cm="1">
        <f t="array" ref="AH38">BS_Greek("PUT","GAMMA",$AG38,$B$1,$B$2,$AH$3,AH$26)</f>
        <v>5.0939285700327113E-6</v>
      </c>
      <c r="AI38" s="18" cm="1">
        <f t="array" ref="AI38">BS_Greek("PUT","GAMMA",$AG38,$B$1,$B$2,$AH$3,AI$26)</f>
        <v>4.751834300064429E-4</v>
      </c>
      <c r="AJ38" s="18" cm="1">
        <f t="array" ref="AJ38">BS_Greek("PUT","GAMMA",$AG38,$B$1,$B$2,$AH$3,AJ$26)</f>
        <v>1.9736239926009679E-3</v>
      </c>
      <c r="AK38" s="18" cm="1">
        <f t="array" ref="AK38">BS_Greek("PUT","GAMMA",$AG38,$B$1,$B$2,$AH$3,AK$26)</f>
        <v>3.852788206715317E-3</v>
      </c>
      <c r="AL38" s="18" cm="1">
        <f t="array" ref="AL38">BS_Greek("PUT","GAMMA",$AG38,$B$1,$B$2,$AH$3,AL$26)</f>
        <v>5.6093527215653801E-3</v>
      </c>
      <c r="AM38" s="18" cm="1">
        <f t="array" ref="AM38">BS_Greek("PUT","GAMMA",$AG38,$B$1,$B$2,$AH$3,AM$26)</f>
        <v>7.0830615084530816E-3</v>
      </c>
      <c r="AN38" s="18" cm="1">
        <f t="array" ref="AN38">BS_Greek("PUT","GAMMA",$AG38,$B$1,$B$2,$AH$3,AN$26)</f>
        <v>8.2651375479295131E-3</v>
      </c>
      <c r="AO38" s="18" cm="1">
        <f t="array" ref="AO38">BS_Greek("PUT","GAMMA",$AG38,$B$1,$B$2,$AH$3,AO$26)</f>
        <v>9.19409140342148E-3</v>
      </c>
      <c r="AP38" s="18" cm="1">
        <f t="array" ref="AP38">BS_Greek("PUT","GAMMA",$AG38,$B$1,$B$2,$AH$3,AP$26)</f>
        <v>9.9164315716425786E-3</v>
      </c>
      <c r="AQ38" s="18" cm="1">
        <f t="array" ref="AQ38">BS_Greek("PUT","GAMMA",$AG38,$B$1,$B$2,$AH$3,AQ$26)</f>
        <v>1.0474112849205516E-2</v>
      </c>
      <c r="AR38" s="18" cm="1">
        <f t="array" ref="AR38">BS_Greek("PUT","GAMMA",$AG38,$B$1,$B$2,$AH$3,AR$26)</f>
        <v>1.1934318929118741E-2</v>
      </c>
      <c r="AS38" s="18" cm="1">
        <f t="array" ref="AS38">BS_Greek("PUT","GAMMA",$AG38,$B$1,$B$2,$AH$3,AS$26)</f>
        <v>1.1338612960202374E-2</v>
      </c>
      <c r="AT38" s="18" cm="1">
        <f t="array" ref="AT38">BS_Greek("PUT","GAMMA",$AG38,$B$1,$B$2,$AH$3,AT$26)</f>
        <v>1.053298866360371E-2</v>
      </c>
      <c r="AU38" s="31" cm="1">
        <f t="array" ref="AU38">BS_Greek("PUT","GAMMA",$AG38,$B$1,$B$2,$AH$3,AU$26)</f>
        <v>9.7818031211006854E-3</v>
      </c>
    </row>
    <row r="39" spans="1:47" x14ac:dyDescent="0.2">
      <c r="A39" s="15">
        <v>120</v>
      </c>
      <c r="B39" s="30" cm="1">
        <f t="array" ref="B39">BS_Greek("PUT","GAMMA",$A39,$B$1,$B$2,$B$3,B$6)</f>
        <v>7.1823787351586244E-4</v>
      </c>
      <c r="C39" s="18" cm="1">
        <f t="array" ref="C39">BS_Greek("PUT","GAMMA",$A39,$B$1,$B$2,$B$3,C$6)</f>
        <v>4.0508179535475647E-3</v>
      </c>
      <c r="D39" s="18" cm="1">
        <f t="array" ref="D39">BS_Greek("PUT","GAMMA",$A39,$B$1,$B$2,$B$3,D$6)</f>
        <v>6.6034037139998071E-3</v>
      </c>
      <c r="E39" s="18" cm="1">
        <f t="array" ref="E39">BS_Greek("PUT","GAMMA",$A39,$B$1,$B$2,$B$3,E$6)</f>
        <v>8.0758746095868535E-3</v>
      </c>
      <c r="F39" s="18" cm="1">
        <f t="array" ref="F39">BS_Greek("PUT","GAMMA",$A39,$B$1,$B$2,$B$3,F$6)</f>
        <v>8.881243547387634E-3</v>
      </c>
      <c r="G39" s="18" cm="1">
        <f t="array" ref="G39">BS_Greek("PUT","GAMMA",$A39,$B$1,$B$2,$B$3,G$6)</f>
        <v>9.3013597568778455E-3</v>
      </c>
      <c r="H39" s="18" cm="1">
        <f t="array" ref="H39">BS_Greek("PUT","GAMMA",$A39,$B$1,$B$2,$B$3,H$6)</f>
        <v>9.496205086649636E-3</v>
      </c>
      <c r="I39" s="18" cm="1">
        <f t="array" ref="I39">BS_Greek("PUT","GAMMA",$A39,$B$1,$B$2,$B$3,I$6)</f>
        <v>9.5562993383245896E-3</v>
      </c>
      <c r="J39" s="18" cm="1">
        <f t="array" ref="J39">BS_Greek("PUT","GAMMA",$A39,$B$1,$B$2,$B$3,J$6)</f>
        <v>9.5342861100476337E-3</v>
      </c>
      <c r="K39" s="18" cm="1">
        <f t="array" ref="K39">BS_Greek("PUT","GAMMA",$A39,$B$1,$B$2,$B$3,K$6)</f>
        <v>9.46175015661453E-3</v>
      </c>
      <c r="L39" s="18" cm="1">
        <f t="array" ref="L39">BS_Greek("PUT","GAMMA",$A39,$B$1,$B$2,$B$3,L$6)</f>
        <v>8.1432630811320347E-3</v>
      </c>
      <c r="M39" s="18" cm="1">
        <f t="array" ref="M39">BS_Greek("PUT","GAMMA",$A39,$B$1,$B$2,$B$3,M$6)</f>
        <v>7.0460051549628569E-3</v>
      </c>
      <c r="N39" s="18" cm="1">
        <f t="array" ref="N39">BS_Greek("PUT","GAMMA",$A39,$B$1,$B$2,$B$3,N$6)</f>
        <v>6.2463417557349936E-3</v>
      </c>
      <c r="O39" s="31" cm="1">
        <f t="array" ref="O39">BS_Greek("PUT","GAMMA",$A39,$B$1,$B$2,$B$3,O$6)</f>
        <v>5.6403714114604637E-3</v>
      </c>
      <c r="Q39" s="15">
        <v>120</v>
      </c>
      <c r="R39" s="30" cm="1">
        <f t="array" ref="R39">BS_Greek("PUT","GAMMA",$Q39,$B$1,$B$2,$R$3,R$6)</f>
        <v>4.9370130845059271E-3</v>
      </c>
      <c r="S39" s="18" cm="1">
        <f t="array" ref="S39">BS_Greek("PUT","GAMMA",$Q39,$B$1,$B$2,$R$3,S$6)</f>
        <v>8.7746917760978451E-3</v>
      </c>
      <c r="T39" s="18" cm="1">
        <f t="array" ref="T39">BS_Greek("PUT","GAMMA",$Q39,$B$1,$B$2,$R$3,T$6)</f>
        <v>9.7303217208305603E-3</v>
      </c>
      <c r="U39" s="18" cm="1">
        <f t="array" ref="U39">BS_Greek("PUT","GAMMA",$Q39,$B$1,$B$2,$R$3,U$6)</f>
        <v>9.8121320272589446E-3</v>
      </c>
      <c r="V39" s="18" cm="1">
        <f t="array" ref="V39">BS_Greek("PUT","GAMMA",$Q39,$B$1,$B$2,$R$3,V$6)</f>
        <v>9.6090347795308416E-3</v>
      </c>
      <c r="W39" s="18" cm="1">
        <f t="array" ref="W39">BS_Greek("PUT","GAMMA",$Q39,$B$1,$B$2,$R$3,W$6)</f>
        <v>9.3130824817801022E-3</v>
      </c>
      <c r="X39" s="18" cm="1">
        <f t="array" ref="X39">BS_Greek("PUT","GAMMA",$Q39,$B$1,$B$2,$R$3,X$6)</f>
        <v>8.9946864621100794E-3</v>
      </c>
      <c r="Y39" s="18" cm="1">
        <f t="array" ref="Y39">BS_Greek("PUT","GAMMA",$Q39,$B$1,$B$2,$R$3,Y$6)</f>
        <v>8.6812461969082502E-3</v>
      </c>
      <c r="Z39" s="18" cm="1">
        <f t="array" ref="Z39">BS_Greek("PUT","GAMMA",$Q39,$B$1,$B$2,$R$3,Z$6)</f>
        <v>8.3833035199653554E-3</v>
      </c>
      <c r="AA39" s="18" cm="1">
        <f t="array" ref="AA39">BS_Greek("PUT","GAMMA",$Q39,$B$1,$B$2,$R$3,AA$6)</f>
        <v>8.1043460458643246E-3</v>
      </c>
      <c r="AB39" s="18" cm="1">
        <f t="array" ref="AB39">BS_Greek("PUT","GAMMA",$Q39,$B$1,$B$2,$R$3,AB$6)</f>
        <v>6.1802445927498393E-3</v>
      </c>
      <c r="AC39" s="18" cm="1">
        <f t="array" ref="AC39">BS_Greek("PUT","GAMMA",$Q39,$B$1,$B$2,$R$3,AC$6)</f>
        <v>5.1171548019673793E-3</v>
      </c>
      <c r="AD39" s="18" cm="1">
        <f t="array" ref="AD39">BS_Greek("PUT","GAMMA",$Q39,$B$1,$B$2,$R$3,AD$6)</f>
        <v>4.4253147744497462E-3</v>
      </c>
      <c r="AE39" s="31" cm="1">
        <f t="array" ref="AE39">BS_Greek("PUT","GAMMA",$Q39,$B$1,$B$2,$R$3,AE$6)</f>
        <v>3.928264530213923E-3</v>
      </c>
      <c r="AG39" s="15">
        <v>120</v>
      </c>
      <c r="AH39" s="30" cm="1">
        <f t="array" ref="AH39">BS_Greek("PUT","GAMMA",$AG39,$B$1,$B$2,$AH$3,AH$26)</f>
        <v>4.8333065983836836E-9</v>
      </c>
      <c r="AI39" s="18" cm="1">
        <f t="array" ref="AI39">BS_Greek("PUT","GAMMA",$AG39,$B$1,$B$2,$AH$3,AI$26)</f>
        <v>1.3878827508435486E-5</v>
      </c>
      <c r="AJ39" s="18" cm="1">
        <f t="array" ref="AJ39">BS_Greek("PUT","GAMMA",$AG39,$B$1,$B$2,$AH$3,AJ$26)</f>
        <v>1.8065746203269184E-4</v>
      </c>
      <c r="AK39" s="18" cm="1">
        <f t="array" ref="AK39">BS_Greek("PUT","GAMMA",$AG39,$B$1,$B$2,$AH$3,AK$26)</f>
        <v>6.2433347878451618E-4</v>
      </c>
      <c r="AL39" s="18" cm="1">
        <f t="array" ref="AL39">BS_Greek("PUT","GAMMA",$AG39,$B$1,$B$2,$AH$3,AL$26)</f>
        <v>1.280513723504407E-3</v>
      </c>
      <c r="AM39" s="18" cm="1">
        <f t="array" ref="AM39">BS_Greek("PUT","GAMMA",$AG39,$B$1,$B$2,$AH$3,AM$26)</f>
        <v>2.0319475824949755E-3</v>
      </c>
      <c r="AN39" s="18" cm="1">
        <f t="array" ref="AN39">BS_Greek("PUT","GAMMA",$AG39,$B$1,$B$2,$AH$3,AN$26)</f>
        <v>2.7913416838140051E-3</v>
      </c>
      <c r="AO39" s="18" cm="1">
        <f t="array" ref="AO39">BS_Greek("PUT","GAMMA",$AG39,$B$1,$B$2,$AH$3,AO$26)</f>
        <v>3.5093388466936421E-3</v>
      </c>
      <c r="AP39" s="18" cm="1">
        <f t="array" ref="AP39">BS_Greek("PUT","GAMMA",$AG39,$B$1,$B$2,$AH$3,AP$26)</f>
        <v>4.1630686520652089E-3</v>
      </c>
      <c r="AQ39" s="18" cm="1">
        <f t="array" ref="AQ39">BS_Greek("PUT","GAMMA",$AG39,$B$1,$B$2,$AH$3,AQ$26)</f>
        <v>4.7451367772989445E-3</v>
      </c>
      <c r="AR39" s="18" cm="1">
        <f t="array" ref="AR39">BS_Greek("PUT","GAMMA",$AG39,$B$1,$B$2,$AH$3,AR$26)</f>
        <v>7.6165645282489083E-3</v>
      </c>
      <c r="AS39" s="18" cm="1">
        <f t="array" ref="AS39">BS_Greek("PUT","GAMMA",$AG39,$B$1,$B$2,$AH$3,AS$26)</f>
        <v>8.1120649104783824E-3</v>
      </c>
      <c r="AT39" s="18" cm="1">
        <f t="array" ref="AT39">BS_Greek("PUT","GAMMA",$AG39,$B$1,$B$2,$AH$3,AT$26)</f>
        <v>7.9786259054980633E-3</v>
      </c>
      <c r="AU39" s="31" cm="1">
        <f t="array" ref="AU39">BS_Greek("PUT","GAMMA",$AG39,$B$1,$B$2,$AH$3,AU$26)</f>
        <v>7.6679346587994893E-3</v>
      </c>
    </row>
    <row r="40" spans="1:47" x14ac:dyDescent="0.2">
      <c r="A40" s="15">
        <v>125</v>
      </c>
      <c r="B40" s="30" cm="1">
        <f t="array" ref="B40">BS_Greek("PUT","GAMMA",$A40,$B$1,$B$2,$B$3,B$6)</f>
        <v>8.446823286585097E-5</v>
      </c>
      <c r="C40" s="18" cm="1">
        <f t="array" ref="C40">BS_Greek("PUT","GAMMA",$A40,$B$1,$B$2,$B$3,C$6)</f>
        <v>1.3404252747399995E-3</v>
      </c>
      <c r="D40" s="18" cm="1">
        <f t="array" ref="D40">BS_Greek("PUT","GAMMA",$A40,$B$1,$B$2,$B$3,D$6)</f>
        <v>3.0847927412867735E-3</v>
      </c>
      <c r="E40" s="18" cm="1">
        <f t="array" ref="E40">BS_Greek("PUT","GAMMA",$A40,$B$1,$B$2,$B$3,E$6)</f>
        <v>4.4825674910614196E-3</v>
      </c>
      <c r="F40" s="18" cm="1">
        <f t="array" ref="F40">BS_Greek("PUT","GAMMA",$A40,$B$1,$B$2,$B$3,F$6)</f>
        <v>5.4668672380470719E-3</v>
      </c>
      <c r="G40" s="18" cm="1">
        <f t="array" ref="G40">BS_Greek("PUT","GAMMA",$A40,$B$1,$B$2,$B$3,G$6)</f>
        <v>6.1342693499021788E-3</v>
      </c>
      <c r="H40" s="18" cm="1">
        <f t="array" ref="H40">BS_Greek("PUT","GAMMA",$A40,$B$1,$B$2,$B$3,H$6)</f>
        <v>6.5790096216856199E-3</v>
      </c>
      <c r="I40" s="18" cm="1">
        <f t="array" ref="I40">BS_Greek("PUT","GAMMA",$A40,$B$1,$B$2,$B$3,I$6)</f>
        <v>6.8698255498420117E-3</v>
      </c>
      <c r="J40" s="18" cm="1">
        <f t="array" ref="J40">BS_Greek("PUT","GAMMA",$A40,$B$1,$B$2,$B$3,J$6)</f>
        <v>7.0538139252298493E-3</v>
      </c>
      <c r="K40" s="18" cm="1">
        <f t="array" ref="K40">BS_Greek("PUT","GAMMA",$A40,$B$1,$B$2,$B$3,K$6)</f>
        <v>7.162937779782763E-3</v>
      </c>
      <c r="L40" s="18" cm="1">
        <f t="array" ref="L40">BS_Greek("PUT","GAMMA",$A40,$B$1,$B$2,$B$3,L$6)</f>
        <v>6.8366861897907437E-3</v>
      </c>
      <c r="M40" s="18" cm="1">
        <f t="array" ref="M40">BS_Greek("PUT","GAMMA",$A40,$B$1,$B$2,$B$3,M$6)</f>
        <v>6.1230240136718652E-3</v>
      </c>
      <c r="N40" s="18" cm="1">
        <f t="array" ref="N40">BS_Greek("PUT","GAMMA",$A40,$B$1,$B$2,$B$3,N$6)</f>
        <v>5.5225119093422646E-3</v>
      </c>
      <c r="O40" s="31" cm="1">
        <f t="array" ref="O40">BS_Greek("PUT","GAMMA",$A40,$B$1,$B$2,$B$3,O$6)</f>
        <v>5.0386172534840892E-3</v>
      </c>
      <c r="Q40" s="15">
        <v>125</v>
      </c>
      <c r="R40" s="30" cm="1">
        <f t="array" ref="R40">BS_Greek("PUT","GAMMA",$Q40,$B$1,$B$2,$R$3,R$6)</f>
        <v>1.843087308399202E-3</v>
      </c>
      <c r="S40" s="18" cm="1">
        <f t="array" ref="S40">BS_Greek("PUT","GAMMA",$Q40,$B$1,$B$2,$R$3,S$6)</f>
        <v>5.1878950118337819E-3</v>
      </c>
      <c r="T40" s="18" cm="1">
        <f t="array" ref="T40">BS_Greek("PUT","GAMMA",$Q40,$B$1,$B$2,$R$3,T$6)</f>
        <v>6.705724926415333E-3</v>
      </c>
      <c r="U40" s="18" cm="1">
        <f t="array" ref="U40">BS_Greek("PUT","GAMMA",$Q40,$B$1,$B$2,$R$3,U$6)</f>
        <v>7.3006500382870026E-3</v>
      </c>
      <c r="V40" s="18" cm="1">
        <f t="array" ref="V40">BS_Greek("PUT","GAMMA",$Q40,$B$1,$B$2,$R$3,V$6)</f>
        <v>7.4859286012427398E-3</v>
      </c>
      <c r="W40" s="18" cm="1">
        <f t="array" ref="W40">BS_Greek("PUT","GAMMA",$Q40,$B$1,$B$2,$R$3,W$6)</f>
        <v>7.4811990466972442E-3</v>
      </c>
      <c r="X40" s="18" cm="1">
        <f t="array" ref="X40">BS_Greek("PUT","GAMMA",$Q40,$B$1,$B$2,$R$3,X$6)</f>
        <v>7.3853698760191306E-3</v>
      </c>
      <c r="Y40" s="18" cm="1">
        <f t="array" ref="Y40">BS_Greek("PUT","GAMMA",$Q40,$B$1,$B$2,$R$3,Y$6)</f>
        <v>7.2460218594597317E-3</v>
      </c>
      <c r="Z40" s="18" cm="1">
        <f t="array" ref="Z40">BS_Greek("PUT","GAMMA",$Q40,$B$1,$B$2,$R$3,Z$6)</f>
        <v>7.0872762215001793E-3</v>
      </c>
      <c r="AA40" s="18" cm="1">
        <f t="array" ref="AA40">BS_Greek("PUT","GAMMA",$Q40,$B$1,$B$2,$R$3,AA$6)</f>
        <v>6.921806072432455E-3</v>
      </c>
      <c r="AB40" s="18" cm="1">
        <f t="array" ref="AB40">BS_Greek("PUT","GAMMA",$Q40,$B$1,$B$2,$R$3,AB$6)</f>
        <v>5.5268144202571517E-3</v>
      </c>
      <c r="AC40" s="18" cm="1">
        <f t="array" ref="AC40">BS_Greek("PUT","GAMMA",$Q40,$B$1,$B$2,$R$3,AC$6)</f>
        <v>4.6467969605679983E-3</v>
      </c>
      <c r="AD40" s="18" cm="1">
        <f t="array" ref="AD40">BS_Greek("PUT","GAMMA",$Q40,$B$1,$B$2,$R$3,AD$6)</f>
        <v>4.0494614630788676E-3</v>
      </c>
      <c r="AE40" s="31" cm="1">
        <f t="array" ref="AE40">BS_Greek("PUT","GAMMA",$Q40,$B$1,$B$2,$R$3,AE$6)</f>
        <v>3.6111922111984628E-3</v>
      </c>
      <c r="AG40" s="15">
        <v>125</v>
      </c>
      <c r="AH40" s="30" cm="1">
        <f t="array" ref="AH40">BS_Greek("PUT","GAMMA",$AG40,$B$1,$B$2,$AH$3,AH$26)</f>
        <v>1.1110259985098477E-12</v>
      </c>
      <c r="AI40" s="18" cm="1">
        <f t="array" ref="AI40">BS_Greek("PUT","GAMMA",$AG40,$B$1,$B$2,$AH$3,AI$26)</f>
        <v>1.9995476488667823E-7</v>
      </c>
      <c r="AJ40" s="18" cm="1">
        <f t="array" ref="AJ40">BS_Greek("PUT","GAMMA",$AG40,$B$1,$B$2,$AH$3,AJ$26)</f>
        <v>1.0338747257813659E-5</v>
      </c>
      <c r="AK40" s="18" cm="1">
        <f t="array" ref="AK40">BS_Greek("PUT","GAMMA",$AG40,$B$1,$B$2,$AH$3,AK$26)</f>
        <v>7.121068360385758E-5</v>
      </c>
      <c r="AL40" s="18" cm="1">
        <f t="array" ref="AL40">BS_Greek("PUT","GAMMA",$AG40,$B$1,$B$2,$AH$3,AL$26)</f>
        <v>2.2091371478623337E-4</v>
      </c>
      <c r="AM40" s="18" cm="1">
        <f t="array" ref="AM40">BS_Greek("PUT","GAMMA",$AG40,$B$1,$B$2,$AH$3,AM$26)</f>
        <v>4.6191019586218839E-4</v>
      </c>
      <c r="AN40" s="18" cm="1">
        <f t="array" ref="AN40">BS_Greek("PUT","GAMMA",$AG40,$B$1,$B$2,$AH$3,AN$26)</f>
        <v>7.7274142964303336E-4</v>
      </c>
      <c r="AO40" s="18" cm="1">
        <f t="array" ref="AO40">BS_Greek("PUT","GAMMA",$AG40,$B$1,$B$2,$AH$3,AO$26)</f>
        <v>1.1262339391078598E-3</v>
      </c>
      <c r="AP40" s="18" cm="1">
        <f t="array" ref="AP40">BS_Greek("PUT","GAMMA",$AG40,$B$1,$B$2,$AH$3,AP$26)</f>
        <v>1.4987745127806543E-3</v>
      </c>
      <c r="AQ40" s="18" cm="1">
        <f t="array" ref="AQ40">BS_Greek("PUT","GAMMA",$AG40,$B$1,$B$2,$AH$3,AQ$26)</f>
        <v>1.8728672584138739E-3</v>
      </c>
      <c r="AR40" s="18" cm="1">
        <f t="array" ref="AR40">BS_Greek("PUT","GAMMA",$AG40,$B$1,$B$2,$AH$3,AR$26)</f>
        <v>4.5470245404394495E-3</v>
      </c>
      <c r="AS40" s="18" cm="1">
        <f t="array" ref="AS40">BS_Greek("PUT","GAMMA",$AG40,$B$1,$B$2,$AH$3,AS$26)</f>
        <v>5.5590796015987428E-3</v>
      </c>
      <c r="AT40" s="18" cm="1">
        <f t="array" ref="AT40">BS_Greek("PUT","GAMMA",$AG40,$B$1,$B$2,$AH$3,AT$26)</f>
        <v>5.8580251271742132E-3</v>
      </c>
      <c r="AU40" s="31" cm="1">
        <f t="array" ref="AU40">BS_Greek("PUT","GAMMA",$AG40,$B$1,$B$2,$AH$3,AU$26)</f>
        <v>5.8677624274978352E-3</v>
      </c>
    </row>
    <row r="41" spans="1:47" x14ac:dyDescent="0.2">
      <c r="A41" s="15">
        <v>130</v>
      </c>
      <c r="B41" s="30" cm="1">
        <f t="array" ref="B41">BS_Greek("PUT","GAMMA",$A41,$B$1,$B$2,$B$3,B$6)</f>
        <v>7.2972234478141031E-6</v>
      </c>
      <c r="C41" s="18" cm="1">
        <f t="array" ref="C41">BS_Greek("PUT","GAMMA",$A41,$B$1,$B$2,$B$3,C$6)</f>
        <v>3.806891985019321E-4</v>
      </c>
      <c r="D41" s="18" cm="1">
        <f t="array" ref="D41">BS_Greek("PUT","GAMMA",$A41,$B$1,$B$2,$B$3,D$6)</f>
        <v>1.3026922814580184E-3</v>
      </c>
      <c r="E41" s="18" cm="1">
        <f t="array" ref="E41">BS_Greek("PUT","GAMMA",$A41,$B$1,$B$2,$B$3,E$6)</f>
        <v>2.3082701661092642E-3</v>
      </c>
      <c r="F41" s="18" cm="1">
        <f t="array" ref="F41">BS_Greek("PUT","GAMMA",$A41,$B$1,$B$2,$B$3,F$6)</f>
        <v>3.1709157235184286E-3</v>
      </c>
      <c r="G41" s="18" cm="1">
        <f t="array" ref="G41">BS_Greek("PUT","GAMMA",$A41,$B$1,$B$2,$B$3,G$6)</f>
        <v>3.8518254155354287E-3</v>
      </c>
      <c r="H41" s="18" cm="1">
        <f t="array" ref="H41">BS_Greek("PUT","GAMMA",$A41,$B$1,$B$2,$B$3,H$6)</f>
        <v>4.3719665660242636E-3</v>
      </c>
      <c r="I41" s="18" cm="1">
        <f t="array" ref="I41">BS_Greek("PUT","GAMMA",$A41,$B$1,$B$2,$B$3,I$6)</f>
        <v>4.763448098667143E-3</v>
      </c>
      <c r="J41" s="18" cm="1">
        <f t="array" ref="J41">BS_Greek("PUT","GAMMA",$A41,$B$1,$B$2,$B$3,J$6)</f>
        <v>5.0554177985015743E-3</v>
      </c>
      <c r="K41" s="18" cm="1">
        <f t="array" ref="K41">BS_Greek("PUT","GAMMA",$A41,$B$1,$B$2,$B$3,K$6)</f>
        <v>5.2712072632879253E-3</v>
      </c>
      <c r="L41" s="18" cm="1">
        <f t="array" ref="L41">BS_Greek("PUT","GAMMA",$A41,$B$1,$B$2,$B$3,L$6)</f>
        <v>5.6669702285113378E-3</v>
      </c>
      <c r="M41" s="18" cm="1">
        <f t="array" ref="M41">BS_Greek("PUT","GAMMA",$A41,$B$1,$B$2,$B$3,M$6)</f>
        <v>5.2808038728821578E-3</v>
      </c>
      <c r="N41" s="18" cm="1">
        <f t="array" ref="N41">BS_Greek("PUT","GAMMA",$A41,$B$1,$B$2,$B$3,N$6)</f>
        <v>4.8583089812879602E-3</v>
      </c>
      <c r="O41" s="31" cm="1">
        <f t="array" ref="O41">BS_Greek("PUT","GAMMA",$A41,$B$1,$B$2,$B$3,O$6)</f>
        <v>4.4856819490140852E-3</v>
      </c>
      <c r="Q41" s="15">
        <v>130</v>
      </c>
      <c r="R41" s="30" cm="1">
        <f t="array" ref="R41">BS_Greek("PUT","GAMMA",$Q41,$B$1,$B$2,$R$3,R$6)</f>
        <v>6.0071558236562614E-4</v>
      </c>
      <c r="S41" s="18" cm="1">
        <f t="array" ref="S41">BS_Greek("PUT","GAMMA",$Q41,$B$1,$B$2,$R$3,S$6)</f>
        <v>2.8696661309163176E-3</v>
      </c>
      <c r="T41" s="18" cm="1">
        <f t="array" ref="T41">BS_Greek("PUT","GAMMA",$Q41,$B$1,$B$2,$R$3,T$6)</f>
        <v>4.4244401962093699E-3</v>
      </c>
      <c r="U41" s="18" cm="1">
        <f t="array" ref="U41">BS_Greek("PUT","GAMMA",$Q41,$B$1,$B$2,$R$3,U$6)</f>
        <v>5.2609033868653296E-3</v>
      </c>
      <c r="V41" s="18" cm="1">
        <f t="array" ref="V41">BS_Greek("PUT","GAMMA",$Q41,$B$1,$B$2,$R$3,V$6)</f>
        <v>5.6874317310270685E-3</v>
      </c>
      <c r="W41" s="18" cm="1">
        <f t="array" ref="W41">BS_Greek("PUT","GAMMA",$Q41,$B$1,$B$2,$R$3,W$6)</f>
        <v>5.8878427994134399E-3</v>
      </c>
      <c r="X41" s="18" cm="1">
        <f t="array" ref="X41">BS_Greek("PUT","GAMMA",$Q41,$B$1,$B$2,$R$3,X$6)</f>
        <v>5.9606848610583791E-3</v>
      </c>
      <c r="Y41" s="18" cm="1">
        <f t="array" ref="Y41">BS_Greek("PUT","GAMMA",$Q41,$B$1,$B$2,$R$3,Y$6)</f>
        <v>5.9597458042224306E-3</v>
      </c>
      <c r="Z41" s="18" cm="1">
        <f t="array" ref="Z41">BS_Greek("PUT","GAMMA",$Q41,$B$1,$B$2,$R$3,Z$6)</f>
        <v>5.91545955769436E-3</v>
      </c>
      <c r="AA41" s="18" cm="1">
        <f t="array" ref="AA41">BS_Greek("PUT","GAMMA",$Q41,$B$1,$B$2,$R$3,AA$6)</f>
        <v>5.8456577452828994E-3</v>
      </c>
      <c r="AB41" s="18" cm="1">
        <f t="array" ref="AB41">BS_Greek("PUT","GAMMA",$Q41,$B$1,$B$2,$R$3,AB$6)</f>
        <v>4.9210815203458427E-3</v>
      </c>
      <c r="AC41" s="18" cm="1">
        <f t="array" ref="AC41">BS_Greek("PUT","GAMMA",$Q41,$B$1,$B$2,$R$3,AC$6)</f>
        <v>4.2111102732515686E-3</v>
      </c>
      <c r="AD41" s="18" cm="1">
        <f t="array" ref="AD41">BS_Greek("PUT","GAMMA",$Q41,$B$1,$B$2,$R$3,AD$6)</f>
        <v>3.7022761379487913E-3</v>
      </c>
      <c r="AE41" s="31" cm="1">
        <f t="array" ref="AE41">BS_Greek("PUT","GAMMA",$Q41,$B$1,$B$2,$R$3,AE$6)</f>
        <v>3.3190921842812552E-3</v>
      </c>
      <c r="AG41" s="15">
        <v>130</v>
      </c>
      <c r="AH41" s="30" cm="1">
        <f t="array" ref="AH41">BS_Greek("PUT","GAMMA",$AG41,$B$1,$B$2,$AH$3,AH$26)</f>
        <v>7.382971539826821E-17</v>
      </c>
      <c r="AI41" s="18" cm="1">
        <f t="array" ref="AI41">BS_Greek("PUT","GAMMA",$AG41,$B$1,$B$2,$AH$3,AI$26)</f>
        <v>1.5520066218442016E-9</v>
      </c>
      <c r="AJ41" s="18" cm="1">
        <f t="array" ref="AJ41">BS_Greek("PUT","GAMMA",$AG41,$B$1,$B$2,$AH$3,AJ$26)</f>
        <v>3.9226661156427301E-7</v>
      </c>
      <c r="AK41" s="18" cm="1">
        <f t="array" ref="AK41">BS_Greek("PUT","GAMMA",$AG41,$B$1,$B$2,$AH$3,AK$26)</f>
        <v>5.9735759091088044E-6</v>
      </c>
      <c r="AL41" s="18" cm="1">
        <f t="array" ref="AL41">BS_Greek("PUT","GAMMA",$AG41,$B$1,$B$2,$AH$3,AL$26)</f>
        <v>2.9830284442140866E-5</v>
      </c>
      <c r="AM41" s="18" cm="1">
        <f t="array" ref="AM41">BS_Greek("PUT","GAMMA",$AG41,$B$1,$B$2,$AH$3,AM$26)</f>
        <v>8.5668780985105099E-5</v>
      </c>
      <c r="AN41" s="18" cm="1">
        <f t="array" ref="AN41">BS_Greek("PUT","GAMMA",$AG41,$B$1,$B$2,$AH$3,AN$26)</f>
        <v>1.797833489515302E-4</v>
      </c>
      <c r="AO41" s="18" cm="1">
        <f t="array" ref="AO41">BS_Greek("PUT","GAMMA",$AG41,$B$1,$B$2,$AH$3,AO$26)</f>
        <v>3.105857690040662E-4</v>
      </c>
      <c r="AP41" s="18" cm="1">
        <f t="array" ref="AP41">BS_Greek("PUT","GAMMA",$AG41,$B$1,$B$2,$AH$3,AP$26)</f>
        <v>4.7175720539731353E-4</v>
      </c>
      <c r="AQ41" s="18" cm="1">
        <f t="array" ref="AQ41">BS_Greek("PUT","GAMMA",$AG41,$B$1,$B$2,$AH$3,AQ$26)</f>
        <v>6.5528870342850616E-4</v>
      </c>
      <c r="AR41" s="18" cm="1">
        <f t="array" ref="AR41">BS_Greek("PUT","GAMMA",$AG41,$B$1,$B$2,$AH$3,AR$26)</f>
        <v>2.5609344709387875E-3</v>
      </c>
      <c r="AS41" s="18" cm="1">
        <f t="array" ref="AS41">BS_Greek("PUT","GAMMA",$AG41,$B$1,$B$2,$AH$3,AS$26)</f>
        <v>3.6693507025244649E-3</v>
      </c>
      <c r="AT41" s="18" cm="1">
        <f t="array" ref="AT41">BS_Greek("PUT","GAMMA",$AG41,$B$1,$B$2,$AH$3,AT$26)</f>
        <v>4.1859606357164706E-3</v>
      </c>
      <c r="AU41" s="31" cm="1">
        <f t="array" ref="AU41">BS_Greek("PUT","GAMMA",$AG41,$B$1,$B$2,$AH$3,AU$26)</f>
        <v>4.3973494544828021E-3</v>
      </c>
    </row>
    <row r="42" spans="1:47" x14ac:dyDescent="0.2">
      <c r="A42" s="15">
        <v>135</v>
      </c>
      <c r="B42" s="30" cm="1">
        <f t="array" ref="B42">BS_Greek("PUT","GAMMA",$A42,$B$1,$B$2,$B$3,B$6)</f>
        <v>4.8093577566927397E-7</v>
      </c>
      <c r="C42" s="18" cm="1">
        <f t="array" ref="C42">BS_Greek("PUT","GAMMA",$A42,$B$1,$B$2,$B$3,C$6)</f>
        <v>9.4556994587265296E-5</v>
      </c>
      <c r="D42" s="18" cm="1">
        <f t="array" ref="D42">BS_Greek("PUT","GAMMA",$A42,$B$1,$B$2,$B$3,D$6)</f>
        <v>5.0353481185787989E-4</v>
      </c>
      <c r="E42" s="18" cm="1">
        <f t="array" ref="E42">BS_Greek("PUT","GAMMA",$A42,$B$1,$B$2,$B$3,E$6)</f>
        <v>1.1130292486590081E-3</v>
      </c>
      <c r="F42" s="18" cm="1">
        <f t="array" ref="F42">BS_Greek("PUT","GAMMA",$A42,$B$1,$B$2,$B$3,F$6)</f>
        <v>1.7459186523562449E-3</v>
      </c>
      <c r="G42" s="18" cm="1">
        <f t="array" ref="G42">BS_Greek("PUT","GAMMA",$A42,$B$1,$B$2,$B$3,G$6)</f>
        <v>2.3169614647433373E-3</v>
      </c>
      <c r="H42" s="18" cm="1">
        <f t="array" ref="H42">BS_Greek("PUT","GAMMA",$A42,$B$1,$B$2,$B$3,H$6)</f>
        <v>2.8013465758306819E-3</v>
      </c>
      <c r="I42" s="18" cm="1">
        <f t="array" ref="I42">BS_Greek("PUT","GAMMA",$A42,$B$1,$B$2,$B$3,I$6)</f>
        <v>3.2002933770762325E-3</v>
      </c>
      <c r="J42" s="18" cm="1">
        <f t="array" ref="J42">BS_Greek("PUT","GAMMA",$A42,$B$1,$B$2,$B$3,J$6)</f>
        <v>3.5239585209983202E-3</v>
      </c>
      <c r="K42" s="18" cm="1">
        <f t="array" ref="K42">BS_Greek("PUT","GAMMA",$A42,$B$1,$B$2,$B$3,K$6)</f>
        <v>3.7843224261389784E-3</v>
      </c>
      <c r="L42" s="18" cm="1">
        <f t="array" ref="L42">BS_Greek("PUT","GAMMA",$A42,$B$1,$B$2,$B$3,L$6)</f>
        <v>4.6456697775222461E-3</v>
      </c>
      <c r="M42" s="18" cm="1">
        <f t="array" ref="M42">BS_Greek("PUT","GAMMA",$A42,$B$1,$B$2,$B$3,M$6)</f>
        <v>4.5248469998567702E-3</v>
      </c>
      <c r="N42" s="18" cm="1">
        <f t="array" ref="N42">BS_Greek("PUT","GAMMA",$A42,$B$1,$B$2,$B$3,N$6)</f>
        <v>4.2559078918170063E-3</v>
      </c>
      <c r="O42" s="31" cm="1">
        <f t="array" ref="O42">BS_Greek("PUT","GAMMA",$A42,$B$1,$B$2,$B$3,O$6)</f>
        <v>3.9819655859202495E-3</v>
      </c>
      <c r="Q42" s="15">
        <v>135</v>
      </c>
      <c r="R42" s="30" cm="1">
        <f t="array" ref="R42">BS_Greek("PUT","GAMMA",$Q42,$B$1,$B$2,$R$3,R$6)</f>
        <v>1.738160868120766E-4</v>
      </c>
      <c r="S42" s="18" cm="1">
        <f t="array" ref="S42">BS_Greek("PUT","GAMMA",$Q42,$B$1,$B$2,$R$3,S$6)</f>
        <v>1.4974023713320017E-3</v>
      </c>
      <c r="T42" s="18" cm="1">
        <f t="array" ref="T42">BS_Greek("PUT","GAMMA",$Q42,$B$1,$B$2,$R$3,T$6)</f>
        <v>2.8101370337925164E-3</v>
      </c>
      <c r="U42" s="18" cm="1">
        <f t="array" ref="U42">BS_Greek("PUT","GAMMA",$Q42,$B$1,$B$2,$R$3,U$6)</f>
        <v>3.686468334203065E-3</v>
      </c>
      <c r="V42" s="18" cm="1">
        <f t="array" ref="V42">BS_Greek("PUT","GAMMA",$Q42,$B$1,$B$2,$R$3,V$6)</f>
        <v>4.2274159872265245E-3</v>
      </c>
      <c r="W42" s="18" cm="1">
        <f t="array" ref="W42">BS_Greek("PUT","GAMMA",$Q42,$B$1,$B$2,$R$3,W$6)</f>
        <v>4.5518443181372789E-3</v>
      </c>
      <c r="X42" s="18" cm="1">
        <f t="array" ref="X42">BS_Greek("PUT","GAMMA",$Q42,$B$1,$B$2,$R$3,X$6)</f>
        <v>4.7393843504899558E-3</v>
      </c>
      <c r="Y42" s="18" cm="1">
        <f t="array" ref="Y42">BS_Greek("PUT","GAMMA",$Q42,$B$1,$B$2,$R$3,Y$6)</f>
        <v>4.8394882133299885E-3</v>
      </c>
      <c r="Z42" s="18" cm="1">
        <f t="array" ref="Z42">BS_Greek("PUT","GAMMA",$Q42,$B$1,$B$2,$R$3,Z$6)</f>
        <v>4.882853467973125E-3</v>
      </c>
      <c r="AA42" s="18" cm="1">
        <f t="array" ref="AA42">BS_Greek("PUT","GAMMA",$Q42,$B$1,$B$2,$R$3,AA$6)</f>
        <v>4.8888801197403868E-3</v>
      </c>
      <c r="AB42" s="18" cm="1">
        <f t="array" ref="AB42">BS_Greek("PUT","GAMMA",$Q42,$B$1,$B$2,$R$3,AB$6)</f>
        <v>4.3656123603575455E-3</v>
      </c>
      <c r="AC42" s="18" cm="1">
        <f t="array" ref="AC42">BS_Greek("PUT","GAMMA",$Q42,$B$1,$B$2,$R$3,AC$6)</f>
        <v>3.8099337821083396E-3</v>
      </c>
      <c r="AD42" s="18" cm="1">
        <f t="array" ref="AD42">BS_Greek("PUT","GAMMA",$Q42,$B$1,$B$2,$R$3,AD$6)</f>
        <v>3.3826551294348179E-3</v>
      </c>
      <c r="AE42" s="31" cm="1">
        <f t="array" ref="AE42">BS_Greek("PUT","GAMMA",$Q42,$B$1,$B$2,$R$3,AE$6)</f>
        <v>3.0504863785204561E-3</v>
      </c>
      <c r="AG42" s="15">
        <v>135</v>
      </c>
      <c r="AH42" s="30" cm="1">
        <f t="array" ref="AH42">BS_Greek("PUT","GAMMA",$AG42,$B$1,$B$2,$AH$3,AH$26)</f>
        <v>1.6508431991277696E-21</v>
      </c>
      <c r="AI42" s="18" cm="1">
        <f t="array" ref="AI42">BS_Greek("PUT","GAMMA",$AG42,$B$1,$B$2,$AH$3,AI$26)</f>
        <v>7.0007225305255781E-12</v>
      </c>
      <c r="AJ42" s="18" cm="1">
        <f t="array" ref="AJ42">BS_Greek("PUT","GAMMA",$AG42,$B$1,$B$2,$AH$3,AJ$26)</f>
        <v>1.0377407251949232E-8</v>
      </c>
      <c r="AK42" s="18" cm="1">
        <f t="array" ref="AK42">BS_Greek("PUT","GAMMA",$AG42,$B$1,$B$2,$AH$3,AK$26)</f>
        <v>3.8271106091862608E-7</v>
      </c>
      <c r="AL42" s="18" cm="1">
        <f t="array" ref="AL42">BS_Greek("PUT","GAMMA",$AG42,$B$1,$B$2,$AH$3,AL$26)</f>
        <v>3.249162919518064E-6</v>
      </c>
      <c r="AM42" s="18" cm="1">
        <f t="array" ref="AM42">BS_Greek("PUT","GAMMA",$AG42,$B$1,$B$2,$AH$3,AM$26)</f>
        <v>1.3291938562945938E-5</v>
      </c>
      <c r="AN42" s="18" cm="1">
        <f t="array" ref="AN42">BS_Greek("PUT","GAMMA",$AG42,$B$1,$B$2,$AH$3,AN$26)</f>
        <v>3.5914215033327016E-5</v>
      </c>
      <c r="AO42" s="18" cm="1">
        <f t="array" ref="AO42">BS_Greek("PUT","GAMMA",$AG42,$B$1,$B$2,$AH$3,AO$26)</f>
        <v>7.4991466396696723E-5</v>
      </c>
      <c r="AP42" s="18" cm="1">
        <f t="array" ref="AP42">BS_Greek("PUT","GAMMA",$AG42,$B$1,$B$2,$AH$3,AP$26)</f>
        <v>1.3199891273585568E-4</v>
      </c>
      <c r="AQ42" s="18" cm="1">
        <f t="array" ref="AQ42">BS_Greek("PUT","GAMMA",$AG42,$B$1,$B$2,$AH$3,AQ$26)</f>
        <v>2.063011779914903E-4</v>
      </c>
      <c r="AR42" s="18" cm="1">
        <f t="array" ref="AR42">BS_Greek("PUT","GAMMA",$AG42,$B$1,$B$2,$AH$3,AR$26)</f>
        <v>1.3707080362701776E-3</v>
      </c>
      <c r="AS42" s="18" cm="1">
        <f t="array" ref="AS42">BS_Greek("PUT","GAMMA",$AG42,$B$1,$B$2,$AH$3,AS$26)</f>
        <v>2.3440212104340022E-3</v>
      </c>
      <c r="AT42" s="18" cm="1">
        <f t="array" ref="AT42">BS_Greek("PUT","GAMMA",$AG42,$B$1,$B$2,$AH$3,AT$26)</f>
        <v>2.9213283025393976E-3</v>
      </c>
      <c r="AU42" s="31" cm="1">
        <f t="array" ref="AU42">BS_Greek("PUT","GAMMA",$AG42,$B$1,$B$2,$AH$3,AU$26)</f>
        <v>3.2361150487909911E-3</v>
      </c>
    </row>
    <row r="43" spans="1:47" x14ac:dyDescent="0.2">
      <c r="A43" s="15">
        <v>140</v>
      </c>
      <c r="B43" s="32" cm="1">
        <f t="array" ref="B43">BS_Greek("PUT","GAMMA",$A43,$B$1,$B$2,$B$3,B$6)</f>
        <v>2.4984119686305784E-8</v>
      </c>
      <c r="C43" s="33" cm="1">
        <f t="array" ref="C43">BS_Greek("PUT","GAMMA",$A43,$B$1,$B$2,$B$3,C$6)</f>
        <v>2.0876714879530862E-5</v>
      </c>
      <c r="D43" s="33" cm="1">
        <f t="array" ref="D43">BS_Greek("PUT","GAMMA",$A43,$B$1,$B$2,$B$3,D$6)</f>
        <v>1.800784918926651E-4</v>
      </c>
      <c r="E43" s="33" cm="1">
        <f t="array" ref="E43">BS_Greek("PUT","GAMMA",$A43,$B$1,$B$2,$B$3,E$6)</f>
        <v>5.0660659975445036E-4</v>
      </c>
      <c r="F43" s="33" cm="1">
        <f t="array" ref="F43">BS_Greek("PUT","GAMMA",$A43,$B$1,$B$2,$B$3,F$6)</f>
        <v>9.1839058774420643E-4</v>
      </c>
      <c r="G43" s="33" cm="1">
        <f t="array" ref="G43">BS_Greek("PUT","GAMMA",$A43,$B$1,$B$2,$B$3,G$6)</f>
        <v>1.3421930911671856E-3</v>
      </c>
      <c r="H43" s="33" cm="1">
        <f t="array" ref="H43">BS_Greek("PUT","GAMMA",$A43,$B$1,$B$2,$B$3,H$6)</f>
        <v>1.7385470025647579E-3</v>
      </c>
      <c r="I43" s="33" cm="1">
        <f t="array" ref="I43">BS_Greek("PUT","GAMMA",$A43,$B$1,$B$2,$B$3,I$6)</f>
        <v>2.0914714572423769E-3</v>
      </c>
      <c r="J43" s="33" cm="1">
        <f t="array" ref="J43">BS_Greek("PUT","GAMMA",$A43,$B$1,$B$2,$B$3,J$6)</f>
        <v>2.3974428180687469E-3</v>
      </c>
      <c r="K43" s="33" cm="1">
        <f t="array" ref="K43">BS_Greek("PUT","GAMMA",$A43,$B$1,$B$2,$B$3,K$6)</f>
        <v>2.6587031941631982E-3</v>
      </c>
      <c r="L43" s="33" cm="1">
        <f t="array" ref="L43">BS_Greek("PUT","GAMMA",$A43,$B$1,$B$2,$B$3,L$6)</f>
        <v>3.7719785580502146E-3</v>
      </c>
      <c r="M43" s="33" cm="1">
        <f t="array" ref="M43">BS_Greek("PUT","GAMMA",$A43,$B$1,$B$2,$B$3,M$6)</f>
        <v>3.8554152638824216E-3</v>
      </c>
      <c r="N43" s="33" cm="1">
        <f t="array" ref="N43">BS_Greek("PUT","GAMMA",$A43,$B$1,$B$2,$B$3,N$6)</f>
        <v>3.7147763845488601E-3</v>
      </c>
      <c r="O43" s="34" cm="1">
        <f t="array" ref="O43">BS_Greek("PUT","GAMMA",$A43,$B$1,$B$2,$B$3,O$6)</f>
        <v>3.5263212434632849E-3</v>
      </c>
      <c r="Q43" s="15">
        <v>140</v>
      </c>
      <c r="R43" s="32" cm="1">
        <f t="array" ref="R43">BS_Greek("PUT","GAMMA",$Q43,$B$1,$B$2,$R$3,R$6)</f>
        <v>4.5297412812204583E-5</v>
      </c>
      <c r="S43" s="33" cm="1">
        <f t="array" ref="S43">BS_Greek("PUT","GAMMA",$Q43,$B$1,$B$2,$R$3,S$6)</f>
        <v>7.4234719458286542E-4</v>
      </c>
      <c r="T43" s="33" cm="1">
        <f t="array" ref="T43">BS_Greek("PUT","GAMMA",$Q43,$B$1,$B$2,$R$3,T$6)</f>
        <v>1.7261999326371306E-3</v>
      </c>
      <c r="U43" s="33" cm="1">
        <f t="array" ref="U43">BS_Greek("PUT","GAMMA",$Q43,$B$1,$B$2,$R$3,U$6)</f>
        <v>2.5207026945741873E-3</v>
      </c>
      <c r="V43" s="33" cm="1">
        <f t="array" ref="V43">BS_Greek("PUT","GAMMA",$Q43,$B$1,$B$2,$R$3,V$6)</f>
        <v>3.08258184226789E-3</v>
      </c>
      <c r="W43" s="33" cm="1">
        <f t="array" ref="W43">BS_Greek("PUT","GAMMA",$Q43,$B$1,$B$2,$R$3,W$6)</f>
        <v>3.4645436604697206E-3</v>
      </c>
      <c r="X43" s="33" cm="1">
        <f t="array" ref="X43">BS_Greek("PUT","GAMMA",$Q43,$B$1,$B$2,$R$3,X$6)</f>
        <v>3.7194597267081689E-3</v>
      </c>
      <c r="Y43" s="33" cm="1">
        <f t="array" ref="Y43">BS_Greek("PUT","GAMMA",$Q43,$B$1,$B$2,$R$3,Y$6)</f>
        <v>3.8862598492258598E-3</v>
      </c>
      <c r="Z43" s="33" cm="1">
        <f t="array" ref="Z43">BS_Greek("PUT","GAMMA",$Q43,$B$1,$B$2,$R$3,Z$6)</f>
        <v>3.991756222193033E-3</v>
      </c>
      <c r="AA43" s="33" cm="1">
        <f t="array" ref="AA43">BS_Greek("PUT","GAMMA",$Q43,$B$1,$B$2,$R$3,AA$6)</f>
        <v>4.054208161540623E-3</v>
      </c>
      <c r="AB43" s="33" cm="1">
        <f t="array" ref="AB43">BS_Greek("PUT","GAMMA",$Q43,$B$1,$B$2,$R$3,AB$6)</f>
        <v>3.860738073303574E-3</v>
      </c>
      <c r="AC43" s="33" cm="1">
        <f t="array" ref="AC43">BS_Greek("PUT","GAMMA",$Q43,$B$1,$B$2,$R$3,AC$6)</f>
        <v>3.4423268142812495E-3</v>
      </c>
      <c r="AD43" s="33" cm="1">
        <f t="array" ref="AD43">BS_Greek("PUT","GAMMA",$Q43,$B$1,$B$2,$R$3,AD$6)</f>
        <v>3.089207972330324E-3</v>
      </c>
      <c r="AE43" s="34" cm="1">
        <f t="array" ref="AE43">BS_Greek("PUT","GAMMA",$Q43,$B$1,$B$2,$R$3,AE$6)</f>
        <v>2.8038279821686937E-3</v>
      </c>
      <c r="AG43" s="15">
        <v>140</v>
      </c>
      <c r="AH43" s="32" cm="1">
        <f t="array" ref="AH43">BS_Greek("PUT","GAMMA",$AG43,$B$1,$B$2,$AH$3,AH$26)</f>
        <v>1.4160803501951788E-26</v>
      </c>
      <c r="AI43" s="33" cm="1">
        <f t="array" ref="AI43">BS_Greek("PUT","GAMMA",$AG43,$B$1,$B$2,$AH$3,AI$26)</f>
        <v>1.9592554647687471E-14</v>
      </c>
      <c r="AJ43" s="33" cm="1">
        <f t="array" ref="AJ43">BS_Greek("PUT","GAMMA",$AG43,$B$1,$B$2,$AH$3,AJ$26)</f>
        <v>1.9993666289338756E-10</v>
      </c>
      <c r="AK43" s="33" cm="1">
        <f t="array" ref="AK43">BS_Greek("PUT","GAMMA",$AG43,$B$1,$B$2,$AH$3,AK$26)</f>
        <v>1.9346494359707465E-8</v>
      </c>
      <c r="AL43" s="33" cm="1">
        <f t="array" ref="AL43">BS_Greek("PUT","GAMMA",$AG43,$B$1,$B$2,$AH$3,AL$26)</f>
        <v>2.9299443269233378E-7</v>
      </c>
      <c r="AM43" s="33" cm="1">
        <f t="array" ref="AM43">BS_Greek("PUT","GAMMA",$AG43,$B$1,$B$2,$AH$3,AM$26)</f>
        <v>1.762979573893959E-6</v>
      </c>
      <c r="AN43" s="33" cm="1">
        <f t="array" ref="AN43">BS_Greek("PUT","GAMMA",$AG43,$B$1,$B$2,$AH$3,AN$26)</f>
        <v>6.275075552985542E-6</v>
      </c>
      <c r="AO43" s="33" cm="1">
        <f t="array" ref="AO43">BS_Greek("PUT","GAMMA",$AG43,$B$1,$B$2,$AH$3,AO$26)</f>
        <v>1.6111450652008537E-5</v>
      </c>
      <c r="AP43" s="33" cm="1">
        <f t="array" ref="AP43">BS_Greek("PUT","GAMMA",$AG43,$B$1,$B$2,$AH$3,AP$26)</f>
        <v>3.3305383198972805E-5</v>
      </c>
      <c r="AQ43" s="33" cm="1">
        <f t="array" ref="AQ43">BS_Greek("PUT","GAMMA",$AG43,$B$1,$B$2,$AH$3,AQ$26)</f>
        <v>5.9197424706742854E-5</v>
      </c>
      <c r="AR43" s="33" cm="1">
        <f t="array" ref="AR43">BS_Greek("PUT","GAMMA",$AG43,$B$1,$B$2,$AH$3,AR$26)</f>
        <v>7.016211594893701E-4</v>
      </c>
      <c r="AS43" s="33" cm="1">
        <f t="array" ref="AS43">BS_Greek("PUT","GAMMA",$AG43,$B$1,$B$2,$AH$3,AS$26)</f>
        <v>1.4551400495073856E-3</v>
      </c>
      <c r="AT43" s="33" cm="1">
        <f t="array" ref="AT43">BS_Greek("PUT","GAMMA",$AG43,$B$1,$B$2,$AH$3,AT$26)</f>
        <v>1.9971762450752021E-3</v>
      </c>
      <c r="AU43" s="34" cm="1">
        <f t="array" ref="AU43">BS_Greek("PUT","GAMMA",$AG43,$B$1,$B$2,$AH$3,AU$26)</f>
        <v>2.3442052804045392E-3</v>
      </c>
    </row>
    <row r="45" spans="1:47" x14ac:dyDescent="0.2">
      <c r="A45" s="108" t="s">
        <v>8</v>
      </c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Q45" s="108" t="s">
        <v>9</v>
      </c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  <c r="AC45" s="108"/>
      <c r="AD45" s="108"/>
      <c r="AE45" s="108"/>
      <c r="AG45" s="108" t="s">
        <v>17</v>
      </c>
      <c r="AH45" s="108"/>
      <c r="AI45" s="108"/>
      <c r="AJ45" s="108"/>
      <c r="AK45" s="108"/>
      <c r="AL45" s="108"/>
      <c r="AM45" s="108"/>
      <c r="AN45" s="108"/>
      <c r="AO45" s="108"/>
      <c r="AP45" s="108"/>
      <c r="AQ45" s="108"/>
      <c r="AR45" s="108"/>
      <c r="AS45" s="108"/>
      <c r="AT45" s="108"/>
      <c r="AU45" s="108"/>
    </row>
    <row r="46" spans="1:47" x14ac:dyDescent="0.2">
      <c r="A46" s="8"/>
      <c r="B46" s="17">
        <v>0.1</v>
      </c>
      <c r="C46" s="17">
        <v>0.2</v>
      </c>
      <c r="D46" s="17">
        <v>0.3</v>
      </c>
      <c r="E46" s="17">
        <v>0.4</v>
      </c>
      <c r="F46" s="17">
        <v>0.5</v>
      </c>
      <c r="G46" s="17">
        <v>0.6</v>
      </c>
      <c r="H46" s="17">
        <v>0.7</v>
      </c>
      <c r="I46" s="17">
        <v>0.8</v>
      </c>
      <c r="J46" s="17">
        <v>0.9</v>
      </c>
      <c r="K46" s="17">
        <v>1</v>
      </c>
      <c r="L46" s="17">
        <v>2</v>
      </c>
      <c r="M46" s="17">
        <v>3</v>
      </c>
      <c r="N46" s="17">
        <v>4</v>
      </c>
      <c r="O46" s="17">
        <v>5</v>
      </c>
      <c r="P46" s="11"/>
      <c r="Q46" s="8"/>
      <c r="R46" s="17">
        <v>0.1</v>
      </c>
      <c r="S46" s="17">
        <v>0.2</v>
      </c>
      <c r="T46" s="17">
        <v>0.3</v>
      </c>
      <c r="U46" s="17">
        <v>0.4</v>
      </c>
      <c r="V46" s="17">
        <v>0.5</v>
      </c>
      <c r="W46" s="17">
        <v>0.6</v>
      </c>
      <c r="X46" s="17">
        <v>0.7</v>
      </c>
      <c r="Y46" s="17">
        <v>0.8</v>
      </c>
      <c r="Z46" s="17">
        <v>0.9</v>
      </c>
      <c r="AA46" s="17">
        <v>1</v>
      </c>
      <c r="AB46" s="17">
        <v>2</v>
      </c>
      <c r="AC46" s="17">
        <v>3</v>
      </c>
      <c r="AD46" s="17">
        <v>4</v>
      </c>
      <c r="AE46" s="17">
        <v>5</v>
      </c>
      <c r="AF46" s="11"/>
      <c r="AG46" s="8"/>
      <c r="AH46" s="17">
        <v>0.1</v>
      </c>
      <c r="AI46" s="17">
        <v>0.2</v>
      </c>
      <c r="AJ46" s="17">
        <v>0.3</v>
      </c>
      <c r="AK46" s="17">
        <v>0.4</v>
      </c>
      <c r="AL46" s="17">
        <v>0.5</v>
      </c>
      <c r="AM46" s="17">
        <v>0.6</v>
      </c>
      <c r="AN46" s="17">
        <v>0.7</v>
      </c>
      <c r="AO46" s="17">
        <v>0.8</v>
      </c>
      <c r="AP46" s="17">
        <v>0.9</v>
      </c>
      <c r="AQ46" s="17">
        <v>1</v>
      </c>
      <c r="AR46" s="17">
        <v>2</v>
      </c>
      <c r="AS46" s="17">
        <v>3</v>
      </c>
      <c r="AT46" s="17">
        <v>4</v>
      </c>
      <c r="AU46" s="17">
        <v>5</v>
      </c>
    </row>
    <row r="47" spans="1:47" x14ac:dyDescent="0.2">
      <c r="A47" s="12">
        <v>60</v>
      </c>
      <c r="B47" s="19" cm="1">
        <f t="array" ref="B47">BS_Greek("PUT","THETA",$A47,$B$1,$B$2,$B$3,B$6)</f>
        <v>2.7369876707761614E-3</v>
      </c>
      <c r="C47" s="20" cm="1">
        <f t="array" ref="C47">BS_Greek("PUT","THETA",$A47,$B$1,$B$2,$B$3,C$6)</f>
        <v>2.7342502643824419E-3</v>
      </c>
      <c r="D47" s="20" cm="1">
        <f t="array" ref="D47">BS_Greek("PUT","THETA",$A47,$B$1,$B$2,$B$3,D$6)</f>
        <v>2.7311833890562628E-3</v>
      </c>
      <c r="E47" s="20" cm="1">
        <f t="array" ref="E47">BS_Greek("PUT","THETA",$A47,$B$1,$B$2,$B$3,E$6)</f>
        <v>2.7243724463814679E-3</v>
      </c>
      <c r="F47" s="20" cm="1">
        <f t="array" ref="F47">BS_Greek("PUT","THETA",$A47,$B$1,$B$2,$B$3,F$6)</f>
        <v>2.7058361172622833E-3</v>
      </c>
      <c r="G47" s="20" cm="1">
        <f t="array" ref="G47">BS_Greek("PUT","THETA",$A47,$B$1,$B$2,$B$3,G$6)</f>
        <v>2.6684533991827102E-3</v>
      </c>
      <c r="H47" s="20" cm="1">
        <f t="array" ref="H47">BS_Greek("PUT","THETA",$A47,$B$1,$B$2,$B$3,H$6)</f>
        <v>2.6099133627872427E-3</v>
      </c>
      <c r="I47" s="20" cm="1">
        <f t="array" ref="I47">BS_Greek("PUT","THETA",$A47,$B$1,$B$2,$B$3,I$6)</f>
        <v>2.5321197887192225E-3</v>
      </c>
      <c r="J47" s="20" cm="1">
        <f t="array" ref="J47">BS_Greek("PUT","THETA",$A47,$B$1,$B$2,$B$3,J$6)</f>
        <v>2.4391215321312278E-3</v>
      </c>
      <c r="K47" s="20" cm="1">
        <f t="array" ref="K47">BS_Greek("PUT","THETA",$A47,$B$1,$B$2,$B$3,K$6)</f>
        <v>2.3354763350554903E-3</v>
      </c>
      <c r="L47" s="20" cm="1">
        <f t="array" ref="L47">BS_Greek("PUT","THETA",$A47,$B$1,$B$2,$B$3,L$6)</f>
        <v>1.3022609290857391E-3</v>
      </c>
      <c r="M47" s="20" cm="1">
        <f t="array" ref="M47">BS_Greek("PUT","THETA",$A47,$B$1,$B$2,$B$3,M$6)</f>
        <v>6.9098634980145949E-4</v>
      </c>
      <c r="N47" s="20" cm="1">
        <f t="array" ref="N47">BS_Greek("PUT","THETA",$A47,$B$1,$B$2,$B$3,N$6)</f>
        <v>3.761310769749192E-4</v>
      </c>
      <c r="O47" s="21" cm="1">
        <f t="array" ref="O47">BS_Greek("PUT","THETA",$A47,$B$1,$B$2,$B$3,O$6)</f>
        <v>2.1469384650633341E-4</v>
      </c>
      <c r="P47" s="5"/>
      <c r="Q47" s="12">
        <v>60</v>
      </c>
      <c r="R47" s="19" cm="1">
        <f t="array" ref="R47">BS_Greek("PUT","THETA",$Q47,$B$1,$B$2,$R$3,R$6)</f>
        <v>2.7369661207863514E-3</v>
      </c>
      <c r="S47" s="20" cm="1">
        <f t="array" ref="S47">BS_Greek("PUT","THETA",$Q47,$B$1,$B$2,$R$3,S$6)</f>
        <v>2.7127902149210563E-3</v>
      </c>
      <c r="T47" s="20" cm="1">
        <f t="array" ref="T47">BS_Greek("PUT","THETA",$Q47,$B$1,$B$2,$R$3,T$6)</f>
        <v>2.5348963473979225E-3</v>
      </c>
      <c r="U47" s="20" cm="1">
        <f t="array" ref="U47">BS_Greek("PUT","THETA",$Q47,$B$1,$B$2,$R$3,U$6)</f>
        <v>2.1580434253893016E-3</v>
      </c>
      <c r="V47" s="20" cm="1">
        <f t="array" ref="V47">BS_Greek("PUT","THETA",$Q47,$B$1,$B$2,$R$3,V$6)</f>
        <v>1.670857822745194E-3</v>
      </c>
      <c r="W47" s="20" cm="1">
        <f t="array" ref="W47">BS_Greek("PUT","THETA",$Q47,$B$1,$B$2,$R$3,W$6)</f>
        <v>1.1598108875601405E-3</v>
      </c>
      <c r="X47" s="20" cm="1">
        <f t="array" ref="X47">BS_Greek("PUT","THETA",$Q47,$B$1,$B$2,$R$3,X$6)</f>
        <v>6.7426926579585746E-4</v>
      </c>
      <c r="Y47" s="20" cm="1">
        <f t="array" ref="Y47">BS_Greek("PUT","THETA",$Q47,$B$1,$B$2,$R$3,Y$6)</f>
        <v>2.3585514689703613E-4</v>
      </c>
      <c r="Z47" s="20" cm="1">
        <f t="array" ref="Z47">BS_Greek("PUT","THETA",$Q47,$B$1,$B$2,$R$3,Z$6)</f>
        <v>-1.4921850533568544E-4</v>
      </c>
      <c r="AA47" s="20" cm="1">
        <f t="array" ref="AA47">BS_Greek("PUT","THETA",$Q47,$B$1,$B$2,$R$3,AA$6)</f>
        <v>-4.8222640870444555E-4</v>
      </c>
      <c r="AB47" s="20" cm="1">
        <f t="array" ref="AB47">BS_Greek("PUT","THETA",$Q47,$B$1,$B$2,$R$3,AB$6)</f>
        <v>-1.9958379491817678E-3</v>
      </c>
      <c r="AC47" s="20" cm="1">
        <f t="array" ref="AC47">BS_Greek("PUT","THETA",$Q47,$B$1,$B$2,$R$3,AC$6)</f>
        <v>-2.2060005499686948E-3</v>
      </c>
      <c r="AD47" s="20" cm="1">
        <f t="array" ref="AD47">BS_Greek("PUT","THETA",$Q47,$B$1,$B$2,$R$3,AD$6)</f>
        <v>-2.1069882188597768E-3</v>
      </c>
      <c r="AE47" s="21" cm="1">
        <f t="array" ref="AE47">BS_Greek("PUT","THETA",$Q47,$B$1,$B$2,$R$3,AE$6)</f>
        <v>-1.9290150616641398E-3</v>
      </c>
      <c r="AF47" s="5"/>
      <c r="AG47" s="12">
        <v>60</v>
      </c>
      <c r="AH47" s="19" cm="1">
        <f t="array" ref="AH47">BS_Greek("PUT","THETA",$AG47,$B$1,$B$2,$AH$3,AH$46)</f>
        <v>2.73698767077637E-3</v>
      </c>
      <c r="AI47" s="20" cm="1">
        <f t="array" ref="AI47">BS_Greek("PUT","THETA",$AG47,$B$1,$B$2,$AH$3,AI$46)</f>
        <v>2.7342520511433781E-3</v>
      </c>
      <c r="AJ47" s="20" cm="1">
        <f t="array" ref="AJ47">BS_Greek("PUT","THETA",$AG47,$B$1,$B$2,$AH$3,AJ$46)</f>
        <v>2.7315191657626657E-3</v>
      </c>
      <c r="AK47" s="20" cm="1">
        <f t="array" ref="AK47">BS_Greek("PUT","THETA",$AG47,$B$1,$B$2,$AH$3,AK$46)</f>
        <v>2.7287890119012696E-3</v>
      </c>
      <c r="AL47" s="20" cm="1">
        <f t="array" ref="AL47">BS_Greek("PUT","THETA",$AG47,$B$1,$B$2,$AH$3,AL$46)</f>
        <v>2.7260615867822466E-3</v>
      </c>
      <c r="AM47" s="20" cm="1">
        <f t="array" ref="AM47">BS_Greek("PUT","THETA",$AG47,$B$1,$B$2,$AH$3,AM$46)</f>
        <v>2.7233368844878569E-3</v>
      </c>
      <c r="AN47" s="20" cm="1">
        <f t="array" ref="AN47">BS_Greek("PUT","THETA",$AG47,$B$1,$B$2,$AH$3,AN$46)</f>
        <v>2.7206148430655463E-3</v>
      </c>
      <c r="AO47" s="20" cm="1">
        <f t="array" ref="AO47">BS_Greek("PUT","THETA",$AG47,$B$1,$B$2,$AH$3,AO$46)</f>
        <v>2.717894991356171E-3</v>
      </c>
      <c r="AP47" s="20" cm="1">
        <f t="array" ref="AP47">BS_Greek("PUT","THETA",$AG47,$B$1,$B$2,$AH$3,AP$46)</f>
        <v>2.7151752669386364E-3</v>
      </c>
      <c r="AQ47" s="20" cm="1">
        <f t="array" ref="AQ47">BS_Greek("PUT","THETA",$AG47,$B$1,$B$2,$AH$3,AQ$46)</f>
        <v>2.7124496814563011E-3</v>
      </c>
      <c r="AR47" s="20" cm="1">
        <f t="array" ref="AR47">BS_Greek("PUT","THETA",$AG47,$B$1,$B$2,$AH$3,AR$46)</f>
        <v>2.6777786781916209E-3</v>
      </c>
      <c r="AS47" s="20" cm="1">
        <f t="array" ref="AS47">BS_Greek("PUT","THETA",$AG47,$B$1,$B$2,$AH$3,AS$46)</f>
        <v>2.6022924146134056E-3</v>
      </c>
      <c r="AT47" s="20" cm="1">
        <f t="array" ref="AT47">BS_Greek("PUT","THETA",$AG47,$B$1,$B$2,$AH$3,AT$46)</f>
        <v>2.4844823879870519E-3</v>
      </c>
      <c r="AU47" s="21" cm="1">
        <f t="array" ref="AU47">BS_Greek("PUT","THETA",$AG47,$B$1,$B$2,$AH$3,AU$46)</f>
        <v>2.3478202400294664E-3</v>
      </c>
    </row>
    <row r="48" spans="1:47" x14ac:dyDescent="0.2">
      <c r="A48" s="12">
        <v>65</v>
      </c>
      <c r="B48" s="22" cm="1">
        <f t="array" ref="B48">BS_Greek("PUT","THETA",$A48,$B$1,$B$2,$B$3,B$6)</f>
        <v>2.7369876681515035E-3</v>
      </c>
      <c r="C48" s="14" cm="1">
        <f t="array" ref="C48">BS_Greek("PUT","THETA",$A48,$B$1,$B$2,$B$3,C$6)</f>
        <v>2.7340492412950088E-3</v>
      </c>
      <c r="D48" s="14" cm="1">
        <f t="array" ref="D48">BS_Greek("PUT","THETA",$A48,$B$1,$B$2,$B$3,D$6)</f>
        <v>2.7235870145911321E-3</v>
      </c>
      <c r="E48" s="14" cm="1">
        <f t="array" ref="E48">BS_Greek("PUT","THETA",$A48,$B$1,$B$2,$B$3,E$6)</f>
        <v>2.6811806459428435E-3</v>
      </c>
      <c r="F48" s="14" cm="1">
        <f t="array" ref="F48">BS_Greek("PUT","THETA",$A48,$B$1,$B$2,$B$3,F$6)</f>
        <v>2.5898788296770648E-3</v>
      </c>
      <c r="G48" s="14" cm="1">
        <f t="array" ref="G48">BS_Greek("PUT","THETA",$A48,$B$1,$B$2,$B$3,G$6)</f>
        <v>2.4532726531850649E-3</v>
      </c>
      <c r="H48" s="14" cm="1">
        <f t="array" ref="H48">BS_Greek("PUT","THETA",$A48,$B$1,$B$2,$B$3,H$6)</f>
        <v>2.2851686389550453E-3</v>
      </c>
      <c r="I48" s="14" cm="1">
        <f t="array" ref="I48">BS_Greek("PUT","THETA",$A48,$B$1,$B$2,$B$3,I$6)</f>
        <v>2.1000666026867384E-3</v>
      </c>
      <c r="J48" s="14" cm="1">
        <f t="array" ref="J48">BS_Greek("PUT","THETA",$A48,$B$1,$B$2,$B$3,J$6)</f>
        <v>1.9094247024980878E-3</v>
      </c>
      <c r="K48" s="14" cm="1">
        <f t="array" ref="K48">BS_Greek("PUT","THETA",$A48,$B$1,$B$2,$B$3,K$6)</f>
        <v>1.7211502940559246E-3</v>
      </c>
      <c r="L48" s="14" cm="1">
        <f t="array" ref="L48">BS_Greek("PUT","THETA",$A48,$B$1,$B$2,$B$3,L$6)</f>
        <v>4.0905022899808899E-4</v>
      </c>
      <c r="M48" s="14" cm="1">
        <f t="array" ref="M48">BS_Greek("PUT","THETA",$A48,$B$1,$B$2,$B$3,M$6)</f>
        <v>-1.133890548593166E-4</v>
      </c>
      <c r="N48" s="14" cm="1">
        <f t="array" ref="N48">BS_Greek("PUT","THETA",$A48,$B$1,$B$2,$B$3,N$6)</f>
        <v>-3.0927853968273678E-4</v>
      </c>
      <c r="O48" s="23" cm="1">
        <f t="array" ref="O48">BS_Greek("PUT","THETA",$A48,$B$1,$B$2,$B$3,O$6)</f>
        <v>-3.7064281675585519E-4</v>
      </c>
      <c r="P48" s="5"/>
      <c r="Q48" s="12">
        <v>65</v>
      </c>
      <c r="R48" s="22" cm="1">
        <f t="array" ref="R48">BS_Greek("PUT","THETA",$Q48,$B$1,$B$2,$R$3,R$6)</f>
        <v>2.73552311865379E-3</v>
      </c>
      <c r="S48" s="14" cm="1">
        <f t="array" ref="S48">BS_Greek("PUT","THETA",$Q48,$B$1,$B$2,$R$3,S$6)</f>
        <v>2.5543992621398976E-3</v>
      </c>
      <c r="T48" s="14" cm="1">
        <f t="array" ref="T48">BS_Greek("PUT","THETA",$Q48,$B$1,$B$2,$R$3,T$6)</f>
        <v>1.9111806553080372E-3</v>
      </c>
      <c r="U48" s="14" cm="1">
        <f t="array" ref="U48">BS_Greek("PUT","THETA",$Q48,$B$1,$B$2,$R$3,U$6)</f>
        <v>1.0483536598917609E-3</v>
      </c>
      <c r="V48" s="14" cm="1">
        <f t="array" ref="V48">BS_Greek("PUT","THETA",$Q48,$B$1,$B$2,$R$3,V$6)</f>
        <v>2.0530949406103328E-4</v>
      </c>
      <c r="W48" s="14" cm="1">
        <f t="array" ref="W48">BS_Greek("PUT","THETA",$Q48,$B$1,$B$2,$R$3,W$6)</f>
        <v>-5.2607377037844729E-4</v>
      </c>
      <c r="X48" s="14" cm="1">
        <f t="array" ref="X48">BS_Greek("PUT","THETA",$Q48,$B$1,$B$2,$R$3,X$6)</f>
        <v>-1.1296391627610149E-3</v>
      </c>
      <c r="Y48" s="14" cm="1">
        <f t="array" ref="Y48">BS_Greek("PUT","THETA",$Q48,$B$1,$B$2,$R$3,Y$6)</f>
        <v>-1.616645958928605E-3</v>
      </c>
      <c r="Z48" s="14" cm="1">
        <f t="array" ref="Z48">BS_Greek("PUT","THETA",$Q48,$B$1,$B$2,$R$3,Z$6)</f>
        <v>-2.0054321746973145E-3</v>
      </c>
      <c r="AA48" s="14" cm="1">
        <f t="array" ref="AA48">BS_Greek("PUT","THETA",$Q48,$B$1,$B$2,$R$3,AA$6)</f>
        <v>-2.3140587963633987E-3</v>
      </c>
      <c r="AB48" s="14" cm="1">
        <f t="array" ref="AB48">BS_Greek("PUT","THETA",$Q48,$B$1,$B$2,$R$3,AB$6)</f>
        <v>-3.2958937887904742E-3</v>
      </c>
      <c r="AC48" s="14" cm="1">
        <f t="array" ref="AC48">BS_Greek("PUT","THETA",$Q48,$B$1,$B$2,$R$3,AC$6)</f>
        <v>-3.1415597981716533E-3</v>
      </c>
      <c r="AD48" s="14" cm="1">
        <f t="array" ref="AD48">BS_Greek("PUT","THETA",$Q48,$B$1,$B$2,$R$3,AD$6)</f>
        <v>-2.8265782157836337E-3</v>
      </c>
      <c r="AE48" s="23" cm="1">
        <f t="array" ref="AE48">BS_Greek("PUT","THETA",$Q48,$B$1,$B$2,$R$3,AE$6)</f>
        <v>-2.5104809435227502E-3</v>
      </c>
      <c r="AF48" s="5"/>
      <c r="AG48" s="12">
        <v>65</v>
      </c>
      <c r="AH48" s="22" cm="1">
        <f t="array" ref="AH48">BS_Greek("PUT","THETA",$AG48,$B$1,$B$2,$AH$3,AH$46)</f>
        <v>2.73698767077637E-3</v>
      </c>
      <c r="AI48" s="14" cm="1">
        <f t="array" ref="AI48">BS_Greek("PUT","THETA",$AG48,$B$1,$B$2,$AH$3,AI$46)</f>
        <v>2.7342520511433781E-3</v>
      </c>
      <c r="AJ48" s="14" cm="1">
        <f t="array" ref="AJ48">BS_Greek("PUT","THETA",$AG48,$B$1,$B$2,$AH$3,AJ$46)</f>
        <v>2.7315191657622034E-3</v>
      </c>
      <c r="AK48" s="14" cm="1">
        <f t="array" ref="AK48">BS_Greek("PUT","THETA",$AG48,$B$1,$B$2,$AH$3,AK$46)</f>
        <v>2.7287890109855581E-3</v>
      </c>
      <c r="AL48" s="14" cm="1">
        <f t="array" ref="AL48">BS_Greek("PUT","THETA",$AG48,$B$1,$B$2,$AH$3,AL$46)</f>
        <v>2.7260615017932724E-3</v>
      </c>
      <c r="AM48" s="14" cm="1">
        <f t="array" ref="AM48">BS_Greek("PUT","THETA",$AG48,$B$1,$B$2,$AH$3,AM$46)</f>
        <v>2.7233351713396789E-3</v>
      </c>
      <c r="AN48" s="14" cm="1">
        <f t="array" ref="AN48">BS_Greek("PUT","THETA",$AG48,$B$1,$B$2,$AH$3,AN$46)</f>
        <v>2.7206003913315571E-3</v>
      </c>
      <c r="AO48" s="14" cm="1">
        <f t="array" ref="AO48">BS_Greek("PUT","THETA",$AG48,$B$1,$B$2,$AH$3,AO$46)</f>
        <v>2.7178242176149887E-3</v>
      </c>
      <c r="AP48" s="14" cm="1">
        <f t="array" ref="AP48">BS_Greek("PUT","THETA",$AG48,$B$1,$B$2,$AH$3,AP$46)</f>
        <v>2.7149340006734318E-3</v>
      </c>
      <c r="AQ48" s="14" cm="1">
        <f t="array" ref="AQ48">BS_Greek("PUT","THETA",$AG48,$B$1,$B$2,$AH$3,AQ$46)</f>
        <v>2.7118113255903383E-3</v>
      </c>
      <c r="AR48" s="14" cm="1">
        <f t="array" ref="AR48">BS_Greek("PUT","THETA",$AG48,$B$1,$B$2,$AH$3,AR$46)</f>
        <v>2.636256850920411E-3</v>
      </c>
      <c r="AS48" s="14" cm="1">
        <f t="array" ref="AS48">BS_Greek("PUT","THETA",$AG48,$B$1,$B$2,$AH$3,AS$46)</f>
        <v>2.4653250745481675E-3</v>
      </c>
      <c r="AT48" s="14" cm="1">
        <f t="array" ref="AT48">BS_Greek("PUT","THETA",$AG48,$B$1,$B$2,$AH$3,AT$46)</f>
        <v>2.2611557174552297E-3</v>
      </c>
      <c r="AU48" s="23" cm="1">
        <f t="array" ref="AU48">BS_Greek("PUT","THETA",$AG48,$B$1,$B$2,$AH$3,AU$46)</f>
        <v>2.0674566070827609E-3</v>
      </c>
    </row>
    <row r="49" spans="1:47" x14ac:dyDescent="0.2">
      <c r="A49" s="12">
        <v>70</v>
      </c>
      <c r="B49" s="22" cm="1">
        <f t="array" ref="B49">BS_Greek("PUT","THETA",$A49,$B$1,$B$2,$B$3,B$6)</f>
        <v>2.7369837302933173E-3</v>
      </c>
      <c r="C49" s="14" cm="1">
        <f t="array" ref="C49">BS_Greek("PUT","THETA",$A49,$B$1,$B$2,$B$3,C$6)</f>
        <v>2.7263113586952744E-3</v>
      </c>
      <c r="D49" s="14" cm="1">
        <f t="array" ref="D49">BS_Greek("PUT","THETA",$A49,$B$1,$B$2,$B$3,D$6)</f>
        <v>2.6393786805498434E-3</v>
      </c>
      <c r="E49" s="14" cm="1">
        <f t="array" ref="E49">BS_Greek("PUT","THETA",$A49,$B$1,$B$2,$B$3,E$6)</f>
        <v>2.4274870564234192E-3</v>
      </c>
      <c r="F49" s="14" cm="1">
        <f t="array" ref="F49">BS_Greek("PUT","THETA",$A49,$B$1,$B$2,$B$3,F$6)</f>
        <v>2.127271829645852E-3</v>
      </c>
      <c r="G49" s="14" cm="1">
        <f t="array" ref="G49">BS_Greek("PUT","THETA",$A49,$B$1,$B$2,$B$3,G$6)</f>
        <v>1.7917326461260278E-3</v>
      </c>
      <c r="H49" s="14" cm="1">
        <f t="array" ref="H49">BS_Greek("PUT","THETA",$A49,$B$1,$B$2,$B$3,H$6)</f>
        <v>1.4574375252183985E-3</v>
      </c>
      <c r="I49" s="14" cm="1">
        <f t="array" ref="I49">BS_Greek("PUT","THETA",$A49,$B$1,$B$2,$B$3,I$6)</f>
        <v>1.1438947914170113E-3</v>
      </c>
      <c r="J49" s="14" cm="1">
        <f t="array" ref="J49">BS_Greek("PUT","THETA",$A49,$B$1,$B$2,$B$3,J$6)</f>
        <v>8.5949509555350754E-4</v>
      </c>
      <c r="K49" s="14" cm="1">
        <f t="array" ref="K49">BS_Greek("PUT","THETA",$A49,$B$1,$B$2,$B$3,K$6)</f>
        <v>6.0642943156033523E-4</v>
      </c>
      <c r="L49" s="14" cm="1">
        <f t="array" ref="L49">BS_Greek("PUT","THETA",$A49,$B$1,$B$2,$B$3,L$6)</f>
        <v>-6.8117645149719578E-4</v>
      </c>
      <c r="M49" s="14" cm="1">
        <f t="array" ref="M49">BS_Greek("PUT","THETA",$A49,$B$1,$B$2,$B$3,M$6)</f>
        <v>-9.7710975123002294E-4</v>
      </c>
      <c r="N49" s="14" cm="1">
        <f t="array" ref="N49">BS_Greek("PUT","THETA",$A49,$B$1,$B$2,$B$3,N$6)</f>
        <v>-1.0018151422914946E-3</v>
      </c>
      <c r="O49" s="23" cm="1">
        <f t="array" ref="O49">BS_Greek("PUT","THETA",$A49,$B$1,$B$2,$B$3,O$6)</f>
        <v>-9.4217369568633962E-4</v>
      </c>
      <c r="P49" s="5"/>
      <c r="Q49" s="12">
        <v>70</v>
      </c>
      <c r="R49" s="22" cm="1">
        <f t="array" ref="R49">BS_Greek("PUT","THETA",$Q49,$B$1,$B$2,$R$3,R$6)</f>
        <v>2.6983884189776216E-3</v>
      </c>
      <c r="S49" s="14" cm="1">
        <f t="array" ref="S49">BS_Greek("PUT","THETA",$Q49,$B$1,$B$2,$R$3,S$6)</f>
        <v>1.796572770343367E-3</v>
      </c>
      <c r="T49" s="14" cm="1">
        <f t="array" ref="T49">BS_Greek("PUT","THETA",$Q49,$B$1,$B$2,$R$3,T$6)</f>
        <v>2.3879299622321366E-4</v>
      </c>
      <c r="U49" s="14" cm="1">
        <f t="array" ref="U49">BS_Greek("PUT","THETA",$Q49,$B$1,$B$2,$R$3,U$6)</f>
        <v>-1.1701334326739055E-3</v>
      </c>
      <c r="V49" s="14" cm="1">
        <f t="array" ref="V49">BS_Greek("PUT","THETA",$Q49,$B$1,$B$2,$R$3,V$6)</f>
        <v>-2.2490271883622535E-3</v>
      </c>
      <c r="W49" s="14" cm="1">
        <f t="array" ref="W49">BS_Greek("PUT","THETA",$Q49,$B$1,$B$2,$R$3,W$6)</f>
        <v>-3.034632899674899E-3</v>
      </c>
      <c r="X49" s="14" cm="1">
        <f t="array" ref="X49">BS_Greek("PUT","THETA",$Q49,$B$1,$B$2,$R$3,X$6)</f>
        <v>-3.5968315842971679E-3</v>
      </c>
      <c r="Y49" s="14" cm="1">
        <f t="array" ref="Y49">BS_Greek("PUT","THETA",$Q49,$B$1,$B$2,$R$3,Y$6)</f>
        <v>-3.9956290701259421E-3</v>
      </c>
      <c r="Z49" s="14" cm="1">
        <f t="array" ref="Z49">BS_Greek("PUT","THETA",$Q49,$B$1,$B$2,$R$3,Z$6)</f>
        <v>-4.2757896358924137E-3</v>
      </c>
      <c r="AA49" s="14" cm="1">
        <f t="array" ref="AA49">BS_Greek("PUT","THETA",$Q49,$B$1,$B$2,$R$3,AA$6)</f>
        <v>-4.4694557369071497E-3</v>
      </c>
      <c r="AB49" s="14" cm="1">
        <f t="array" ref="AB49">BS_Greek("PUT","THETA",$Q49,$B$1,$B$2,$R$3,AB$6)</f>
        <v>-4.5899814123710808E-3</v>
      </c>
      <c r="AC49" s="14" cm="1">
        <f t="array" ref="AC49">BS_Greek("PUT","THETA",$Q49,$B$1,$B$2,$R$3,AC$6)</f>
        <v>-4.0289076836800327E-3</v>
      </c>
      <c r="AD49" s="14" cm="1">
        <f t="array" ref="AD49">BS_Greek("PUT","THETA",$Q49,$B$1,$B$2,$R$3,AD$6)</f>
        <v>-3.4956615477670255E-3</v>
      </c>
      <c r="AE49" s="23" cm="1">
        <f t="array" ref="AE49">BS_Greek("PUT","THETA",$Q49,$B$1,$B$2,$R$3,AE$6)</f>
        <v>-3.0461439603659685E-3</v>
      </c>
      <c r="AF49" s="5"/>
      <c r="AG49" s="12">
        <v>70</v>
      </c>
      <c r="AH49" s="22" cm="1">
        <f t="array" ref="AH49">BS_Greek("PUT","THETA",$AG49,$B$1,$B$2,$AH$3,AH$46)</f>
        <v>2.73698767077637E-3</v>
      </c>
      <c r="AI49" s="14" cm="1">
        <f t="array" ref="AI49">BS_Greek("PUT","THETA",$AG49,$B$1,$B$2,$AH$3,AI$46)</f>
        <v>2.7342520511431513E-3</v>
      </c>
      <c r="AJ49" s="14" cm="1">
        <f t="array" ref="AJ49">BS_Greek("PUT","THETA",$AG49,$B$1,$B$2,$AH$3,AJ$46)</f>
        <v>2.7315191582835225E-3</v>
      </c>
      <c r="AK49" s="14" cm="1">
        <f t="array" ref="AK49">BS_Greek("PUT","THETA",$AG49,$B$1,$B$2,$AH$3,AK$46)</f>
        <v>2.7287877079677945E-3</v>
      </c>
      <c r="AL49" s="14" cm="1">
        <f t="array" ref="AL49">BS_Greek("PUT","THETA",$AG49,$B$1,$B$2,$AH$3,AL$46)</f>
        <v>2.7260334153252509E-3</v>
      </c>
      <c r="AM49" s="14" cm="1">
        <f t="array" ref="AM49">BS_Greek("PUT","THETA",$AG49,$B$1,$B$2,$AH$3,AM$46)</f>
        <v>2.7231217181562582E-3</v>
      </c>
      <c r="AN49" s="14" cm="1">
        <f t="array" ref="AN49">BS_Greek("PUT","THETA",$AG49,$B$1,$B$2,$AH$3,AN$46)</f>
        <v>2.7197055370446234E-3</v>
      </c>
      <c r="AO49" s="14" cm="1">
        <f t="array" ref="AO49">BS_Greek("PUT","THETA",$AG49,$B$1,$B$2,$AH$3,AO$46)</f>
        <v>2.7152366603648355E-3</v>
      </c>
      <c r="AP49" s="14" cm="1">
        <f t="array" ref="AP49">BS_Greek("PUT","THETA",$AG49,$B$1,$B$2,$AH$3,AP$46)</f>
        <v>2.7090913247758233E-3</v>
      </c>
      <c r="AQ49" s="14" cm="1">
        <f t="array" ref="AQ49">BS_Greek("PUT","THETA",$AG49,$B$1,$B$2,$AH$3,AQ$46)</f>
        <v>2.7007126574436647E-3</v>
      </c>
      <c r="AR49" s="14" cm="1">
        <f t="array" ref="AR49">BS_Greek("PUT","THETA",$AG49,$B$1,$B$2,$AH$3,AR$46)</f>
        <v>2.4786464884592042E-3</v>
      </c>
      <c r="AS49" s="14" cm="1">
        <f t="array" ref="AS49">BS_Greek("PUT","THETA",$AG49,$B$1,$B$2,$AH$3,AS$46)</f>
        <v>2.1567199445482483E-3</v>
      </c>
      <c r="AT49" s="14" cm="1">
        <f t="array" ref="AT49">BS_Greek("PUT","THETA",$AG49,$B$1,$B$2,$AH$3,AT$46)</f>
        <v>1.874248487418931E-3</v>
      </c>
      <c r="AU49" s="23" cm="1">
        <f t="array" ref="AU49">BS_Greek("PUT","THETA",$AG49,$B$1,$B$2,$AH$3,AU$46)</f>
        <v>1.652493793190949E-3</v>
      </c>
    </row>
    <row r="50" spans="1:47" x14ac:dyDescent="0.2">
      <c r="A50" s="12">
        <v>75</v>
      </c>
      <c r="B50" s="22" cm="1">
        <f t="array" ref="B50">BS_Greek("PUT","THETA",$A50,$B$1,$B$2,$B$3,B$6)</f>
        <v>2.7359479027115495E-3</v>
      </c>
      <c r="C50" s="14" cm="1">
        <f t="array" ref="C50">BS_Greek("PUT","THETA",$A50,$B$1,$B$2,$B$3,C$6)</f>
        <v>2.6039411944277975E-3</v>
      </c>
      <c r="D50" s="14" cm="1">
        <f t="array" ref="D50">BS_Greek("PUT","THETA",$A50,$B$1,$B$2,$B$3,D$6)</f>
        <v>2.1321410984476998E-3</v>
      </c>
      <c r="E50" s="14" cm="1">
        <f t="array" ref="E50">BS_Greek("PUT","THETA",$A50,$B$1,$B$2,$B$3,E$6)</f>
        <v>1.4944162689969106E-3</v>
      </c>
      <c r="F50" s="14" cm="1">
        <f t="array" ref="F50">BS_Greek("PUT","THETA",$A50,$B$1,$B$2,$B$3,F$6)</f>
        <v>8.6688433771052204E-4</v>
      </c>
      <c r="G50" s="14" cm="1">
        <f t="array" ref="G50">BS_Greek("PUT","THETA",$A50,$B$1,$B$2,$B$3,G$6)</f>
        <v>3.185721391347315E-4</v>
      </c>
      <c r="H50" s="14" cm="1">
        <f t="array" ref="H50">BS_Greek("PUT","THETA",$A50,$B$1,$B$2,$B$3,H$6)</f>
        <v>-1.3736968218990028E-4</v>
      </c>
      <c r="I50" s="14" cm="1">
        <f t="array" ref="I50">BS_Greek("PUT","THETA",$A50,$B$1,$B$2,$B$3,I$6)</f>
        <v>-5.0836527146027048E-4</v>
      </c>
      <c r="J50" s="14" cm="1">
        <f t="array" ref="J50">BS_Greek("PUT","THETA",$A50,$B$1,$B$2,$B$3,J$6)</f>
        <v>-8.0736803854946628E-4</v>
      </c>
      <c r="K50" s="14" cm="1">
        <f t="array" ref="K50">BS_Greek("PUT","THETA",$A50,$B$1,$B$2,$B$3,K$6)</f>
        <v>-1.0473414030026428E-3</v>
      </c>
      <c r="L50" s="14" cm="1">
        <f t="array" ref="L50">BS_Greek("PUT","THETA",$A50,$B$1,$B$2,$B$3,L$6)</f>
        <v>-1.8783454086114145E-3</v>
      </c>
      <c r="M50" s="14" cm="1">
        <f t="array" ref="M50">BS_Greek("PUT","THETA",$A50,$B$1,$B$2,$B$3,M$6)</f>
        <v>-1.8402756750863318E-3</v>
      </c>
      <c r="N50" s="14" cm="1">
        <f t="array" ref="N50">BS_Greek("PUT","THETA",$A50,$B$1,$B$2,$B$3,N$6)</f>
        <v>-1.6647853649347716E-3</v>
      </c>
      <c r="O50" s="23" cm="1">
        <f t="array" ref="O50">BS_Greek("PUT","THETA",$A50,$B$1,$B$2,$B$3,O$6)</f>
        <v>-1.4768536767150327E-3</v>
      </c>
      <c r="P50" s="5"/>
      <c r="Q50" s="12">
        <v>75</v>
      </c>
      <c r="R50" s="22" cm="1">
        <f t="array" ref="R50">BS_Greek("PUT","THETA",$Q50,$B$1,$B$2,$R$3,R$6)</f>
        <v>2.267845244253725E-3</v>
      </c>
      <c r="S50" s="14" cm="1">
        <f t="array" ref="S50">BS_Greek("PUT","THETA",$Q50,$B$1,$B$2,$R$3,S$6)</f>
        <v>-5.83099962366826E-4</v>
      </c>
      <c r="T50" s="14" cm="1">
        <f t="array" ref="T50">BS_Greek("PUT","THETA",$Q50,$B$1,$B$2,$R$3,T$6)</f>
        <v>-3.1148094078443721E-3</v>
      </c>
      <c r="U50" s="14" cm="1">
        <f t="array" ref="U50">BS_Greek("PUT","THETA",$Q50,$B$1,$B$2,$R$3,U$6)</f>
        <v>-4.7178424611457933E-3</v>
      </c>
      <c r="V50" s="14" cm="1">
        <f t="array" ref="V50">BS_Greek("PUT","THETA",$Q50,$B$1,$B$2,$R$3,V$6)</f>
        <v>-5.675157963179335E-3</v>
      </c>
      <c r="W50" s="14" cm="1">
        <f t="array" ref="W50">BS_Greek("PUT","THETA",$Q50,$B$1,$B$2,$R$3,W$6)</f>
        <v>-6.2342061600082314E-3</v>
      </c>
      <c r="X50" s="14" cm="1">
        <f t="array" ref="X50">BS_Greek("PUT","THETA",$Q50,$B$1,$B$2,$R$3,X$6)</f>
        <v>-6.5484363729721743E-3</v>
      </c>
      <c r="Y50" s="14" cm="1">
        <f t="array" ref="Y50">BS_Greek("PUT","THETA",$Q50,$B$1,$B$2,$R$3,Y$6)</f>
        <v>-6.7094183334425852E-3</v>
      </c>
      <c r="Z50" s="14" cm="1">
        <f t="array" ref="Z50">BS_Greek("PUT","THETA",$Q50,$B$1,$B$2,$R$3,Z$6)</f>
        <v>-6.7725572685451004E-3</v>
      </c>
      <c r="AA50" s="14" cm="1">
        <f t="array" ref="AA50">BS_Greek("PUT","THETA",$Q50,$B$1,$B$2,$R$3,AA$6)</f>
        <v>-6.7722260036492243E-3</v>
      </c>
      <c r="AB50" s="14" cm="1">
        <f t="array" ref="AB50">BS_Greek("PUT","THETA",$Q50,$B$1,$B$2,$R$3,AB$6)</f>
        <v>-5.8152160697901049E-3</v>
      </c>
      <c r="AC50" s="14" cm="1">
        <f t="array" ref="AC50">BS_Greek("PUT","THETA",$Q50,$B$1,$B$2,$R$3,AC$6)</f>
        <v>-4.8432822093258448E-3</v>
      </c>
      <c r="AD50" s="14" cm="1">
        <f t="array" ref="AD50">BS_Greek("PUT","THETA",$Q50,$B$1,$B$2,$R$3,AD$6)</f>
        <v>-4.1032358554313111E-3</v>
      </c>
      <c r="AE50" s="23" cm="1">
        <f t="array" ref="AE50">BS_Greek("PUT","THETA",$Q50,$B$1,$B$2,$R$3,AE$6)</f>
        <v>-3.5308963437030113E-3</v>
      </c>
      <c r="AF50" s="5"/>
      <c r="AG50" s="12">
        <v>75</v>
      </c>
      <c r="AH50" s="22" cm="1">
        <f t="array" ref="AH50">BS_Greek("PUT","THETA",$AG50,$B$1,$B$2,$AH$3,AH$46)</f>
        <v>2.73698767077637E-3</v>
      </c>
      <c r="AI50" s="14" cm="1">
        <f t="array" ref="AI50">BS_Greek("PUT","THETA",$AG50,$B$1,$B$2,$AH$3,AI$46)</f>
        <v>2.7342520363935318E-3</v>
      </c>
      <c r="AJ50" s="14" cm="1">
        <f t="array" ref="AJ50">BS_Greek("PUT","THETA",$AG50,$B$1,$B$2,$AH$3,AJ$46)</f>
        <v>2.7315071899205821E-3</v>
      </c>
      <c r="AK50" s="14" cm="1">
        <f t="array" ref="AK50">BS_Greek("PUT","THETA",$AG50,$B$1,$B$2,$AH$3,AK$46)</f>
        <v>2.7284611230269612E-3</v>
      </c>
      <c r="AL50" s="14" cm="1">
        <f t="array" ref="AL50">BS_Greek("PUT","THETA",$AG50,$B$1,$B$2,$AH$3,AL$46)</f>
        <v>2.7237278178330292E-3</v>
      </c>
      <c r="AM50" s="14" cm="1">
        <f t="array" ref="AM50">BS_Greek("PUT","THETA",$AG50,$B$1,$B$2,$AH$3,AM$46)</f>
        <v>2.7148318641840598E-3</v>
      </c>
      <c r="AN50" s="14" cm="1">
        <f t="array" ref="AN50">BS_Greek("PUT","THETA",$AG50,$B$1,$B$2,$AH$3,AN$46)</f>
        <v>2.6994214207331228E-3</v>
      </c>
      <c r="AO50" s="14" cm="1">
        <f t="array" ref="AO50">BS_Greek("PUT","THETA",$AG50,$B$1,$B$2,$AH$3,AO$46)</f>
        <v>2.6761909237987386E-3</v>
      </c>
      <c r="AP50" s="14" cm="1">
        <f t="array" ref="AP50">BS_Greek("PUT","THETA",$AG50,$B$1,$B$2,$AH$3,AP$46)</f>
        <v>2.6449970054799226E-3</v>
      </c>
      <c r="AQ50" s="14" cm="1">
        <f t="array" ref="AQ50">BS_Greek("PUT","THETA",$AG50,$B$1,$B$2,$AH$3,AQ$46)</f>
        <v>2.6065398030953174E-3</v>
      </c>
      <c r="AR50" s="14" cm="1">
        <f t="array" ref="AR50">BS_Greek("PUT","THETA",$AG50,$B$1,$B$2,$AH$3,AR$46)</f>
        <v>2.0678267632014743E-3</v>
      </c>
      <c r="AS50" s="14" cm="1">
        <f t="array" ref="AS50">BS_Greek("PUT","THETA",$AG50,$B$1,$B$2,$AH$3,AS$46)</f>
        <v>1.6185935558991307E-3</v>
      </c>
      <c r="AT50" s="14" cm="1">
        <f t="array" ref="AT50">BS_Greek("PUT","THETA",$AG50,$B$1,$B$2,$AH$3,AT$46)</f>
        <v>1.322375174717338E-3</v>
      </c>
      <c r="AU50" s="23" cm="1">
        <f t="array" ref="AU50">BS_Greek("PUT","THETA",$AG50,$B$1,$B$2,$AH$3,AU$46)</f>
        <v>1.1272042761236863E-3</v>
      </c>
    </row>
    <row r="51" spans="1:47" x14ac:dyDescent="0.2">
      <c r="A51" s="12">
        <v>80</v>
      </c>
      <c r="B51" s="22" cm="1">
        <f t="array" ref="B51">BS_Greek("PUT","THETA",$A51,$B$1,$B$2,$B$3,B$6)</f>
        <v>2.6717645775621779E-3</v>
      </c>
      <c r="C51" s="14" cm="1">
        <f t="array" ref="C51">BS_Greek("PUT","THETA",$A51,$B$1,$B$2,$B$3,C$6)</f>
        <v>1.6916127881992887E-3</v>
      </c>
      <c r="D51" s="14" cm="1">
        <f t="array" ref="D51">BS_Greek("PUT","THETA",$A51,$B$1,$B$2,$B$3,D$6)</f>
        <v>3.1601953838322793E-4</v>
      </c>
      <c r="E51" s="14" cm="1">
        <f t="array" ref="E51">BS_Greek("PUT","THETA",$A51,$B$1,$B$2,$B$3,E$6)</f>
        <v>-8.0282702751496946E-4</v>
      </c>
      <c r="F51" s="14" cm="1">
        <f t="array" ref="F51">BS_Greek("PUT","THETA",$A51,$B$1,$B$2,$B$3,F$6)</f>
        <v>-1.6057693434508638E-3</v>
      </c>
      <c r="G51" s="14" cm="1">
        <f t="array" ref="G51">BS_Greek("PUT","THETA",$A51,$B$1,$B$2,$B$3,G$6)</f>
        <v>-2.1635647121954257E-3</v>
      </c>
      <c r="H51" s="14" cm="1">
        <f t="array" ref="H51">BS_Greek("PUT","THETA",$A51,$B$1,$B$2,$B$3,H$6)</f>
        <v>-2.5473518305614883E-3</v>
      </c>
      <c r="I51" s="14" cm="1">
        <f t="array" ref="I51">BS_Greek("PUT","THETA",$A51,$B$1,$B$2,$B$3,I$6)</f>
        <v>-2.8096338385570317E-3</v>
      </c>
      <c r="J51" s="14" cm="1">
        <f t="array" ref="J51">BS_Greek("PUT","THETA",$A51,$B$1,$B$2,$B$3,J$6)</f>
        <v>-2.9866838245830654E-3</v>
      </c>
      <c r="K51" s="14" cm="1">
        <f t="array" ref="K51">BS_Greek("PUT","THETA",$A51,$B$1,$B$2,$B$3,K$6)</f>
        <v>-3.1032982462020553E-3</v>
      </c>
      <c r="L51" s="14" cm="1">
        <f t="array" ref="L51">BS_Greek("PUT","THETA",$A51,$B$1,$B$2,$B$3,L$6)</f>
        <v>-3.0735485480211382E-3</v>
      </c>
      <c r="M51" s="14" cm="1">
        <f t="array" ref="M51">BS_Greek("PUT","THETA",$A51,$B$1,$B$2,$B$3,M$6)</f>
        <v>-2.648174062799036E-3</v>
      </c>
      <c r="N51" s="14" cm="1">
        <f t="array" ref="N51">BS_Greek("PUT","THETA",$A51,$B$1,$B$2,$B$3,N$6)</f>
        <v>-2.2687752121636389E-3</v>
      </c>
      <c r="O51" s="23" cm="1">
        <f t="array" ref="O51">BS_Greek("PUT","THETA",$A51,$B$1,$B$2,$B$3,O$6)</f>
        <v>-1.9577605248443206E-3</v>
      </c>
      <c r="P51" s="5"/>
      <c r="Q51" s="12">
        <v>80</v>
      </c>
      <c r="R51" s="22" cm="1">
        <f t="array" ref="R51">BS_Greek("PUT","THETA",$Q51,$B$1,$B$2,$R$3,R$6)</f>
        <v>-2.7090178978859611E-4</v>
      </c>
      <c r="S51" s="14" cm="1">
        <f t="array" ref="S51">BS_Greek("PUT","THETA",$Q51,$B$1,$B$2,$R$3,S$6)</f>
        <v>-5.7851869838675104E-3</v>
      </c>
      <c r="T51" s="14" cm="1">
        <f t="array" ref="T51">BS_Greek("PUT","THETA",$Q51,$B$1,$B$2,$R$3,T$6)</f>
        <v>-8.3397735002773473E-3</v>
      </c>
      <c r="U51" s="14" cm="1">
        <f t="array" ref="U51">BS_Greek("PUT","THETA",$Q51,$B$1,$B$2,$R$3,U$6)</f>
        <v>-9.3825530410515407E-3</v>
      </c>
      <c r="V51" s="14" cm="1">
        <f t="array" ref="V51">BS_Greek("PUT","THETA",$Q51,$B$1,$B$2,$R$3,V$6)</f>
        <v>-9.7467482514543204E-3</v>
      </c>
      <c r="W51" s="14" cm="1">
        <f t="array" ref="W51">BS_Greek("PUT","THETA",$Q51,$B$1,$B$2,$R$3,W$6)</f>
        <v>-9.7915806579623923E-3</v>
      </c>
      <c r="X51" s="14" cm="1">
        <f t="array" ref="X51">BS_Greek("PUT","THETA",$Q51,$B$1,$B$2,$R$3,X$6)</f>
        <v>-9.6800549519099246E-3</v>
      </c>
      <c r="Y51" s="14" cm="1">
        <f t="array" ref="Y51">BS_Greek("PUT","THETA",$Q51,$B$1,$B$2,$R$3,Y$6)</f>
        <v>-9.4912859727681338E-3</v>
      </c>
      <c r="Z51" s="14" cm="1">
        <f t="array" ref="Z51">BS_Greek("PUT","THETA",$Q51,$B$1,$B$2,$R$3,Z$6)</f>
        <v>-9.2658243416587748E-3</v>
      </c>
      <c r="AA51" s="14" cm="1">
        <f t="array" ref="AA51">BS_Greek("PUT","THETA",$Q51,$B$1,$B$2,$R$3,AA$6)</f>
        <v>-9.0252805526068007E-3</v>
      </c>
      <c r="AB51" s="14" cm="1">
        <f t="array" ref="AB51">BS_Greek("PUT","THETA",$Q51,$B$1,$B$2,$R$3,AB$6)</f>
        <v>-6.9222797166401508E-3</v>
      </c>
      <c r="AC51" s="14" cm="1">
        <f t="array" ref="AC51">BS_Greek("PUT","THETA",$Q51,$B$1,$B$2,$R$3,AC$6)</f>
        <v>-5.5679799070449069E-3</v>
      </c>
      <c r="AD51" s="14" cm="1">
        <f t="array" ref="AD51">BS_Greek("PUT","THETA",$Q51,$B$1,$B$2,$R$3,AD$6)</f>
        <v>-4.642893532532502E-3</v>
      </c>
      <c r="AE51" s="23" cm="1">
        <f t="array" ref="AE51">BS_Greek("PUT","THETA",$Q51,$B$1,$B$2,$R$3,AE$6)</f>
        <v>-3.9623797492219512E-3</v>
      </c>
      <c r="AF51" s="5"/>
      <c r="AG51" s="12">
        <v>80</v>
      </c>
      <c r="AH51" s="22" cm="1">
        <f t="array" ref="AH51">BS_Greek("PUT","THETA",$AG51,$B$1,$B$2,$AH$3,AH$46)</f>
        <v>2.736987670476494E-3</v>
      </c>
      <c r="AI51" s="14" cm="1">
        <f t="array" ref="AI51">BS_Greek("PUT","THETA",$AG51,$B$1,$B$2,$AH$3,AI$46)</f>
        <v>2.7341976247177123E-3</v>
      </c>
      <c r="AJ51" s="14" cm="1">
        <f t="array" ref="AJ51">BS_Greek("PUT","THETA",$AG51,$B$1,$B$2,$AH$3,AJ$46)</f>
        <v>2.7286820572850743E-3</v>
      </c>
      <c r="AK51" s="14" cm="1">
        <f t="array" ref="AK51">BS_Greek("PUT","THETA",$AG51,$B$1,$B$2,$AH$3,AK$46)</f>
        <v>2.7090935228917747E-3</v>
      </c>
      <c r="AL51" s="14" cm="1">
        <f t="array" ref="AL51">BS_Greek("PUT","THETA",$AG51,$B$1,$B$2,$AH$3,AL$46)</f>
        <v>2.6644938675962912E-3</v>
      </c>
      <c r="AM51" s="14" cm="1">
        <f t="array" ref="AM51">BS_Greek("PUT","THETA",$AG51,$B$1,$B$2,$AH$3,AM$46)</f>
        <v>2.5936484049536909E-3</v>
      </c>
      <c r="AN51" s="14" cm="1">
        <f t="array" ref="AN51">BS_Greek("PUT","THETA",$AG51,$B$1,$B$2,$AH$3,AN$46)</f>
        <v>2.5020883547780511E-3</v>
      </c>
      <c r="AO51" s="14" cm="1">
        <f t="array" ref="AO51">BS_Greek("PUT","THETA",$AG51,$B$1,$B$2,$AH$3,AO$46)</f>
        <v>2.3971621675453018E-3</v>
      </c>
      <c r="AP51" s="14" cm="1">
        <f t="array" ref="AP51">BS_Greek("PUT","THETA",$AG51,$B$1,$B$2,$AH$3,AP$46)</f>
        <v>2.2854220194747287E-3</v>
      </c>
      <c r="AQ51" s="14" cm="1">
        <f t="array" ref="AQ51">BS_Greek("PUT","THETA",$AG51,$B$1,$B$2,$AH$3,AQ$46)</f>
        <v>2.1718412619782849E-3</v>
      </c>
      <c r="AR51" s="14" cm="1">
        <f t="array" ref="AR51">BS_Greek("PUT","THETA",$AG51,$B$1,$B$2,$AH$3,AR$46)</f>
        <v>1.2919784888695642E-3</v>
      </c>
      <c r="AS51" s="14" cm="1">
        <f t="array" ref="AS51">BS_Greek("PUT","THETA",$AG51,$B$1,$B$2,$AH$3,AS$46)</f>
        <v>8.663592203983862E-4</v>
      </c>
      <c r="AT51" s="14" cm="1">
        <f t="array" ref="AT51">BS_Greek("PUT","THETA",$AG51,$B$1,$B$2,$AH$3,AT$46)</f>
        <v>6.5728157328434633E-4</v>
      </c>
      <c r="AU51" s="23" cm="1">
        <f t="array" ref="AU51">BS_Greek("PUT","THETA",$AG51,$B$1,$B$2,$AH$3,AU$46)</f>
        <v>5.4681790955094498E-4</v>
      </c>
    </row>
    <row r="52" spans="1:47" x14ac:dyDescent="0.2">
      <c r="A52" s="12">
        <v>85</v>
      </c>
      <c r="B52" s="22" cm="1">
        <f t="array" ref="B52">BS_Greek("PUT","THETA",$A52,$B$1,$B$2,$B$3,B$6)</f>
        <v>1.5028967980634915E-3</v>
      </c>
      <c r="C52" s="14" cm="1">
        <f t="array" ref="C52">BS_Greek("PUT","THETA",$A52,$B$1,$B$2,$B$3,C$6)</f>
        <v>-1.8490017602469807E-3</v>
      </c>
      <c r="D52" s="14" cm="1">
        <f t="array" ref="D52">BS_Greek("PUT","THETA",$A52,$B$1,$B$2,$B$3,D$6)</f>
        <v>-3.8003837784603206E-3</v>
      </c>
      <c r="E52" s="14" cm="1">
        <f t="array" ref="E52">BS_Greek("PUT","THETA",$A52,$B$1,$B$2,$B$3,E$6)</f>
        <v>-4.764212581221494E-3</v>
      </c>
      <c r="F52" s="14" cm="1">
        <f t="array" ref="F52">BS_Greek("PUT","THETA",$A52,$B$1,$B$2,$B$3,F$6)</f>
        <v>-5.2215040062623076E-3</v>
      </c>
      <c r="G52" s="14" cm="1">
        <f t="array" ref="G52">BS_Greek("PUT","THETA",$A52,$B$1,$B$2,$B$3,G$6)</f>
        <v>-5.4157270600014443E-3</v>
      </c>
      <c r="H52" s="14" cm="1">
        <f t="array" ref="H52">BS_Greek("PUT","THETA",$A52,$B$1,$B$2,$B$3,H$6)</f>
        <v>-5.4679490114194563E-3</v>
      </c>
      <c r="I52" s="14" cm="1">
        <f t="array" ref="I52">BS_Greek("PUT","THETA",$A52,$B$1,$B$2,$B$3,I$6)</f>
        <v>-5.441190684502782E-3</v>
      </c>
      <c r="J52" s="14" cm="1">
        <f t="array" ref="J52">BS_Greek("PUT","THETA",$A52,$B$1,$B$2,$B$3,J$6)</f>
        <v>-5.369878636184695E-3</v>
      </c>
      <c r="K52" s="14" cm="1">
        <f t="array" ref="K52">BS_Greek("PUT","THETA",$A52,$B$1,$B$2,$B$3,K$6)</f>
        <v>-5.2736024865499883E-3</v>
      </c>
      <c r="L52" s="14" cm="1">
        <f t="array" ref="L52">BS_Greek("PUT","THETA",$A52,$B$1,$B$2,$B$3,L$6)</f>
        <v>-4.1627151007786693E-3</v>
      </c>
      <c r="M52" s="14" cm="1">
        <f t="array" ref="M52">BS_Greek("PUT","THETA",$A52,$B$1,$B$2,$B$3,M$6)</f>
        <v>-3.3577084508555448E-3</v>
      </c>
      <c r="N52" s="14" cm="1">
        <f t="array" ref="N52">BS_Greek("PUT","THETA",$A52,$B$1,$B$2,$B$3,N$6)</f>
        <v>-2.793085587726426E-3</v>
      </c>
      <c r="O52" s="23" cm="1">
        <f t="array" ref="O52">BS_Greek("PUT","THETA",$A52,$B$1,$B$2,$B$3,O$6)</f>
        <v>-2.3740436737532339E-3</v>
      </c>
      <c r="P52" s="5"/>
      <c r="Q52" s="12">
        <v>85</v>
      </c>
      <c r="R52" s="22" cm="1">
        <f t="array" ref="R52">BS_Greek("PUT","THETA",$Q52,$B$1,$B$2,$R$3,R$6)</f>
        <v>-8.573890884554158E-3</v>
      </c>
      <c r="S52" s="14" cm="1">
        <f t="array" ref="S52">BS_Greek("PUT","THETA",$Q52,$B$1,$B$2,$R$3,S$6)</f>
        <v>-1.4016398594192977E-2</v>
      </c>
      <c r="T52" s="14" cm="1">
        <f t="array" ref="T52">BS_Greek("PUT","THETA",$Q52,$B$1,$B$2,$R$3,T$6)</f>
        <v>-1.4810842710555147E-2</v>
      </c>
      <c r="U52" s="14" cm="1">
        <f t="array" ref="U52">BS_Greek("PUT","THETA",$Q52,$B$1,$B$2,$R$3,U$6)</f>
        <v>-1.4500971851656289E-2</v>
      </c>
      <c r="V52" s="14" cm="1">
        <f t="array" ref="V52">BS_Greek("PUT","THETA",$Q52,$B$1,$B$2,$R$3,V$6)</f>
        <v>-1.3908163904716504E-2</v>
      </c>
      <c r="W52" s="14" cm="1">
        <f t="array" ref="W52">BS_Greek("PUT","THETA",$Q52,$B$1,$B$2,$R$3,W$6)</f>
        <v>-1.3264370046731009E-2</v>
      </c>
      <c r="X52" s="14" cm="1">
        <f t="array" ref="X52">BS_Greek("PUT","THETA",$Q52,$B$1,$B$2,$R$3,X$6)</f>
        <v>-1.2642245354374498E-2</v>
      </c>
      <c r="Y52" s="14" cm="1">
        <f t="array" ref="Y52">BS_Greek("PUT","THETA",$Q52,$B$1,$B$2,$R$3,Y$6)</f>
        <v>-1.2063740167309683E-2</v>
      </c>
      <c r="Z52" s="14" cm="1">
        <f t="array" ref="Z52">BS_Greek("PUT","THETA",$Q52,$B$1,$B$2,$R$3,Z$6)</f>
        <v>-1.1533126908220092E-2</v>
      </c>
      <c r="AA52" s="14" cm="1">
        <f t="array" ref="AA52">BS_Greek("PUT","THETA",$Q52,$B$1,$B$2,$R$3,AA$6)</f>
        <v>-1.104838405842286E-2</v>
      </c>
      <c r="AB52" s="14" cm="1">
        <f t="array" ref="AB52">BS_Greek("PUT","THETA",$Q52,$B$1,$B$2,$R$3,AB$6)</f>
        <v>-7.8770067111233154E-3</v>
      </c>
      <c r="AC52" s="14" cm="1">
        <f t="array" ref="AC52">BS_Greek("PUT","THETA",$Q52,$B$1,$B$2,$R$3,AC$6)</f>
        <v>-6.1933937146141779E-3</v>
      </c>
      <c r="AD52" s="14" cm="1">
        <f t="array" ref="AD52">BS_Greek("PUT","THETA",$Q52,$B$1,$B$2,$R$3,AD$6)</f>
        <v>-5.1119023677054683E-3</v>
      </c>
      <c r="AE52" s="23" cm="1">
        <f t="array" ref="AE52">BS_Greek("PUT","THETA",$Q52,$B$1,$B$2,$R$3,AE$6)</f>
        <v>-4.3403084589839647E-3</v>
      </c>
      <c r="AF52" s="5"/>
      <c r="AG52" s="12">
        <v>85</v>
      </c>
      <c r="AH52" s="22" cm="1">
        <f t="array" ref="AH52">BS_Greek("PUT","THETA",$AG52,$B$1,$B$2,$AH$3,AH$46)</f>
        <v>2.7369528246241263E-3</v>
      </c>
      <c r="AI52" s="14" cm="1">
        <f t="array" ref="AI52">BS_Greek("PUT","THETA",$AG52,$B$1,$B$2,$AH$3,AI$46)</f>
        <v>2.7159013792084565E-3</v>
      </c>
      <c r="AJ52" s="14" cm="1">
        <f t="array" ref="AJ52">BS_Greek("PUT","THETA",$AG52,$B$1,$B$2,$AH$3,AJ$46)</f>
        <v>2.5948863465673102E-3</v>
      </c>
      <c r="AK52" s="14" cm="1">
        <f t="array" ref="AK52">BS_Greek("PUT","THETA",$AG52,$B$1,$B$2,$AH$3,AK$46)</f>
        <v>2.3699826390183283E-3</v>
      </c>
      <c r="AL52" s="14" cm="1">
        <f t="array" ref="AL52">BS_Greek("PUT","THETA",$AG52,$B$1,$B$2,$AH$3,AL$46)</f>
        <v>2.0997267541734295E-3</v>
      </c>
      <c r="AM52" s="14" cm="1">
        <f t="array" ref="AM52">BS_Greek("PUT","THETA",$AG52,$B$1,$B$2,$AH$3,AM$46)</f>
        <v>1.8282638494498764E-3</v>
      </c>
      <c r="AN52" s="14" cm="1">
        <f t="array" ref="AN52">BS_Greek("PUT","THETA",$AG52,$B$1,$B$2,$AH$3,AN$46)</f>
        <v>1.577065164892637E-3</v>
      </c>
      <c r="AO52" s="14" cm="1">
        <f t="array" ref="AO52">BS_Greek("PUT","THETA",$AG52,$B$1,$B$2,$AH$3,AO$46)</f>
        <v>1.3537659206208576E-3</v>
      </c>
      <c r="AP52" s="14" cm="1">
        <f t="array" ref="AP52">BS_Greek("PUT","THETA",$AG52,$B$1,$B$2,$AH$3,AP$46)</f>
        <v>1.159230446943943E-3</v>
      </c>
      <c r="AQ52" s="14" cm="1">
        <f t="array" ref="AQ52">BS_Greek("PUT","THETA",$AG52,$B$1,$B$2,$AH$3,AQ$46)</f>
        <v>9.9142779139579809E-4</v>
      </c>
      <c r="AR52" s="14" cm="1">
        <f t="array" ref="AR52">BS_Greek("PUT","THETA",$AG52,$B$1,$B$2,$AH$3,AR$46)</f>
        <v>1.9091013157734264E-4</v>
      </c>
      <c r="AS52" s="14" cm="1">
        <f t="array" ref="AS52">BS_Greek("PUT","THETA",$AG52,$B$1,$B$2,$AH$3,AS$46)</f>
        <v>3.9807915022645707E-6</v>
      </c>
      <c r="AT52" s="14" cm="1">
        <f t="array" ref="AT52">BS_Greek("PUT","THETA",$AG52,$B$1,$B$2,$AH$3,AT$46)</f>
        <v>-3.0981516651429796E-5</v>
      </c>
      <c r="AU52" s="23" cm="1">
        <f t="array" ref="AU52">BS_Greek("PUT","THETA",$AG52,$B$1,$B$2,$AH$3,AU$46)</f>
        <v>-1.9880952650765707E-5</v>
      </c>
    </row>
    <row r="53" spans="1:47" x14ac:dyDescent="0.2">
      <c r="A53" s="12">
        <v>90</v>
      </c>
      <c r="B53" s="22" cm="1">
        <f t="array" ref="B53">BS_Greek("PUT","THETA",$A53,$B$1,$B$2,$B$3,B$6)</f>
        <v>-5.7855324286142469E-3</v>
      </c>
      <c r="C53" s="14" cm="1">
        <f t="array" ref="C53">BS_Greek("PUT","THETA",$A53,$B$1,$B$2,$B$3,C$6)</f>
        <v>-9.448028391835412E-3</v>
      </c>
      <c r="D53" s="14" cm="1">
        <f t="array" ref="D53">BS_Greek("PUT","THETA",$A53,$B$1,$B$2,$B$3,D$6)</f>
        <v>-9.9066528213895035E-3</v>
      </c>
      <c r="E53" s="14" cm="1">
        <f t="array" ref="E53">BS_Greek("PUT","THETA",$A53,$B$1,$B$2,$B$3,E$6)</f>
        <v>-9.6446379181134544E-3</v>
      </c>
      <c r="F53" s="14" cm="1">
        <f t="array" ref="F53">BS_Greek("PUT","THETA",$A53,$B$1,$B$2,$B$3,F$6)</f>
        <v>-9.2099953475645712E-3</v>
      </c>
      <c r="G53" s="14" cm="1">
        <f t="array" ref="G53">BS_Greek("PUT","THETA",$A53,$B$1,$B$2,$B$3,G$6)</f>
        <v>-8.75230159651612E-3</v>
      </c>
      <c r="H53" s="14" cm="1">
        <f t="array" ref="H53">BS_Greek("PUT","THETA",$A53,$B$1,$B$2,$B$3,H$6)</f>
        <v>-8.3163966315984543E-3</v>
      </c>
      <c r="I53" s="14" cm="1">
        <f t="array" ref="I53">BS_Greek("PUT","THETA",$A53,$B$1,$B$2,$B$3,I$6)</f>
        <v>-7.914630659693174E-3</v>
      </c>
      <c r="J53" s="14" cm="1">
        <f t="array" ref="J53">BS_Greek("PUT","THETA",$A53,$B$1,$B$2,$B$3,J$6)</f>
        <v>-7.5483910362374408E-3</v>
      </c>
      <c r="K53" s="14" cm="1">
        <f t="array" ref="K53">BS_Greek("PUT","THETA",$A53,$B$1,$B$2,$B$3,K$6)</f>
        <v>-7.2153676469695017E-3</v>
      </c>
      <c r="L53" s="14" cm="1">
        <f t="array" ref="L53">BS_Greek("PUT","THETA",$A53,$B$1,$B$2,$B$3,L$6)</f>
        <v>-5.0644056698343071E-3</v>
      </c>
      <c r="M53" s="14" cm="1">
        <f t="array" ref="M53">BS_Greek("PUT","THETA",$A53,$B$1,$B$2,$B$3,M$6)</f>
        <v>-3.9402410367218536E-3</v>
      </c>
      <c r="N53" s="14" cm="1">
        <f t="array" ref="N53">BS_Greek("PUT","THETA",$A53,$B$1,$B$2,$B$3,N$6)</f>
        <v>-3.2256386306901749E-3</v>
      </c>
      <c r="O53" s="23" cm="1">
        <f t="array" ref="O53">BS_Greek("PUT","THETA",$A53,$B$1,$B$2,$B$3,O$6)</f>
        <v>-2.7202465942149276E-3</v>
      </c>
      <c r="P53" s="5"/>
      <c r="Q53" s="12">
        <v>90</v>
      </c>
      <c r="R53" s="22" cm="1">
        <f t="array" ref="R53">BS_Greek("PUT","THETA",$Q53,$B$1,$B$2,$R$3,R$6)</f>
        <v>-2.4419962812072097E-2</v>
      </c>
      <c r="S53" s="14" cm="1">
        <f t="array" ref="S53">BS_Greek("PUT","THETA",$Q53,$B$1,$B$2,$R$3,S$6)</f>
        <v>-2.3580262004253779E-2</v>
      </c>
      <c r="T53" s="14" cm="1">
        <f t="array" ref="T53">BS_Greek("PUT","THETA",$Q53,$B$1,$B$2,$R$3,T$6)</f>
        <v>-2.1199827842377981E-2</v>
      </c>
      <c r="U53" s="14" cm="1">
        <f t="array" ref="U53">BS_Greek("PUT","THETA",$Q53,$B$1,$B$2,$R$3,U$6)</f>
        <v>-1.9177263898138515E-2</v>
      </c>
      <c r="V53" s="14" cm="1">
        <f t="array" ref="V53">BS_Greek("PUT","THETA",$Q53,$B$1,$B$2,$R$3,V$6)</f>
        <v>-1.7548600353258746E-2</v>
      </c>
      <c r="W53" s="14" cm="1">
        <f t="array" ref="W53">BS_Greek("PUT","THETA",$Q53,$B$1,$B$2,$R$3,W$6)</f>
        <v>-1.622304880111531E-2</v>
      </c>
      <c r="X53" s="14" cm="1">
        <f t="array" ref="X53">BS_Greek("PUT","THETA",$Q53,$B$1,$B$2,$R$3,X$6)</f>
        <v>-1.5123564175827881E-2</v>
      </c>
      <c r="Y53" s="14" cm="1">
        <f t="array" ref="Y53">BS_Greek("PUT","THETA",$Q53,$B$1,$B$2,$R$3,Y$6)</f>
        <v>-1.4194831439433122E-2</v>
      </c>
      <c r="Z53" s="14" cm="1">
        <f t="array" ref="Z53">BS_Greek("PUT","THETA",$Q53,$B$1,$B$2,$R$3,Z$6)</f>
        <v>-1.3397755788800271E-2</v>
      </c>
      <c r="AA53" s="14" cm="1">
        <f t="array" ref="AA53">BS_Greek("PUT","THETA",$Q53,$B$1,$B$2,$R$3,AA$6)</f>
        <v>-1.2704314256302715E-2</v>
      </c>
      <c r="AB53" s="14" cm="1">
        <f t="array" ref="AB53">BS_Greek("PUT","THETA",$Q53,$B$1,$B$2,$R$3,AB$6)</f>
        <v>-8.6597535666043304E-3</v>
      </c>
      <c r="AC53" s="14" cm="1">
        <f t="array" ref="AC53">BS_Greek("PUT","THETA",$Q53,$B$1,$B$2,$R$3,AC$6)</f>
        <v>-6.7157658929458417E-3</v>
      </c>
      <c r="AD53" s="14" cm="1">
        <f t="array" ref="AD53">BS_Greek("PUT","THETA",$Q53,$B$1,$B$2,$R$3,AD$6)</f>
        <v>-5.5103438614366278E-3</v>
      </c>
      <c r="AE53" s="23" cm="1">
        <f t="array" ref="AE53">BS_Greek("PUT","THETA",$Q53,$B$1,$B$2,$R$3,AE$6)</f>
        <v>-4.6659031845194977E-3</v>
      </c>
      <c r="AF53" s="5"/>
      <c r="AG53" s="12">
        <v>90</v>
      </c>
      <c r="AH53" s="22" cm="1">
        <f t="array" ref="AH53">BS_Greek("PUT","THETA",$AG53,$B$1,$B$2,$AH$3,AH$46)</f>
        <v>2.6650311675423923E-3</v>
      </c>
      <c r="AI53" s="14" cm="1">
        <f t="array" ref="AI53">BS_Greek("PUT","THETA",$AG53,$B$1,$B$2,$AH$3,AI$46)</f>
        <v>1.9062783463565625E-3</v>
      </c>
      <c r="AJ53" s="14" cm="1">
        <f t="array" ref="AJ53">BS_Greek("PUT","THETA",$AG53,$B$1,$B$2,$AH$3,AJ$46)</f>
        <v>1.0044879217009483E-3</v>
      </c>
      <c r="AK53" s="14" cm="1">
        <f t="array" ref="AK53">BS_Greek("PUT","THETA",$AG53,$B$1,$B$2,$AH$3,AK$46)</f>
        <v>3.2547041196452701E-4</v>
      </c>
      <c r="AL53" s="14" cm="1">
        <f t="array" ref="AL53">BS_Greek("PUT","THETA",$AG53,$B$1,$B$2,$AH$3,AL$46)</f>
        <v>-1.4214538446385351E-4</v>
      </c>
      <c r="AM53" s="14" cm="1">
        <f t="array" ref="AM53">BS_Greek("PUT","THETA",$AG53,$B$1,$B$2,$AH$3,AM$46)</f>
        <v>-4.5931398019787419E-4</v>
      </c>
      <c r="AN53" s="14" cm="1">
        <f t="array" ref="AN53">BS_Greek("PUT","THETA",$AG53,$B$1,$B$2,$AH$3,AN$46)</f>
        <v>-6.7458755172880298E-4</v>
      </c>
      <c r="AO53" s="14" cm="1">
        <f t="array" ref="AO53">BS_Greek("PUT","THETA",$AG53,$B$1,$B$2,$AH$3,AO$46)</f>
        <v>-8.2082279625593458E-4</v>
      </c>
      <c r="AP53" s="14" cm="1">
        <f t="array" ref="AP53">BS_Greek("PUT","THETA",$AG53,$B$1,$B$2,$AH$3,AP$46)</f>
        <v>-9.1964522337937226E-4</v>
      </c>
      <c r="AQ53" s="14" cm="1">
        <f t="array" ref="AQ53">BS_Greek("PUT","THETA",$AG53,$B$1,$B$2,$AH$3,AQ$46)</f>
        <v>-9.8537466592099111E-4</v>
      </c>
      <c r="AR53" s="14" cm="1">
        <f t="array" ref="AR53">BS_Greek("PUT","THETA",$AG53,$B$1,$B$2,$AH$3,AR$46)</f>
        <v>-1.0035977788304662E-3</v>
      </c>
      <c r="AS53" s="14" cm="1">
        <f t="array" ref="AS53">BS_Greek("PUT","THETA",$AG53,$B$1,$B$2,$AH$3,AS$46)</f>
        <v>-8.1374746930769468E-4</v>
      </c>
      <c r="AT53" s="14" cm="1">
        <f t="array" ref="AT53">BS_Greek("PUT","THETA",$AG53,$B$1,$B$2,$AH$3,AT$46)</f>
        <v>-6.4568192547681828E-4</v>
      </c>
      <c r="AU53" s="23" cm="1">
        <f t="array" ref="AU53">BS_Greek("PUT","THETA",$AG53,$B$1,$B$2,$AH$3,AU$46)</f>
        <v>-5.1061291300622447E-4</v>
      </c>
    </row>
    <row r="54" spans="1:47" x14ac:dyDescent="0.2">
      <c r="A54" s="12">
        <v>95</v>
      </c>
      <c r="B54" s="22" cm="1">
        <f t="array" ref="B54">BS_Greek("PUT","THETA",$A54,$B$1,$B$2,$B$3,B$6)</f>
        <v>-2.2353693340459065E-2</v>
      </c>
      <c r="C54" s="14" cm="1">
        <f t="array" ref="C54">BS_Greek("PUT","THETA",$A54,$B$1,$B$2,$B$3,C$6)</f>
        <v>-1.8443459652378272E-2</v>
      </c>
      <c r="D54" s="14" cm="1">
        <f t="array" ref="D54">BS_Greek("PUT","THETA",$A54,$B$1,$B$2,$B$3,D$6)</f>
        <v>-1.5711393758076776E-2</v>
      </c>
      <c r="E54" s="14" cm="1">
        <f t="array" ref="E54">BS_Greek("PUT","THETA",$A54,$B$1,$B$2,$B$3,E$6)</f>
        <v>-1.3818778486852866E-2</v>
      </c>
      <c r="F54" s="14" cm="1">
        <f t="array" ref="F54">BS_Greek("PUT","THETA",$A54,$B$1,$B$2,$B$3,F$6)</f>
        <v>-1.2423938185811452E-2</v>
      </c>
      <c r="G54" s="14" cm="1">
        <f t="array" ref="G54">BS_Greek("PUT","THETA",$A54,$B$1,$B$2,$B$3,G$6)</f>
        <v>-1.1344447678725895E-2</v>
      </c>
      <c r="H54" s="14" cm="1">
        <f t="array" ref="H54">BS_Greek("PUT","THETA",$A54,$B$1,$B$2,$B$3,H$6)</f>
        <v>-1.0477948844249877E-2</v>
      </c>
      <c r="I54" s="14" cm="1">
        <f t="array" ref="I54">BS_Greek("PUT","THETA",$A54,$B$1,$B$2,$B$3,I$6)</f>
        <v>-9.7628174195835919E-3</v>
      </c>
      <c r="J54" s="14" cm="1">
        <f t="array" ref="J54">BS_Greek("PUT","THETA",$A54,$B$1,$B$2,$B$3,J$6)</f>
        <v>-9.1596527495402015E-3</v>
      </c>
      <c r="K54" s="14" cm="1">
        <f t="array" ref="K54">BS_Greek("PUT","THETA",$A54,$B$1,$B$2,$B$3,K$6)</f>
        <v>-8.6420006790627942E-3</v>
      </c>
      <c r="L54" s="14" cm="1">
        <f t="array" ref="L54">BS_Greek("PUT","THETA",$A54,$B$1,$B$2,$B$3,L$6)</f>
        <v>-5.7287656216537565E-3</v>
      </c>
      <c r="M54" s="14" cm="1">
        <f t="array" ref="M54">BS_Greek("PUT","THETA",$A54,$B$1,$B$2,$B$3,M$6)</f>
        <v>-4.3815416867150365E-3</v>
      </c>
      <c r="N54" s="14" cm="1">
        <f t="array" ref="N54">BS_Greek("PUT","THETA",$A54,$B$1,$B$2,$B$3,N$6)</f>
        <v>-3.5619278970186645E-3</v>
      </c>
      <c r="O54" s="23" cm="1">
        <f t="array" ref="O54">BS_Greek("PUT","THETA",$A54,$B$1,$B$2,$B$3,O$6)</f>
        <v>-2.9953265990165325E-3</v>
      </c>
      <c r="P54" s="5"/>
      <c r="Q54" s="12">
        <v>95</v>
      </c>
      <c r="R54" s="22" cm="1">
        <f t="array" ref="R54">BS_Greek("PUT","THETA",$Q54,$B$1,$B$2,$R$3,R$6)</f>
        <v>-4.1870757903526894E-2</v>
      </c>
      <c r="S54" s="14" cm="1">
        <f t="array" ref="S54">BS_Greek("PUT","THETA",$Q54,$B$1,$B$2,$R$3,S$6)</f>
        <v>-3.1464743470104951E-2</v>
      </c>
      <c r="T54" s="14" cm="1">
        <f t="array" ref="T54">BS_Greek("PUT","THETA",$Q54,$B$1,$B$2,$R$3,T$6)</f>
        <v>-2.6039697627186283E-2</v>
      </c>
      <c r="U54" s="14" cm="1">
        <f t="array" ref="U54">BS_Greek("PUT","THETA",$Q54,$B$1,$B$2,$R$3,U$6)</f>
        <v>-2.2602952623713191E-2</v>
      </c>
      <c r="V54" s="14" cm="1">
        <f t="array" ref="V54">BS_Greek("PUT","THETA",$Q54,$B$1,$B$2,$R$3,V$6)</f>
        <v>-2.017883302045306E-2</v>
      </c>
      <c r="W54" s="14" cm="1">
        <f t="array" ref="W54">BS_Greek("PUT","THETA",$Q54,$B$1,$B$2,$R$3,W$6)</f>
        <v>-1.8350925175206326E-2</v>
      </c>
      <c r="X54" s="14" cm="1">
        <f t="array" ref="X54">BS_Greek("PUT","THETA",$Q54,$B$1,$B$2,$R$3,X$6)</f>
        <v>-1.6908551879349872E-2</v>
      </c>
      <c r="Y54" s="14" cm="1">
        <f t="array" ref="Y54">BS_Greek("PUT","THETA",$Q54,$B$1,$B$2,$R$3,Y$6)</f>
        <v>-1.573234892636638E-2</v>
      </c>
      <c r="Z54" s="14" cm="1">
        <f t="array" ref="Z54">BS_Greek("PUT","THETA",$Q54,$B$1,$B$2,$R$3,Z$6)</f>
        <v>-1.4749006934609019E-2</v>
      </c>
      <c r="AA54" s="14" cm="1">
        <f t="array" ref="AA54">BS_Greek("PUT","THETA",$Q54,$B$1,$B$2,$R$3,AA$6)</f>
        <v>-1.391069706979269E-2</v>
      </c>
      <c r="AB54" s="14" cm="1">
        <f t="array" ref="AB54">BS_Greek("PUT","THETA",$Q54,$B$1,$B$2,$R$3,AB$6)</f>
        <v>-9.263451122584988E-3</v>
      </c>
      <c r="AC54" s="14" cm="1">
        <f t="array" ref="AC54">BS_Greek("PUT","THETA",$Q54,$B$1,$B$2,$R$3,AC$6)</f>
        <v>-7.1358951220000175E-3</v>
      </c>
      <c r="AD54" s="14" cm="1">
        <f t="array" ref="AD54">BS_Greek("PUT","THETA",$Q54,$B$1,$B$2,$R$3,AD$6)</f>
        <v>-5.8403608063196224E-3</v>
      </c>
      <c r="AE54" s="23" cm="1">
        <f t="array" ref="AE54">BS_Greek("PUT","THETA",$Q54,$B$1,$B$2,$R$3,AE$6)</f>
        <v>-4.941434056051343E-3</v>
      </c>
      <c r="AF54" s="5"/>
      <c r="AG54" s="12">
        <v>95</v>
      </c>
      <c r="AH54" s="22" cm="1">
        <f t="array" ref="AH54">BS_Greek("PUT","THETA",$AG54,$B$1,$B$2,$AH$3,AH$46)</f>
        <v>-2.1636153371659174E-3</v>
      </c>
      <c r="AI54" s="14" cm="1">
        <f t="array" ref="AI54">BS_Greek("PUT","THETA",$AG54,$B$1,$B$2,$AH$3,AI$46)</f>
        <v>-4.1022544901929961E-3</v>
      </c>
      <c r="AJ54" s="14" cm="1">
        <f t="array" ref="AJ54">BS_Greek("PUT","THETA",$AG54,$B$1,$B$2,$AH$3,AJ$46)</f>
        <v>-4.3451879896391748E-3</v>
      </c>
      <c r="AK54" s="14" cm="1">
        <f t="array" ref="AK54">BS_Greek("PUT","THETA",$AG54,$B$1,$B$2,$AH$3,AK$46)</f>
        <v>-4.2177691109953272E-3</v>
      </c>
      <c r="AL54" s="14" cm="1">
        <f t="array" ref="AL54">BS_Greek("PUT","THETA",$AG54,$B$1,$B$2,$AH$3,AL$46)</f>
        <v>-4.0029165471530603E-3</v>
      </c>
      <c r="AM54" s="14" cm="1">
        <f t="array" ref="AM54">BS_Greek("PUT","THETA",$AG54,$B$1,$B$2,$AH$3,AM$46)</f>
        <v>-3.7767023460758852E-3</v>
      </c>
      <c r="AN54" s="14" cm="1">
        <f t="array" ref="AN54">BS_Greek("PUT","THETA",$AG54,$B$1,$B$2,$AH$3,AN$46)</f>
        <v>-3.5616704406075776E-3</v>
      </c>
      <c r="AO54" s="14" cm="1">
        <f t="array" ref="AO54">BS_Greek("PUT","THETA",$AG54,$B$1,$B$2,$AH$3,AO$46)</f>
        <v>-3.3639304951682408E-3</v>
      </c>
      <c r="AP54" s="14" cm="1">
        <f t="array" ref="AP54">BS_Greek("PUT","THETA",$AG54,$B$1,$B$2,$AH$3,AP$46)</f>
        <v>-3.1840977120607054E-3</v>
      </c>
      <c r="AQ54" s="14" cm="1">
        <f t="array" ref="AQ54">BS_Greek("PUT","THETA",$AG54,$B$1,$B$2,$AH$3,AQ$46)</f>
        <v>-3.0209556163887917E-3</v>
      </c>
      <c r="AR54" s="14" cm="1">
        <f t="array" ref="AR54">BS_Greek("PUT","THETA",$AG54,$B$1,$B$2,$AH$3,AR$46)</f>
        <v>-1.9785491505575929E-3</v>
      </c>
      <c r="AS54" s="14" cm="1">
        <f t="array" ref="AS54">BS_Greek("PUT","THETA",$AG54,$B$1,$B$2,$AH$3,AS$46)</f>
        <v>-1.4454418941416232E-3</v>
      </c>
      <c r="AT54" s="14" cm="1">
        <f t="array" ref="AT54">BS_Greek("PUT","THETA",$AG54,$B$1,$B$2,$AH$3,AT$46)</f>
        <v>-1.1136057139535102E-3</v>
      </c>
      <c r="AU54" s="23" cm="1">
        <f t="array" ref="AU54">BS_Greek("PUT","THETA",$AG54,$B$1,$B$2,$AH$3,AU$46)</f>
        <v>-8.8376653394429733E-4</v>
      </c>
    </row>
    <row r="55" spans="1:47" x14ac:dyDescent="0.2">
      <c r="A55" s="12">
        <v>100</v>
      </c>
      <c r="B55" s="22" cm="1">
        <f t="array" ref="B55">BS_Greek("PUT","THETA",$A55,$B$1,$B$2,$B$3,B$6)</f>
        <v>-3.3138839605564338E-2</v>
      </c>
      <c r="C55" s="14" cm="1">
        <f t="array" ref="C55">BS_Greek("PUT","THETA",$A55,$B$1,$B$2,$B$3,C$6)</f>
        <v>-2.2993612858065116E-2</v>
      </c>
      <c r="D55" s="14" cm="1">
        <f t="array" ref="D55">BS_Greek("PUT","THETA",$A55,$B$1,$B$2,$B$3,D$6)</f>
        <v>-1.8492388101505823E-2</v>
      </c>
      <c r="E55" s="14" cm="1">
        <f t="array" ref="E55">BS_Greek("PUT","THETA",$A55,$B$1,$B$2,$B$3,E$6)</f>
        <v>-1.5805322284266576E-2</v>
      </c>
      <c r="F55" s="14" cm="1">
        <f t="array" ref="F55">BS_Greek("PUT","THETA",$A55,$B$1,$B$2,$B$3,F$6)</f>
        <v>-1.3969072746898372E-2</v>
      </c>
      <c r="G55" s="14" cm="1">
        <f t="array" ref="G55">BS_Greek("PUT","THETA",$A55,$B$1,$B$2,$B$3,G$6)</f>
        <v>-1.2611812053725156E-2</v>
      </c>
      <c r="H55" s="14" cm="1">
        <f t="array" ref="H55">BS_Greek("PUT","THETA",$A55,$B$1,$B$2,$B$3,H$6)</f>
        <v>-1.1555588123346852E-2</v>
      </c>
      <c r="I55" s="14" cm="1">
        <f t="array" ref="I55">BS_Greek("PUT","THETA",$A55,$B$1,$B$2,$B$3,I$6)</f>
        <v>-1.0703119067116944E-2</v>
      </c>
      <c r="J55" s="14" cm="1">
        <f t="array" ref="J55">BS_Greek("PUT","THETA",$A55,$B$1,$B$2,$B$3,J$6)</f>
        <v>-9.9961389805360689E-3</v>
      </c>
      <c r="K55" s="14" cm="1">
        <f t="array" ref="K55">BS_Greek("PUT","THETA",$A55,$B$1,$B$2,$B$3,K$6)</f>
        <v>-9.3973369336955281E-3</v>
      </c>
      <c r="L55" s="14" cm="1">
        <f t="array" ref="L55">BS_Greek("PUT","THETA",$A55,$B$1,$B$2,$B$3,L$6)</f>
        <v>-6.1382414001356859E-3</v>
      </c>
      <c r="M55" s="14" cm="1">
        <f t="array" ref="M55">BS_Greek("PUT","THETA",$A55,$B$1,$B$2,$B$3,M$6)</f>
        <v>-4.6798522776267957E-3</v>
      </c>
      <c r="N55" s="14" cm="1">
        <f t="array" ref="N55">BS_Greek("PUT","THETA",$A55,$B$1,$B$2,$B$3,N$6)</f>
        <v>-3.8035018966751022E-3</v>
      </c>
      <c r="O55" s="23" cm="1">
        <f t="array" ref="O55">BS_Greek("PUT","THETA",$A55,$B$1,$B$2,$B$3,O$6)</f>
        <v>-3.2015978564393908E-3</v>
      </c>
      <c r="P55" s="5"/>
      <c r="Q55" s="12">
        <v>100</v>
      </c>
      <c r="R55" s="22" cm="1">
        <f t="array" ref="R55">BS_Greek("PUT","THETA",$Q55,$B$1,$B$2,$R$3,R$6)</f>
        <v>-5.0349364829210215E-2</v>
      </c>
      <c r="S55" s="14" cm="1">
        <f t="array" ref="S55">BS_Greek("PUT","THETA",$Q55,$B$1,$B$2,$R$3,S$6)</f>
        <v>-3.5113059731644601E-2</v>
      </c>
      <c r="T55" s="14" cm="1">
        <f t="array" ref="T55">BS_Greek("PUT","THETA",$Q55,$B$1,$B$2,$R$3,T$6)</f>
        <v>-2.8346955843910383E-2</v>
      </c>
      <c r="U55" s="14" cm="1">
        <f t="array" ref="U55">BS_Greek("PUT","THETA",$Q55,$B$1,$B$2,$R$3,U$6)</f>
        <v>-2.4304273552138916E-2</v>
      </c>
      <c r="V55" s="14" cm="1">
        <f t="array" ref="V55">BS_Greek("PUT","THETA",$Q55,$B$1,$B$2,$R$3,V$6)</f>
        <v>-2.1539217098377639E-2</v>
      </c>
      <c r="W55" s="14" cm="1">
        <f t="array" ref="W55">BS_Greek("PUT","THETA",$Q55,$B$1,$B$2,$R$3,W$6)</f>
        <v>-1.9493643766713559E-2</v>
      </c>
      <c r="X55" s="14" cm="1">
        <f t="array" ref="X55">BS_Greek("PUT","THETA",$Q55,$B$1,$B$2,$R$3,X$6)</f>
        <v>-1.7900386521683773E-2</v>
      </c>
      <c r="Y55" s="14" cm="1">
        <f t="array" ref="Y55">BS_Greek("PUT","THETA",$Q55,$B$1,$B$2,$R$3,Y$6)</f>
        <v>-1.6613366626398847E-2</v>
      </c>
      <c r="Z55" s="14" cm="1">
        <f t="array" ref="Z55">BS_Greek("PUT","THETA",$Q55,$B$1,$B$2,$R$3,Z$6)</f>
        <v>-1.554507676680642E-2</v>
      </c>
      <c r="AA55" s="14" cm="1">
        <f t="array" ref="AA55">BS_Greek("PUT","THETA",$Q55,$B$1,$B$2,$R$3,AA$6)</f>
        <v>-1.4639471459594577E-2</v>
      </c>
      <c r="AB55" s="14" cm="1">
        <f t="array" ref="AB55">BS_Greek("PUT","THETA",$Q55,$B$1,$B$2,$R$3,AB$6)</f>
        <v>-9.6910578274231E-3</v>
      </c>
      <c r="AC55" s="14" cm="1">
        <f t="array" ref="AC55">BS_Greek("PUT","THETA",$Q55,$B$1,$B$2,$R$3,AC$6)</f>
        <v>-7.4579358633823376E-3</v>
      </c>
      <c r="AD55" s="14" cm="1">
        <f t="array" ref="AD55">BS_Greek("PUT","THETA",$Q55,$B$1,$B$2,$R$3,AD$6)</f>
        <v>-6.1055308041069924E-3</v>
      </c>
      <c r="AE55" s="23" cm="1">
        <f t="array" ref="AE55">BS_Greek("PUT","THETA",$Q55,$B$1,$B$2,$R$3,AE$6)</f>
        <v>-5.169861693181046E-3</v>
      </c>
      <c r="AF55" s="5"/>
      <c r="AG55" s="12">
        <v>100</v>
      </c>
      <c r="AH55" s="22" cm="1">
        <f t="array" ref="AH55">BS_Greek("PUT","THETA",$AG55,$B$1,$B$2,$AH$3,AH$46)</f>
        <v>-1.59110684908669E-2</v>
      </c>
      <c r="AI55" s="14" cm="1">
        <f t="array" ref="AI55">BS_Greek("PUT","THETA",$AG55,$B$1,$B$2,$AH$3,AI$46)</f>
        <v>-1.0849827205252866E-2</v>
      </c>
      <c r="AJ55" s="14" cm="1">
        <f t="array" ref="AJ55">BS_Greek("PUT","THETA",$AG55,$B$1,$B$2,$AH$3,AJ$46)</f>
        <v>-8.6080734190126535E-3</v>
      </c>
      <c r="AK55" s="14" cm="1">
        <f t="array" ref="AK55">BS_Greek("PUT","THETA",$AG55,$B$1,$B$2,$AH$3,AK$46)</f>
        <v>-7.272093506340822E-3</v>
      </c>
      <c r="AL55" s="14" cm="1">
        <f t="array" ref="AL55">BS_Greek("PUT","THETA",$AG55,$B$1,$B$2,$AH$3,AL$46)</f>
        <v>-6.3606845464254441E-3</v>
      </c>
      <c r="AM55" s="14" cm="1">
        <f t="array" ref="AM55">BS_Greek("PUT","THETA",$AG55,$B$1,$B$2,$AH$3,AM$46)</f>
        <v>-5.6881733161267493E-3</v>
      </c>
      <c r="AN55" s="14" cm="1">
        <f t="array" ref="AN55">BS_Greek("PUT","THETA",$AG55,$B$1,$B$2,$AH$3,AN$46)</f>
        <v>-5.1657267958832047E-3</v>
      </c>
      <c r="AO55" s="14" cm="1">
        <f t="array" ref="AO55">BS_Greek("PUT","THETA",$AG55,$B$1,$B$2,$AH$3,AO$46)</f>
        <v>-4.7447973290474007E-3</v>
      </c>
      <c r="AP55" s="14" cm="1">
        <f t="array" ref="AP55">BS_Greek("PUT","THETA",$AG55,$B$1,$B$2,$AH$3,AP$46)</f>
        <v>-4.396316831739985E-3</v>
      </c>
      <c r="AQ55" s="14" cm="1">
        <f t="array" ref="AQ55">BS_Greek("PUT","THETA",$AG55,$B$1,$B$2,$AH$3,AQ$46)</f>
        <v>-4.1016771207405432E-3</v>
      </c>
      <c r="AR55" s="14" cm="1">
        <f t="array" ref="AR55">BS_Greek("PUT","THETA",$AG55,$B$1,$B$2,$AH$3,AR$46)</f>
        <v>-2.5112909331076964E-3</v>
      </c>
      <c r="AS55" s="14" cm="1">
        <f t="array" ref="AS55">BS_Greek("PUT","THETA",$AG55,$B$1,$B$2,$AH$3,AS$46)</f>
        <v>-1.8128530149686235E-3</v>
      </c>
      <c r="AT55" s="14" cm="1">
        <f t="array" ref="AT55">BS_Greek("PUT","THETA",$AG55,$B$1,$B$2,$AH$3,AT$46)</f>
        <v>-1.4009342041512206E-3</v>
      </c>
      <c r="AU55" s="23" cm="1">
        <f t="array" ref="AU55">BS_Greek("PUT","THETA",$AG55,$B$1,$B$2,$AH$3,AU$46)</f>
        <v>-1.1232701094255546E-3</v>
      </c>
    </row>
    <row r="56" spans="1:47" x14ac:dyDescent="0.2">
      <c r="A56" s="12">
        <v>105</v>
      </c>
      <c r="B56" s="22" cm="1">
        <f t="array" ref="B56">BS_Greek("PUT","THETA",$A56,$B$1,$B$2,$B$3,B$6)</f>
        <v>-2.5337933274044773E-2</v>
      </c>
      <c r="C56" s="14" cm="1">
        <f t="array" ref="C56">BS_Greek("PUT","THETA",$A56,$B$1,$B$2,$B$3,C$6)</f>
        <v>-2.0450501631154604E-2</v>
      </c>
      <c r="D56" s="14" cm="1">
        <f t="array" ref="D56">BS_Greek("PUT","THETA",$A56,$B$1,$B$2,$B$3,D$6)</f>
        <v>-1.7307884271300207E-2</v>
      </c>
      <c r="E56" s="14" cm="1">
        <f t="array" ref="E56">BS_Greek("PUT","THETA",$A56,$B$1,$B$2,$B$3,E$6)</f>
        <v>-1.517994164338104E-2</v>
      </c>
      <c r="F56" s="14" cm="1">
        <f t="array" ref="F56">BS_Greek("PUT","THETA",$A56,$B$1,$B$2,$B$3,F$6)</f>
        <v>-1.3628647635494213E-2</v>
      </c>
      <c r="G56" s="14" cm="1">
        <f t="array" ref="G56">BS_Greek("PUT","THETA",$A56,$B$1,$B$2,$B$3,G$6)</f>
        <v>-1.2435752478359048E-2</v>
      </c>
      <c r="H56" s="14" cm="1">
        <f t="array" ref="H56">BS_Greek("PUT","THETA",$A56,$B$1,$B$2,$B$3,H$6)</f>
        <v>-1.1482276147885462E-2</v>
      </c>
      <c r="I56" s="14" cm="1">
        <f t="array" ref="I56">BS_Greek("PUT","THETA",$A56,$B$1,$B$2,$B$3,I$6)</f>
        <v>-1.0697729851840785E-2</v>
      </c>
      <c r="J56" s="14" cm="1">
        <f t="array" ref="J56">BS_Greek("PUT","THETA",$A56,$B$1,$B$2,$B$3,J$6)</f>
        <v>-1.0037508628097647E-2</v>
      </c>
      <c r="K56" s="14" cm="1">
        <f t="array" ref="K56">BS_Greek("PUT","THETA",$A56,$B$1,$B$2,$B$3,K$6)</f>
        <v>-9.4718798609859673E-3</v>
      </c>
      <c r="L56" s="14" cm="1">
        <f t="array" ref="L56">BS_Greek("PUT","THETA",$A56,$B$1,$B$2,$B$3,L$6)</f>
        <v>-6.3025691424194955E-3</v>
      </c>
      <c r="M56" s="14" cm="1">
        <f t="array" ref="M56">BS_Greek("PUT","THETA",$A56,$B$1,$B$2,$B$3,M$6)</f>
        <v>-4.8430215081854125E-3</v>
      </c>
      <c r="N56" s="14" cm="1">
        <f t="array" ref="N56">BS_Greek("PUT","THETA",$A56,$B$1,$B$2,$B$3,N$6)</f>
        <v>-3.9563362077628958E-3</v>
      </c>
      <c r="O56" s="23" cm="1">
        <f t="array" ref="O56">BS_Greek("PUT","THETA",$A56,$B$1,$B$2,$B$3,O$6)</f>
        <v>-3.3437364987098516E-3</v>
      </c>
      <c r="P56" s="5"/>
      <c r="Q56" s="12">
        <v>105</v>
      </c>
      <c r="R56" s="22" cm="1">
        <f t="array" ref="R56">BS_Greek("PUT","THETA",$Q56,$B$1,$B$2,$R$3,R$6)</f>
        <v>-4.5348740470273985E-2</v>
      </c>
      <c r="S56" s="14" cm="1">
        <f t="array" ref="S56">BS_Greek("PUT","THETA",$Q56,$B$1,$B$2,$R$3,S$6)</f>
        <v>-3.3821544752277506E-2</v>
      </c>
      <c r="T56" s="14" cm="1">
        <f t="array" ref="T56">BS_Greek("PUT","THETA",$Q56,$B$1,$B$2,$R$3,T$6)</f>
        <v>-2.7929702326295769E-2</v>
      </c>
      <c r="U56" s="14" cm="1">
        <f t="array" ref="U56">BS_Greek("PUT","THETA",$Q56,$B$1,$B$2,$R$3,U$6)</f>
        <v>-2.4222810873362071E-2</v>
      </c>
      <c r="V56" s="14" cm="1">
        <f t="array" ref="V56">BS_Greek("PUT","THETA",$Q56,$B$1,$B$2,$R$3,V$6)</f>
        <v>-2.1617426774484399E-2</v>
      </c>
      <c r="W56" s="14" cm="1">
        <f t="array" ref="W56">BS_Greek("PUT","THETA",$Q56,$B$1,$B$2,$R$3,W$6)</f>
        <v>-1.9657135994269642E-2</v>
      </c>
      <c r="X56" s="14" cm="1">
        <f t="array" ref="X56">BS_Greek("PUT","THETA",$Q56,$B$1,$B$2,$R$3,X$6)</f>
        <v>-1.8112607423571962E-2</v>
      </c>
      <c r="Y56" s="14" cm="1">
        <f t="array" ref="Y56">BS_Greek("PUT","THETA",$Q56,$B$1,$B$2,$R$3,Y$6)</f>
        <v>-1.685446653771612E-2</v>
      </c>
      <c r="Z56" s="14" cm="1">
        <f t="array" ref="Z56">BS_Greek("PUT","THETA",$Q56,$B$1,$B$2,$R$3,Z$6)</f>
        <v>-1.580349149319606E-2</v>
      </c>
      <c r="AA56" s="14" cm="1">
        <f t="array" ref="AA56">BS_Greek("PUT","THETA",$Q56,$B$1,$B$2,$R$3,AA$6)</f>
        <v>-1.490810844782822E-2</v>
      </c>
      <c r="AB56" s="14" cm="1">
        <f t="array" ref="AB56">BS_Greek("PUT","THETA",$Q56,$B$1,$B$2,$R$3,AB$6)</f>
        <v>-9.9529156774366863E-3</v>
      </c>
      <c r="AC56" s="14" cm="1">
        <f t="array" ref="AC56">BS_Greek("PUT","THETA",$Q56,$B$1,$B$2,$R$3,AC$6)</f>
        <v>-7.6883579527885848E-3</v>
      </c>
      <c r="AD56" s="14" cm="1">
        <f t="array" ref="AD56">BS_Greek("PUT","THETA",$Q56,$B$1,$B$2,$R$3,AD$6)</f>
        <v>-6.3103630449285178E-3</v>
      </c>
      <c r="AE56" s="23" cm="1">
        <f t="array" ref="AE56">BS_Greek("PUT","THETA",$Q56,$B$1,$B$2,$R$3,AE$6)</f>
        <v>-5.3545617538550598E-3</v>
      </c>
      <c r="AF56" s="5"/>
      <c r="AG56" s="12">
        <v>105</v>
      </c>
      <c r="AH56" s="22" cm="1">
        <f t="array" ref="AH56">BS_Greek("PUT","THETA",$AG56,$B$1,$B$2,$AH$3,AH$46)</f>
        <v>-4.9608203211801696E-3</v>
      </c>
      <c r="AI56" s="14" cm="1">
        <f t="array" ref="AI56">BS_Greek("PUT","THETA",$AG56,$B$1,$B$2,$AH$3,AI$46)</f>
        <v>-6.1990469292027024E-3</v>
      </c>
      <c r="AJ56" s="14" cm="1">
        <f t="array" ref="AJ56">BS_Greek("PUT","THETA",$AG56,$B$1,$B$2,$AH$3,AJ$46)</f>
        <v>-6.0365470390692424E-3</v>
      </c>
      <c r="AK56" s="14" cm="1">
        <f t="array" ref="AK56">BS_Greek("PUT","THETA",$AG56,$B$1,$B$2,$AH$3,AK$46)</f>
        <v>-5.6584929110683043E-3</v>
      </c>
      <c r="AL56" s="14" cm="1">
        <f t="array" ref="AL56">BS_Greek("PUT","THETA",$AG56,$B$1,$B$2,$AH$3,AL$46)</f>
        <v>-5.2730625717209018E-3</v>
      </c>
      <c r="AM56" s="14" cm="1">
        <f t="array" ref="AM56">BS_Greek("PUT","THETA",$AG56,$B$1,$B$2,$AH$3,AM$46)</f>
        <v>-4.9223883831321516E-3</v>
      </c>
      <c r="AN56" s="14" cm="1">
        <f t="array" ref="AN56">BS_Greek("PUT","THETA",$AG56,$B$1,$B$2,$AH$3,AN$46)</f>
        <v>-4.6118858112849876E-3</v>
      </c>
      <c r="AO56" s="14" cm="1">
        <f t="array" ref="AO56">BS_Greek("PUT","THETA",$AG56,$B$1,$B$2,$AH$3,AO$46)</f>
        <v>-4.3381422205414277E-3</v>
      </c>
      <c r="AP56" s="14" cm="1">
        <f t="array" ref="AP56">BS_Greek("PUT","THETA",$AG56,$B$1,$B$2,$AH$3,AP$46)</f>
        <v>-4.0960580512230567E-3</v>
      </c>
      <c r="AQ56" s="14" cm="1">
        <f t="array" ref="AQ56">BS_Greek("PUT","THETA",$AG56,$B$1,$B$2,$AH$3,AQ$46)</f>
        <v>-3.8807740832942374E-3</v>
      </c>
      <c r="AR56" s="14" cm="1">
        <f t="array" ref="AR56">BS_Greek("PUT","THETA",$AG56,$B$1,$B$2,$AH$3,AR$46)</f>
        <v>-2.5643732589290167E-3</v>
      </c>
      <c r="AS56" s="14" cm="1">
        <f t="array" ref="AS56">BS_Greek("PUT","THETA",$AG56,$B$1,$B$2,$AH$3,AS$46)</f>
        <v>-1.9137847337905173E-3</v>
      </c>
      <c r="AT56" s="14" cm="1">
        <f t="array" ref="AT56">BS_Greek("PUT","THETA",$AG56,$B$1,$B$2,$AH$3,AT$46)</f>
        <v>-1.5125992291142969E-3</v>
      </c>
      <c r="AU56" s="23" cm="1">
        <f t="array" ref="AU56">BS_Greek("PUT","THETA",$AG56,$B$1,$B$2,$AH$3,AU$46)</f>
        <v>-1.235524479543063E-3</v>
      </c>
    </row>
    <row r="57" spans="1:47" x14ac:dyDescent="0.2">
      <c r="A57" s="12">
        <v>110</v>
      </c>
      <c r="B57" s="22" cm="1">
        <f t="array" ref="B57">BS_Greek("PUT","THETA",$A57,$B$1,$B$2,$B$3,B$6)</f>
        <v>-1.1172834498652391E-2</v>
      </c>
      <c r="C57" s="14" cm="1">
        <f t="array" ref="C57">BS_Greek("PUT","THETA",$A57,$B$1,$B$2,$B$3,C$6)</f>
        <v>-1.3748919358963569E-2</v>
      </c>
      <c r="D57" s="14" cm="1">
        <f t="array" ref="D57">BS_Greek("PUT","THETA",$A57,$B$1,$B$2,$B$3,D$6)</f>
        <v>-1.3403979058221757E-2</v>
      </c>
      <c r="E57" s="14" cm="1">
        <f t="array" ref="E57">BS_Greek("PUT","THETA",$A57,$B$1,$B$2,$B$3,E$6)</f>
        <v>-1.2622858717771739E-2</v>
      </c>
      <c r="F57" s="14" cm="1">
        <f t="array" ref="F57">BS_Greek("PUT","THETA",$A57,$B$1,$B$2,$B$3,F$6)</f>
        <v>-1.183022685795228E-2</v>
      </c>
      <c r="G57" s="14" cm="1">
        <f t="array" ref="G57">BS_Greek("PUT","THETA",$A57,$B$1,$B$2,$B$3,G$6)</f>
        <v>-1.1110304871270228E-2</v>
      </c>
      <c r="H57" s="14" cm="1">
        <f t="array" ref="H57">BS_Greek("PUT","THETA",$A57,$B$1,$B$2,$B$3,H$6)</f>
        <v>-1.0473173138676106E-2</v>
      </c>
      <c r="I57" s="14" cm="1">
        <f t="array" ref="I57">BS_Greek("PUT","THETA",$A57,$B$1,$B$2,$B$3,I$6)</f>
        <v>-9.9113880617115978E-3</v>
      </c>
      <c r="J57" s="14" cm="1">
        <f t="array" ref="J57">BS_Greek("PUT","THETA",$A57,$B$1,$B$2,$B$3,J$6)</f>
        <v>-9.4143099762009491E-3</v>
      </c>
      <c r="K57" s="14" cm="1">
        <f t="array" ref="K57">BS_Greek("PUT","THETA",$A57,$B$1,$B$2,$B$3,K$6)</f>
        <v>-8.9719113156662058E-3</v>
      </c>
      <c r="L57" s="14" cm="1">
        <f t="array" ref="L57">BS_Greek("PUT","THETA",$A57,$B$1,$B$2,$B$3,L$6)</f>
        <v>-6.2509409052981593E-3</v>
      </c>
      <c r="M57" s="14" cm="1">
        <f t="array" ref="M57">BS_Greek("PUT","THETA",$A57,$B$1,$B$2,$B$3,M$6)</f>
        <v>-4.8854395779968501E-3</v>
      </c>
      <c r="N57" s="14" cm="1">
        <f t="array" ref="N57">BS_Greek("PUT","THETA",$A57,$B$1,$B$2,$B$3,N$6)</f>
        <v>-4.0293175824571746E-3</v>
      </c>
      <c r="O57" s="23" cm="1">
        <f t="array" ref="O57">BS_Greek("PUT","THETA",$A57,$B$1,$B$2,$B$3,O$6)</f>
        <v>-3.4279205896141289E-3</v>
      </c>
      <c r="P57" s="5"/>
      <c r="Q57" s="12">
        <v>110</v>
      </c>
      <c r="R57" s="22" cm="1">
        <f t="array" ref="R57">BS_Greek("PUT","THETA",$Q57,$B$1,$B$2,$R$3,R$6)</f>
        <v>-3.197064461764846E-2</v>
      </c>
      <c r="S57" s="14" cm="1">
        <f t="array" ref="S57">BS_Greek("PUT","THETA",$Q57,$B$1,$B$2,$R$3,S$6)</f>
        <v>-2.8762962026924854E-2</v>
      </c>
      <c r="T57" s="14" cm="1">
        <f t="array" ref="T57">BS_Greek("PUT","THETA",$Q57,$B$1,$B$2,$R$3,T$6)</f>
        <v>-2.5294125196318431E-2</v>
      </c>
      <c r="U57" s="14" cm="1">
        <f t="array" ref="U57">BS_Greek("PUT","THETA",$Q57,$B$1,$B$2,$R$3,U$6)</f>
        <v>-2.264211835800814E-2</v>
      </c>
      <c r="V57" s="14" cm="1">
        <f t="array" ref="V57">BS_Greek("PUT","THETA",$Q57,$B$1,$B$2,$R$3,V$6)</f>
        <v>-2.0596429872293411E-2</v>
      </c>
      <c r="W57" s="14" cm="1">
        <f t="array" ref="W57">BS_Greek("PUT","THETA",$Q57,$B$1,$B$2,$R$3,W$6)</f>
        <v>-1.8970338278884745E-2</v>
      </c>
      <c r="X57" s="14" cm="1">
        <f t="array" ref="X57">BS_Greek("PUT","THETA",$Q57,$B$1,$B$2,$R$3,X$6)</f>
        <v>-1.7641675930736744E-2</v>
      </c>
      <c r="Y57" s="14" cm="1">
        <f t="array" ref="Y57">BS_Greek("PUT","THETA",$Q57,$B$1,$B$2,$R$3,Y$6)</f>
        <v>-1.653099139192165E-2</v>
      </c>
      <c r="Z57" s="14" cm="1">
        <f t="array" ref="Z57">BS_Greek("PUT","THETA",$Q57,$B$1,$B$2,$R$3,Z$6)</f>
        <v>-1.5585036999361758E-2</v>
      </c>
      <c r="AA57" s="14" cm="1">
        <f t="array" ref="AA57">BS_Greek("PUT","THETA",$Q57,$B$1,$B$2,$R$3,AA$6)</f>
        <v>-1.4766900984292364E-2</v>
      </c>
      <c r="AB57" s="14" cm="1">
        <f t="array" ref="AB57">BS_Greek("PUT","THETA",$Q57,$B$1,$B$2,$R$3,AB$6)</f>
        <v>-1.0064315794168185E-2</v>
      </c>
      <c r="AC57" s="14" cm="1">
        <f t="array" ref="AC57">BS_Greek("PUT","THETA",$Q57,$B$1,$B$2,$R$3,AC$6)</f>
        <v>-7.8350894190576913E-3</v>
      </c>
      <c r="AD57" s="14" cm="1">
        <f t="array" ref="AD57">BS_Greek("PUT","THETA",$Q57,$B$1,$B$2,$R$3,AD$6)</f>
        <v>-6.4599060810362034E-3</v>
      </c>
      <c r="AE57" s="23" cm="1">
        <f t="array" ref="AE57">BS_Greek("PUT","THETA",$Q57,$B$1,$B$2,$R$3,AE$6)</f>
        <v>-5.4991180884398552E-3</v>
      </c>
      <c r="AF57" s="5"/>
      <c r="AG57" s="12">
        <v>110</v>
      </c>
      <c r="AH57" s="22" cm="1">
        <f t="array" ref="AH57">BS_Greek("PUT","THETA",$AG57,$B$1,$B$2,$AH$3,AH$46)</f>
        <v>-1.7197037201915774E-4</v>
      </c>
      <c r="AI57" s="14" cm="1">
        <f t="array" ref="AI57">BS_Greek("PUT","THETA",$AG57,$B$1,$B$2,$AH$3,AI$46)</f>
        <v>-1.1570541084796942E-3</v>
      </c>
      <c r="AJ57" s="14" cm="1">
        <f t="array" ref="AJ57">BS_Greek("PUT","THETA",$AG57,$B$1,$B$2,$AH$3,AJ$46)</f>
        <v>-1.9807656054553549E-3</v>
      </c>
      <c r="AK57" s="14" cm="1">
        <f t="array" ref="AK57">BS_Greek("PUT","THETA",$AG57,$B$1,$B$2,$AH$3,AK$46)</f>
        <v>-2.4658480216537357E-3</v>
      </c>
      <c r="AL57" s="14" cm="1">
        <f t="array" ref="AL57">BS_Greek("PUT","THETA",$AG57,$B$1,$B$2,$AH$3,AL$46)</f>
        <v>-2.7271916938682982E-3</v>
      </c>
      <c r="AM57" s="14" cm="1">
        <f t="array" ref="AM57">BS_Greek("PUT","THETA",$AG57,$B$1,$B$2,$AH$3,AM$46)</f>
        <v>-2.8558700327011317E-3</v>
      </c>
      <c r="AN57" s="14" cm="1">
        <f t="array" ref="AN57">BS_Greek("PUT","THETA",$AG57,$B$1,$B$2,$AH$3,AN$46)</f>
        <v>-2.9062204233349176E-3</v>
      </c>
      <c r="AO57" s="14" cm="1">
        <f t="array" ref="AO57">BS_Greek("PUT","THETA",$AG57,$B$1,$B$2,$AH$3,AO$46)</f>
        <v>-2.9097453916765098E-3</v>
      </c>
      <c r="AP57" s="14" cm="1">
        <f t="array" ref="AP57">BS_Greek("PUT","THETA",$AG57,$B$1,$B$2,$AH$3,AP$46)</f>
        <v>-2.8850022800522403E-3</v>
      </c>
      <c r="AQ57" s="14" cm="1">
        <f t="array" ref="AQ57">BS_Greek("PUT","THETA",$AG57,$B$1,$B$2,$AH$3,AQ$46)</f>
        <v>-2.8431926698325306E-3</v>
      </c>
      <c r="AR57" s="14" cm="1">
        <f t="array" ref="AR57">BS_Greek("PUT","THETA",$AG57,$B$1,$B$2,$AH$3,AR$46)</f>
        <v>-2.2576864412027432E-3</v>
      </c>
      <c r="AS57" s="14" cm="1">
        <f t="array" ref="AS57">BS_Greek("PUT","THETA",$AG57,$B$1,$B$2,$AH$3,AS$46)</f>
        <v>-1.8030200646294589E-3</v>
      </c>
      <c r="AT57" s="14" cm="1">
        <f t="array" ref="AT57">BS_Greek("PUT","THETA",$AG57,$B$1,$B$2,$AH$3,AT$46)</f>
        <v>-1.4806986334198404E-3</v>
      </c>
      <c r="AU57" s="23" cm="1">
        <f t="array" ref="AU57">BS_Greek("PUT","THETA",$AG57,$B$1,$B$2,$AH$3,AU$46)</f>
        <v>-1.2420099515542873E-3</v>
      </c>
    </row>
    <row r="58" spans="1:47" x14ac:dyDescent="0.2">
      <c r="A58" s="12">
        <v>115</v>
      </c>
      <c r="B58" s="22" cm="1">
        <f t="array" ref="B58">BS_Greek("PUT","THETA",$A58,$B$1,$B$2,$B$3,B$6)</f>
        <v>-3.0723408263804881E-3</v>
      </c>
      <c r="C58" s="14" cm="1">
        <f t="array" ref="C58">BS_Greek("PUT","THETA",$A58,$B$1,$B$2,$B$3,C$6)</f>
        <v>-7.2801271656312378E-3</v>
      </c>
      <c r="D58" s="14" cm="1">
        <f t="array" ref="D58">BS_Greek("PUT","THETA",$A58,$B$1,$B$2,$B$3,D$6)</f>
        <v>-8.8369860716336762E-3</v>
      </c>
      <c r="E58" s="14" cm="1">
        <f t="array" ref="E58">BS_Greek("PUT","THETA",$A58,$B$1,$B$2,$B$3,E$6)</f>
        <v>-9.2899077420582187E-3</v>
      </c>
      <c r="F58" s="14" cm="1">
        <f t="array" ref="F58">BS_Greek("PUT","THETA",$A58,$B$1,$B$2,$B$3,F$6)</f>
        <v>-9.3031841258980393E-3</v>
      </c>
      <c r="G58" s="14" cm="1">
        <f t="array" ref="G58">BS_Greek("PUT","THETA",$A58,$B$1,$B$2,$B$3,G$6)</f>
        <v>-9.1334328622189338E-3</v>
      </c>
      <c r="H58" s="14" cm="1">
        <f t="array" ref="H58">BS_Greek("PUT","THETA",$A58,$B$1,$B$2,$B$3,H$6)</f>
        <v>-8.8881062411593475E-3</v>
      </c>
      <c r="I58" s="14" cm="1">
        <f t="array" ref="I58">BS_Greek("PUT","THETA",$A58,$B$1,$B$2,$B$3,I$6)</f>
        <v>-8.6154580731875336E-3</v>
      </c>
      <c r="J58" s="14" cm="1">
        <f t="array" ref="J58">BS_Greek("PUT","THETA",$A58,$B$1,$B$2,$B$3,J$6)</f>
        <v>-8.3381205893114374E-3</v>
      </c>
      <c r="K58" s="14" cm="1">
        <f t="array" ref="K58">BS_Greek("PUT","THETA",$A58,$B$1,$B$2,$B$3,K$6)</f>
        <v>-8.0668457030440462E-3</v>
      </c>
      <c r="L58" s="14" cm="1">
        <f t="array" ref="L58">BS_Greek("PUT","THETA",$A58,$B$1,$B$2,$B$3,L$6)</f>
        <v>-6.0237333331058102E-3</v>
      </c>
      <c r="M58" s="14" cm="1">
        <f t="array" ref="M58">BS_Greek("PUT","THETA",$A58,$B$1,$B$2,$B$3,M$6)</f>
        <v>-4.8252397801522833E-3</v>
      </c>
      <c r="N58" s="14" cm="1">
        <f t="array" ref="N58">BS_Greek("PUT","THETA",$A58,$B$1,$B$2,$B$3,N$6)</f>
        <v>-4.032957373223919E-3</v>
      </c>
      <c r="O58" s="23" cm="1">
        <f t="array" ref="O58">BS_Greek("PUT","THETA",$A58,$B$1,$B$2,$B$3,O$6)</f>
        <v>-3.4611324953331239E-3</v>
      </c>
      <c r="P58" s="5"/>
      <c r="Q58" s="12">
        <v>115</v>
      </c>
      <c r="R58" s="22" cm="1">
        <f t="array" ref="R58">BS_Greek("PUT","THETA",$Q58,$B$1,$B$2,$R$3,R$6)</f>
        <v>-1.8256034777468448E-2</v>
      </c>
      <c r="S58" s="14" cm="1">
        <f t="array" ref="S58">BS_Greek("PUT","THETA",$Q58,$B$1,$B$2,$R$3,S$6)</f>
        <v>-2.1982192809764378E-2</v>
      </c>
      <c r="T58" s="14" cm="1">
        <f t="array" ref="T58">BS_Greek("PUT","THETA",$Q58,$B$1,$B$2,$R$3,T$6)</f>
        <v>-2.131179654470786E-2</v>
      </c>
      <c r="U58" s="14" cm="1">
        <f t="array" ref="U58">BS_Greek("PUT","THETA",$Q58,$B$1,$B$2,$R$3,U$6)</f>
        <v>-2.0034857768056066E-2</v>
      </c>
      <c r="V58" s="14" cm="1">
        <f t="array" ref="V58">BS_Greek("PUT","THETA",$Q58,$B$1,$B$2,$R$3,V$6)</f>
        <v>-1.8770554051707931E-2</v>
      </c>
      <c r="W58" s="14" cm="1">
        <f t="array" ref="W58">BS_Greek("PUT","THETA",$Q58,$B$1,$B$2,$R$3,W$6)</f>
        <v>-1.7633653721619236E-2</v>
      </c>
      <c r="X58" s="14" cm="1">
        <f t="array" ref="X58">BS_Greek("PUT","THETA",$Q58,$B$1,$B$2,$R$3,X$6)</f>
        <v>-1.6632811871094073E-2</v>
      </c>
      <c r="Y58" s="14" cm="1">
        <f t="array" ref="Y58">BS_Greek("PUT","THETA",$Q58,$B$1,$B$2,$R$3,Y$6)</f>
        <v>-1.5753103316421716E-2</v>
      </c>
      <c r="Z58" s="14" cm="1">
        <f t="array" ref="Z58">BS_Greek("PUT","THETA",$Q58,$B$1,$B$2,$R$3,Z$6)</f>
        <v>-1.497625787041492E-2</v>
      </c>
      <c r="AA58" s="14" cm="1">
        <f t="array" ref="AA58">BS_Greek("PUT","THETA",$Q58,$B$1,$B$2,$R$3,AA$6)</f>
        <v>-1.4285740306019206E-2</v>
      </c>
      <c r="AB58" s="14" cm="1">
        <f t="array" ref="AB58">BS_Greek("PUT","THETA",$Q58,$B$1,$B$2,$R$3,AB$6)</f>
        <v>-1.00434308188259E-2</v>
      </c>
      <c r="AC58" s="14" cm="1">
        <f t="array" ref="AC58">BS_Greek("PUT","THETA",$Q58,$B$1,$B$2,$R$3,AC$6)</f>
        <v>-7.9068389723219411E-3</v>
      </c>
      <c r="AD58" s="14" cm="1">
        <f t="array" ref="AD58">BS_Greek("PUT","THETA",$Q58,$B$1,$B$2,$R$3,AD$6)</f>
        <v>-6.5594505452163353E-3</v>
      </c>
      <c r="AE58" s="23" cm="1">
        <f t="array" ref="AE58">BS_Greek("PUT","THETA",$Q58,$B$1,$B$2,$R$3,AE$6)</f>
        <v>-5.6071708896345924E-3</v>
      </c>
      <c r="AF58" s="5"/>
      <c r="AG58" s="12">
        <v>115</v>
      </c>
      <c r="AH58" s="22" cm="1">
        <f t="array" ref="AH58">BS_Greek("PUT","THETA",$AG58,$B$1,$B$2,$AH$3,AH$46)</f>
        <v>-9.1026597472352137E-7</v>
      </c>
      <c r="AI58" s="14" cm="1">
        <f t="array" ref="AI58">BS_Greek("PUT","THETA",$AG58,$B$1,$B$2,$AH$3,AI$46)</f>
        <v>-8.3835276221432784E-5</v>
      </c>
      <c r="AJ58" s="14" cm="1">
        <f t="array" ref="AJ58">BS_Greek("PUT","THETA",$AG58,$B$1,$B$2,$AH$3,AJ$46)</f>
        <v>-3.4402057267930784E-4</v>
      </c>
      <c r="AK58" s="14" cm="1">
        <f t="array" ref="AK58">BS_Greek("PUT","THETA",$AG58,$B$1,$B$2,$AH$3,AK$46)</f>
        <v>-6.6388258692423E-4</v>
      </c>
      <c r="AL58" s="14" cm="1">
        <f t="array" ref="AL58">BS_Greek("PUT","THETA",$AG58,$B$1,$B$2,$AH$3,AL$46)</f>
        <v>-9.5592565244897868E-4</v>
      </c>
      <c r="AM58" s="14" cm="1">
        <f t="array" ref="AM58">BS_Greek("PUT","THETA",$AG58,$B$1,$B$2,$AH$3,AM$46)</f>
        <v>-1.1942517116109745E-3</v>
      </c>
      <c r="AN58" s="14" cm="1">
        <f t="array" ref="AN58">BS_Greek("PUT","THETA",$AG58,$B$1,$B$2,$AH$3,AN$46)</f>
        <v>-1.3792194841931724E-3</v>
      </c>
      <c r="AO58" s="14" cm="1">
        <f t="array" ref="AO58">BS_Greek("PUT","THETA",$AG58,$B$1,$B$2,$AH$3,AO$46)</f>
        <v>-1.5188932614896246E-3</v>
      </c>
      <c r="AP58" s="14" cm="1">
        <f t="array" ref="AP58">BS_Greek("PUT","THETA",$AG58,$B$1,$B$2,$AH$3,AP$46)</f>
        <v>-1.6222622227578876E-3</v>
      </c>
      <c r="AQ58" s="14" cm="1">
        <f t="array" ref="AQ58">BS_Greek("PUT","THETA",$AG58,$B$1,$B$2,$AH$3,AQ$46)</f>
        <v>-1.6971887424640909E-3</v>
      </c>
      <c r="AR58" s="14" cm="1">
        <f t="array" ref="AR58">BS_Greek("PUT","THETA",$AG58,$B$1,$B$2,$AH$3,AR$46)</f>
        <v>-1.7732027728926351E-3</v>
      </c>
      <c r="AS58" s="14" cm="1">
        <f t="array" ref="AS58">BS_Greek("PUT","THETA",$AG58,$B$1,$B$2,$AH$3,AS$46)</f>
        <v>-1.5601833228523082E-3</v>
      </c>
      <c r="AT58" s="14" cm="1">
        <f t="array" ref="AT58">BS_Greek("PUT","THETA",$AG58,$B$1,$B$2,$AH$3,AT$46)</f>
        <v>-1.3496273756649013E-3</v>
      </c>
      <c r="AU58" s="23" cm="1">
        <f t="array" ref="AU58">BS_Greek("PUT","THETA",$AG58,$B$1,$B$2,$AH$3,AU$46)</f>
        <v>-1.1711184750142871E-3</v>
      </c>
    </row>
    <row r="59" spans="1:47" x14ac:dyDescent="0.2">
      <c r="A59" s="12">
        <v>120</v>
      </c>
      <c r="B59" s="22" cm="1">
        <f t="array" ref="B59">BS_Greek("PUT","THETA",$A59,$B$1,$B$2,$B$3,B$6)</f>
        <v>-5.6104741696458066E-4</v>
      </c>
      <c r="C59" s="14" cm="1">
        <f t="array" ref="C59">BS_Greek("PUT","THETA",$A59,$B$1,$B$2,$B$3,C$6)</f>
        <v>-3.136389797684581E-3</v>
      </c>
      <c r="D59" s="14" cm="1">
        <f t="array" ref="D59">BS_Greek("PUT","THETA",$A59,$B$1,$B$2,$B$3,D$6)</f>
        <v>-5.0715467988013624E-3</v>
      </c>
      <c r="E59" s="14" cm="1">
        <f t="array" ref="E59">BS_Greek("PUT","THETA",$A59,$B$1,$B$2,$B$3,E$6)</f>
        <v>-6.1557878360793076E-3</v>
      </c>
      <c r="F59" s="14" cm="1">
        <f t="array" ref="F59">BS_Greek("PUT","THETA",$A59,$B$1,$B$2,$B$3,F$6)</f>
        <v>-6.721572069511658E-3</v>
      </c>
      <c r="G59" s="14" cm="1">
        <f t="array" ref="G59">BS_Greek("PUT","THETA",$A59,$B$1,$B$2,$B$3,G$6)</f>
        <v>-6.9918512955230985E-3</v>
      </c>
      <c r="H59" s="14" cm="1">
        <f t="array" ref="H59">BS_Greek("PUT","THETA",$A59,$B$1,$B$2,$B$3,H$6)</f>
        <v>-7.091938203323646E-3</v>
      </c>
      <c r="I59" s="14" cm="1">
        <f t="array" ref="I59">BS_Greek("PUT","THETA",$A59,$B$1,$B$2,$B$3,I$6)</f>
        <v>-7.0921118946542542E-3</v>
      </c>
      <c r="J59" s="14" cm="1">
        <f t="array" ref="J59">BS_Greek("PUT","THETA",$A59,$B$1,$B$2,$B$3,J$6)</f>
        <v>-7.032870539297003E-3</v>
      </c>
      <c r="K59" s="14" cm="1">
        <f t="array" ref="K59">BS_Greek("PUT","THETA",$A59,$B$1,$B$2,$B$3,K$6)</f>
        <v>-6.9382662430604305E-3</v>
      </c>
      <c r="L59" s="14" cm="1">
        <f t="array" ref="L59">BS_Greek("PUT","THETA",$A59,$B$1,$B$2,$B$3,L$6)</f>
        <v>-5.6653259116828314E-3</v>
      </c>
      <c r="M59" s="14" cm="1">
        <f t="array" ref="M59">BS_Greek("PUT","THETA",$A59,$B$1,$B$2,$B$3,M$6)</f>
        <v>-4.6820071806894497E-3</v>
      </c>
      <c r="N59" s="14" cm="1">
        <f t="array" ref="N59">BS_Greek("PUT","THETA",$A59,$B$1,$B$2,$B$3,N$6)</f>
        <v>-3.9783766429105413E-3</v>
      </c>
      <c r="O59" s="23" cm="1">
        <f t="array" ref="O59">BS_Greek("PUT","THETA",$A59,$B$1,$B$2,$B$3,O$6)</f>
        <v>-3.4506231874944608E-3</v>
      </c>
      <c r="P59" s="5"/>
      <c r="Q59" s="12">
        <v>120</v>
      </c>
      <c r="R59" s="22" cm="1">
        <f t="array" ref="R59">BS_Greek("PUT","THETA",$Q59,$B$1,$B$2,$R$3,R$6)</f>
        <v>-8.6835494009977858E-3</v>
      </c>
      <c r="S59" s="14" cm="1">
        <f t="array" ref="S59">BS_Greek("PUT","THETA",$Q59,$B$1,$B$2,$R$3,S$6)</f>
        <v>-1.5316564127066192E-2</v>
      </c>
      <c r="T59" s="14" cm="1">
        <f t="array" ref="T59">BS_Greek("PUT","THETA",$Q59,$B$1,$B$2,$R$3,T$6)</f>
        <v>-1.6870781621426471E-2</v>
      </c>
      <c r="U59" s="14" cm="1">
        <f t="array" ref="U59">BS_Greek("PUT","THETA",$Q59,$B$1,$B$2,$R$3,U$6)</f>
        <v>-1.6908236400234391E-2</v>
      </c>
      <c r="V59" s="14" cm="1">
        <f t="array" ref="V59">BS_Greek("PUT","THETA",$Q59,$B$1,$B$2,$R$3,V$6)</f>
        <v>-1.6463447550282489E-2</v>
      </c>
      <c r="W59" s="14" cm="1">
        <f t="array" ref="W59">BS_Greek("PUT","THETA",$Q59,$B$1,$B$2,$R$3,W$6)</f>
        <v>-1.5870035014832754E-2</v>
      </c>
      <c r="X59" s="14" cm="1">
        <f t="array" ref="X59">BS_Greek("PUT","THETA",$Q59,$B$1,$B$2,$R$3,X$6)</f>
        <v>-1.524837199237284E-2</v>
      </c>
      <c r="Y59" s="14" cm="1">
        <f t="array" ref="Y59">BS_Greek("PUT","THETA",$Q59,$B$1,$B$2,$R$3,Y$6)</f>
        <v>-1.464409621738713E-2</v>
      </c>
      <c r="Z59" s="14" cm="1">
        <f t="array" ref="Z59">BS_Greek("PUT","THETA",$Q59,$B$1,$B$2,$R$3,Z$6)</f>
        <v>-1.4073896279568609E-2</v>
      </c>
      <c r="AA59" s="14" cm="1">
        <f t="array" ref="AA59">BS_Greek("PUT","THETA",$Q59,$B$1,$B$2,$R$3,AA$6)</f>
        <v>-1.3542547315404737E-2</v>
      </c>
      <c r="AB59" s="14" cm="1">
        <f t="array" ref="AB59">BS_Greek("PUT","THETA",$Q59,$B$1,$B$2,$R$3,AB$6)</f>
        <v>-9.9096679360021599E-3</v>
      </c>
      <c r="AC59" s="14" cm="1">
        <f t="array" ref="AC59">BS_Greek("PUT","THETA",$Q59,$B$1,$B$2,$R$3,AC$6)</f>
        <v>-7.912580580219512E-3</v>
      </c>
      <c r="AD59" s="14" cm="1">
        <f t="array" ref="AD59">BS_Greek("PUT","THETA",$Q59,$B$1,$B$2,$R$3,AD$6)</f>
        <v>-6.6143102463653179E-3</v>
      </c>
      <c r="AE59" s="23" cm="1">
        <f t="array" ref="AE59">BS_Greek("PUT","THETA",$Q59,$B$1,$B$2,$R$3,AE$6)</f>
        <v>-5.6823080917594426E-3</v>
      </c>
      <c r="AF59" s="5"/>
      <c r="AG59" s="12">
        <v>120</v>
      </c>
      <c r="AH59" s="22" cm="1">
        <f t="array" ref="AH59">BS_Greek("PUT","THETA",$AG59,$B$1,$B$2,$AH$3,AH$46)</f>
        <v>-9.4327686801213402E-10</v>
      </c>
      <c r="AI59" s="14" cm="1">
        <f t="array" ref="AI59">BS_Greek("PUT","THETA",$AG59,$B$1,$B$2,$AH$3,AI$46)</f>
        <v>-2.6810615988503794E-6</v>
      </c>
      <c r="AJ59" s="14" cm="1">
        <f t="array" ref="AJ59">BS_Greek("PUT","THETA",$AG59,$B$1,$B$2,$AH$3,AJ$46)</f>
        <v>-3.4556935523156127E-5</v>
      </c>
      <c r="AK59" s="14" cm="1">
        <f t="array" ref="AK59">BS_Greek("PUT","THETA",$AG59,$B$1,$B$2,$AH$3,AK$46)</f>
        <v>-1.1829354384093263E-4</v>
      </c>
      <c r="AL59" s="14" cm="1">
        <f t="array" ref="AL59">BS_Greek("PUT","THETA",$AG59,$B$1,$B$2,$AH$3,AL$46)</f>
        <v>-2.4038869737890938E-4</v>
      </c>
      <c r="AM59" s="14" cm="1">
        <f t="array" ref="AM59">BS_Greek("PUT","THETA",$AG59,$B$1,$B$2,$AH$3,AM$46)</f>
        <v>-3.7803578062776347E-4</v>
      </c>
      <c r="AN59" s="14" cm="1">
        <f t="array" ref="AN59">BS_Greek("PUT","THETA",$AG59,$B$1,$B$2,$AH$3,AN$46)</f>
        <v>-5.1477471665191854E-4</v>
      </c>
      <c r="AO59" s="14" cm="1">
        <f t="array" ref="AO59">BS_Greek("PUT","THETA",$AG59,$B$1,$B$2,$AH$3,AO$46)</f>
        <v>-6.4164780583293138E-4</v>
      </c>
      <c r="AP59" s="14" cm="1">
        <f t="array" ref="AP59">BS_Greek("PUT","THETA",$AG59,$B$1,$B$2,$AH$3,AP$46)</f>
        <v>-7.5479226849663205E-4</v>
      </c>
      <c r="AQ59" s="14" cm="1">
        <f t="array" ref="AQ59">BS_Greek("PUT","THETA",$AG59,$B$1,$B$2,$AH$3,AQ$46)</f>
        <v>-8.5324440681095349E-4</v>
      </c>
      <c r="AR59" s="14" cm="1">
        <f t="array" ref="AR59">BS_Greek("PUT","THETA",$AG59,$B$1,$B$2,$AH$3,AR$46)</f>
        <v>-1.2690030597552933E-3</v>
      </c>
      <c r="AS59" s="14" cm="1">
        <f t="array" ref="AS59">BS_Greek("PUT","THETA",$AG59,$B$1,$B$2,$AH$3,AS$46)</f>
        <v>-1.2617226552998602E-3</v>
      </c>
      <c r="AT59" s="14" cm="1">
        <f t="array" ref="AT59">BS_Greek("PUT","THETA",$AG59,$B$1,$B$2,$AH$3,AT$46)</f>
        <v>-1.1635882798017275E-3</v>
      </c>
      <c r="AU59" s="23" cm="1">
        <f t="array" ref="AU59">BS_Greek("PUT","THETA",$AG59,$B$1,$B$2,$AH$3,AU$46)</f>
        <v>-1.0515086355217585E-3</v>
      </c>
    </row>
    <row r="60" spans="1:47" x14ac:dyDescent="0.2">
      <c r="A60" s="12">
        <v>125</v>
      </c>
      <c r="B60" s="22" cm="1">
        <f t="array" ref="B60">BS_Greek("PUT","THETA",$A60,$B$1,$B$2,$B$3,B$6)</f>
        <v>-7.17109683386807E-5</v>
      </c>
      <c r="C60" s="14" cm="1">
        <f t="array" ref="C60">BS_Greek("PUT","THETA",$A60,$B$1,$B$2,$B$3,C$6)</f>
        <v>-1.1292793655355523E-3</v>
      </c>
      <c r="D60" s="14" cm="1">
        <f t="array" ref="D60">BS_Greek("PUT","THETA",$A60,$B$1,$B$2,$B$3,D$6)</f>
        <v>-2.5803533415990165E-3</v>
      </c>
      <c r="E60" s="14" cm="1">
        <f t="array" ref="E60">BS_Greek("PUT","THETA",$A60,$B$1,$B$2,$B$3,E$6)</f>
        <v>-3.7243136575382928E-3</v>
      </c>
      <c r="F60" s="14" cm="1">
        <f t="array" ref="F60">BS_Greek("PUT","THETA",$A60,$B$1,$B$2,$B$3,F$6)</f>
        <v>-4.5129520648673543E-3</v>
      </c>
      <c r="G60" s="14" cm="1">
        <f t="array" ref="G60">BS_Greek("PUT","THETA",$A60,$B$1,$B$2,$B$3,G$6)</f>
        <v>-5.032689648778314E-3</v>
      </c>
      <c r="H60" s="14" cm="1">
        <f t="array" ref="H60">BS_Greek("PUT","THETA",$A60,$B$1,$B$2,$B$3,H$6)</f>
        <v>-5.3654685291421563E-3</v>
      </c>
      <c r="I60" s="14" cm="1">
        <f t="array" ref="I60">BS_Greek("PUT","THETA",$A60,$B$1,$B$2,$B$3,I$6)</f>
        <v>-5.5703695120933603E-3</v>
      </c>
      <c r="J60" s="14" cm="1">
        <f t="array" ref="J60">BS_Greek("PUT","THETA",$A60,$B$1,$B$2,$B$3,J$6)</f>
        <v>-5.6875385297949959E-3</v>
      </c>
      <c r="K60" s="14" cm="1">
        <f t="array" ref="K60">BS_Greek("PUT","THETA",$A60,$B$1,$B$2,$B$3,K$6)</f>
        <v>-5.7440220500802582E-3</v>
      </c>
      <c r="L60" s="14" cm="1">
        <f t="array" ref="L60">BS_Greek("PUT","THETA",$A60,$B$1,$B$2,$B$3,L$6)</f>
        <v>-5.2187209701390711E-3</v>
      </c>
      <c r="M60" s="14" cm="1">
        <f t="array" ref="M60">BS_Greek("PUT","THETA",$A60,$B$1,$B$2,$B$3,M$6)</f>
        <v>-4.4750693444743838E-3</v>
      </c>
      <c r="N60" s="14" cm="1">
        <f t="array" ref="N60">BS_Greek("PUT","THETA",$A60,$B$1,$B$2,$B$3,N$6)</f>
        <v>-3.8765581575190581E-3</v>
      </c>
      <c r="O60" s="23" cm="1">
        <f t="array" ref="O60">BS_Greek("PUT","THETA",$A60,$B$1,$B$2,$B$3,O$6)</f>
        <v>-3.4035226258233085E-3</v>
      </c>
      <c r="P60" s="5"/>
      <c r="Q60" s="12">
        <v>125</v>
      </c>
      <c r="R60" s="22" cm="1">
        <f t="array" ref="R60">BS_Greek("PUT","THETA",$Q60,$B$1,$B$2,$R$3,R$6)</f>
        <v>-3.5222776176344305E-3</v>
      </c>
      <c r="S60" s="14" cm="1">
        <f t="array" ref="S60">BS_Greek("PUT","THETA",$Q60,$B$1,$B$2,$R$3,S$6)</f>
        <v>-9.8472880098360773E-3</v>
      </c>
      <c r="T60" s="14" cm="1">
        <f t="array" ref="T60">BS_Greek("PUT","THETA",$Q60,$B$1,$B$2,$R$3,T$6)</f>
        <v>-1.2650525166928836E-2</v>
      </c>
      <c r="U60" s="14" cm="1">
        <f t="array" ref="U60">BS_Greek("PUT","THETA",$Q60,$B$1,$B$2,$R$3,U$6)</f>
        <v>-1.3694903812861405E-2</v>
      </c>
      <c r="V60" s="14" cm="1">
        <f t="array" ref="V60">BS_Greek("PUT","THETA",$Q60,$B$1,$B$2,$R$3,V$6)</f>
        <v>-1.3967678731699695E-2</v>
      </c>
      <c r="W60" s="14" cm="1">
        <f t="array" ref="W60">BS_Greek("PUT","THETA",$Q60,$B$1,$B$2,$R$3,W$6)</f>
        <v>-1.3888182812305928E-2</v>
      </c>
      <c r="X60" s="14" cm="1">
        <f t="array" ref="X60">BS_Greek("PUT","THETA",$Q60,$B$1,$B$2,$R$3,X$6)</f>
        <v>-1.3643787502838118E-2</v>
      </c>
      <c r="Y60" s="14" cm="1">
        <f t="array" ref="Y60">BS_Greek("PUT","THETA",$Q60,$B$1,$B$2,$R$3,Y$6)</f>
        <v>-1.3323796430345515E-2</v>
      </c>
      <c r="Z60" s="14" cm="1">
        <f t="array" ref="Z60">BS_Greek("PUT","THETA",$Q60,$B$1,$B$2,$R$3,Z$6)</f>
        <v>-1.29729512739006E-2</v>
      </c>
      <c r="AA60" s="14" cm="1">
        <f t="array" ref="AA60">BS_Greek("PUT","THETA",$Q60,$B$1,$B$2,$R$3,AA$6)</f>
        <v>-1.2614390288216037E-2</v>
      </c>
      <c r="AB60" s="14" cm="1">
        <f t="array" ref="AB60">BS_Greek("PUT","THETA",$Q60,$B$1,$B$2,$R$3,AB$6)</f>
        <v>-9.6824320596982875E-3</v>
      </c>
      <c r="AC60" s="14" cm="1">
        <f t="array" ref="AC60">BS_Greek("PUT","THETA",$Q60,$B$1,$B$2,$R$3,AC$6)</f>
        <v>-7.8611765466302958E-3</v>
      </c>
      <c r="AD60" s="14" cm="1">
        <f t="array" ref="AD60">BS_Greek("PUT","THETA",$Q60,$B$1,$B$2,$R$3,AD$6)</f>
        <v>-6.6296662431610393E-3</v>
      </c>
      <c r="AE60" s="23" cm="1">
        <f t="array" ref="AE60">BS_Greek("PUT","THETA",$Q60,$B$1,$B$2,$R$3,AE$6)</f>
        <v>-5.7279902432378575E-3</v>
      </c>
      <c r="AF60" s="5"/>
      <c r="AG60" s="12">
        <v>125</v>
      </c>
      <c r="AH60" s="22" cm="1">
        <f t="array" ref="AH60">BS_Greek("PUT","THETA",$AG60,$B$1,$B$2,$AH$3,AH$46)</f>
        <v>-2.3571877044697655E-13</v>
      </c>
      <c r="AI60" s="14" cm="1">
        <f t="array" ref="AI60">BS_Greek("PUT","THETA",$AG60,$B$1,$B$2,$AH$3,AI$46)</f>
        <v>-4.2062112763071103E-8</v>
      </c>
      <c r="AJ60" s="14" cm="1">
        <f t="array" ref="AJ60">BS_Greek("PUT","THETA",$AG60,$B$1,$B$2,$AH$3,AJ$46)</f>
        <v>-2.1568335382078752E-6</v>
      </c>
      <c r="AK60" s="14" cm="1">
        <f t="array" ref="AK60">BS_Greek("PUT","THETA",$AG60,$B$1,$B$2,$AH$3,AK$46)</f>
        <v>-1.4735696929004592E-5</v>
      </c>
      <c r="AL60" s="14" cm="1">
        <f t="array" ref="AL60">BS_Greek("PUT","THETA",$AG60,$B$1,$B$2,$AH$3,AL$46)</f>
        <v>-4.5352637540043621E-5</v>
      </c>
      <c r="AM60" s="14" cm="1">
        <f t="array" ref="AM60">BS_Greek("PUT","THETA",$AG60,$B$1,$B$2,$AH$3,AM$46)</f>
        <v>-9.4093855533704409E-5</v>
      </c>
      <c r="AN60" s="14" cm="1">
        <f t="array" ref="AN60">BS_Greek("PUT","THETA",$AG60,$B$1,$B$2,$AH$3,AN$46)</f>
        <v>-1.5621567508456431E-4</v>
      </c>
      <c r="AO60" s="14" cm="1">
        <f t="array" ref="AO60">BS_Greek("PUT","THETA",$AG60,$B$1,$B$2,$AH$3,AO$46)</f>
        <v>-2.2597634049806303E-4</v>
      </c>
      <c r="AP60" s="14" cm="1">
        <f t="array" ref="AP60">BS_Greek("PUT","THETA",$AG60,$B$1,$B$2,$AH$3,AP$46)</f>
        <v>-2.9851562770684929E-4</v>
      </c>
      <c r="AQ60" s="14" cm="1">
        <f t="array" ref="AQ60">BS_Greek("PUT","THETA",$AG60,$B$1,$B$2,$AH$3,AQ$46)</f>
        <v>-3.7032455483885672E-4</v>
      </c>
      <c r="AR60" s="14" cm="1">
        <f t="array" ref="AR60">BS_Greek("PUT","THETA",$AG60,$B$1,$B$2,$AH$3,AR$46)</f>
        <v>-8.4000356312287925E-4</v>
      </c>
      <c r="AS60" s="14" cm="1">
        <f t="array" ref="AS60">BS_Greek("PUT","THETA",$AG60,$B$1,$B$2,$AH$3,AS$46)</f>
        <v>-9.6499999305044095E-4</v>
      </c>
      <c r="AT60" s="14" cm="1">
        <f t="array" ref="AT60">BS_Greek("PUT","THETA",$AG60,$B$1,$B$2,$AH$3,AT$46)</f>
        <v>-9.5891884853933657E-4</v>
      </c>
      <c r="AU60" s="23" cm="1">
        <f t="array" ref="AU60">BS_Greek("PUT","THETA",$AG60,$B$1,$B$2,$AH$3,AU$46)</f>
        <v>-9.0787747325871506E-4</v>
      </c>
    </row>
    <row r="61" spans="1:47" x14ac:dyDescent="0.2">
      <c r="A61" s="12">
        <v>130</v>
      </c>
      <c r="B61" s="22" cm="1">
        <f t="array" ref="B61">BS_Greek("PUT","THETA",$A61,$B$1,$B$2,$B$3,B$6)</f>
        <v>-6.708328784006191E-6</v>
      </c>
      <c r="C61" s="14" cm="1">
        <f t="array" ref="C61">BS_Greek("PUT","THETA",$A61,$B$1,$B$2,$B$3,C$6)</f>
        <v>-3.476026125224739E-4</v>
      </c>
      <c r="D61" s="14" cm="1">
        <f t="array" ref="D61">BS_Greek("PUT","THETA",$A61,$B$1,$B$2,$B$3,D$6)</f>
        <v>-1.1818803747454104E-3</v>
      </c>
      <c r="E61" s="14" cm="1">
        <f t="array" ref="E61">BS_Greek("PUT","THETA",$A61,$B$1,$B$2,$B$3,E$6)</f>
        <v>-2.0814487313496398E-3</v>
      </c>
      <c r="F61" s="14" cm="1">
        <f t="array" ref="F61">BS_Greek("PUT","THETA",$A61,$B$1,$B$2,$B$3,F$6)</f>
        <v>-2.8426010117029517E-3</v>
      </c>
      <c r="G61" s="14" cm="1">
        <f t="array" ref="G61">BS_Greek("PUT","THETA",$A61,$B$1,$B$2,$B$3,G$6)</f>
        <v>-3.4335066038971751E-3</v>
      </c>
      <c r="H61" s="14" cm="1">
        <f t="array" ref="H61">BS_Greek("PUT","THETA",$A61,$B$1,$B$2,$B$3,H$6)</f>
        <v>-3.8758199847353696E-3</v>
      </c>
      <c r="I61" s="14" cm="1">
        <f t="array" ref="I61">BS_Greek("PUT","THETA",$A61,$B$1,$B$2,$B$3,I$6)</f>
        <v>-4.2003869756897889E-3</v>
      </c>
      <c r="J61" s="14" cm="1">
        <f t="array" ref="J61">BS_Greek("PUT","THETA",$A61,$B$1,$B$2,$B$3,J$6)</f>
        <v>-4.4346960683529207E-3</v>
      </c>
      <c r="K61" s="14" cm="1">
        <f t="array" ref="K61">BS_Greek("PUT","THETA",$A61,$B$1,$B$2,$B$3,K$6)</f>
        <v>-4.600524433911876E-3</v>
      </c>
      <c r="L61" s="14" cm="1">
        <f t="array" ref="L61">BS_Greek("PUT","THETA",$A61,$B$1,$B$2,$B$3,L$6)</f>
        <v>-4.7220780021840353E-3</v>
      </c>
      <c r="M61" s="14" cm="1">
        <f t="array" ref="M61">BS_Greek("PUT","THETA",$A61,$B$1,$B$2,$B$3,M$6)</f>
        <v>-4.2223402775834482E-3</v>
      </c>
      <c r="N61" s="14" cm="1">
        <f t="array" ref="N61">BS_Greek("PUT","THETA",$A61,$B$1,$B$2,$B$3,N$6)</f>
        <v>-3.7378346689314257E-3</v>
      </c>
      <c r="O61" s="23" cm="1">
        <f t="array" ref="O61">BS_Greek("PUT","THETA",$A61,$B$1,$B$2,$B$3,O$6)</f>
        <v>-3.3265735043869261E-3</v>
      </c>
      <c r="P61" s="5"/>
      <c r="Q61" s="12">
        <v>130</v>
      </c>
      <c r="R61" s="22" cm="1">
        <f t="array" ref="R61">BS_Greek("PUT","THETA",$Q61,$B$1,$B$2,$R$3,R$6)</f>
        <v>-1.2429256242580883E-3</v>
      </c>
      <c r="S61" s="14" cm="1">
        <f t="array" ref="S61">BS_Greek("PUT","THETA",$Q61,$B$1,$B$2,$R$3,S$6)</f>
        <v>-5.9012111557048205E-3</v>
      </c>
      <c r="T61" s="14" cm="1">
        <f t="array" ref="T61">BS_Greek("PUT","THETA",$Q61,$B$1,$B$2,$R$3,T$6)</f>
        <v>-9.0474289005563896E-3</v>
      </c>
      <c r="U61" s="14" cm="1">
        <f t="array" ref="U61">BS_Greek("PUT","THETA",$Q61,$B$1,$B$2,$R$3,U$6)</f>
        <v>-1.0701449995665604E-2</v>
      </c>
      <c r="V61" s="14" cm="1">
        <f t="array" ref="V61">BS_Greek("PUT","THETA",$Q61,$B$1,$B$2,$R$3,V$6)</f>
        <v>-1.1511569516793704E-2</v>
      </c>
      <c r="W61" s="14" cm="1">
        <f t="array" ref="W61">BS_Greek("PUT","THETA",$Q61,$B$1,$B$2,$R$3,W$6)</f>
        <v>-1.1860599154107971E-2</v>
      </c>
      <c r="X61" s="14" cm="1">
        <f t="array" ref="X61">BS_Greek("PUT","THETA",$Q61,$B$1,$B$2,$R$3,X$6)</f>
        <v>-1.195246693943542E-2</v>
      </c>
      <c r="Y61" s="14" cm="1">
        <f t="array" ref="Y61">BS_Greek("PUT","THETA",$Q61,$B$1,$B$2,$R$3,Y$6)</f>
        <v>-1.1897792642507902E-2</v>
      </c>
      <c r="Z61" s="14" cm="1">
        <f t="array" ref="Z61">BS_Greek("PUT","THETA",$Q61,$B$1,$B$2,$R$3,Z$6)</f>
        <v>-1.1758749273191449E-2</v>
      </c>
      <c r="AA61" s="14" cm="1">
        <f t="array" ref="AA61">BS_Greek("PUT","THETA",$Q61,$B$1,$B$2,$R$3,AA$6)</f>
        <v>-1.1571487678689008E-2</v>
      </c>
      <c r="AB61" s="14" cm="1">
        <f t="array" ref="AB61">BS_Greek("PUT","THETA",$Q61,$B$1,$B$2,$R$3,AB$6)</f>
        <v>-9.3802536497604051E-3</v>
      </c>
      <c r="AC61" s="14" cm="1">
        <f t="array" ref="AC61">BS_Greek("PUT","THETA",$Q61,$B$1,$B$2,$R$3,AC$6)</f>
        <v>-7.7611143161545586E-3</v>
      </c>
      <c r="AD61" s="14" cm="1">
        <f t="array" ref="AD61">BS_Greek("PUT","THETA",$Q61,$B$1,$B$2,$R$3,AD$6)</f>
        <v>-6.6104604105655584E-3</v>
      </c>
      <c r="AE61" s="23" cm="1">
        <f t="array" ref="AE61">BS_Greek("PUT","THETA",$Q61,$B$1,$B$2,$R$3,AE$6)</f>
        <v>-5.7475009149815454E-3</v>
      </c>
      <c r="AF61" s="5"/>
      <c r="AG61" s="12">
        <v>130</v>
      </c>
      <c r="AH61" s="22" cm="1">
        <f t="array" ref="AH61">BS_Greek("PUT","THETA",$AG61,$B$1,$B$2,$AH$3,AH$46)</f>
        <v>-1.6963845565220629E-17</v>
      </c>
      <c r="AI61" s="14" cm="1">
        <f t="array" ref="AI61">BS_Greek("PUT","THETA",$AG61,$B$1,$B$2,$AH$3,AI$46)</f>
        <v>-3.5398846720429093E-10</v>
      </c>
      <c r="AJ61" s="14" cm="1">
        <f t="array" ref="AJ61">BS_Greek("PUT","THETA",$AG61,$B$1,$B$2,$AH$3,AJ$46)</f>
        <v>-8.8826832988788111E-8</v>
      </c>
      <c r="AK61" s="14" cm="1">
        <f t="array" ref="AK61">BS_Greek("PUT","THETA",$AG61,$B$1,$B$2,$AH$3,AK$46)</f>
        <v>-1.3431444565807883E-6</v>
      </c>
      <c r="AL61" s="14" cm="1">
        <f t="array" ref="AL61">BS_Greek("PUT","THETA",$AG61,$B$1,$B$2,$AH$3,AL$46)</f>
        <v>-6.6607628320193451E-6</v>
      </c>
      <c r="AM61" s="14" cm="1">
        <f t="array" ref="AM61">BS_Greek("PUT","THETA",$AG61,$B$1,$B$2,$AH$3,AM$46)</f>
        <v>-1.8998334818575521E-5</v>
      </c>
      <c r="AN61" s="14" cm="1">
        <f t="array" ref="AN61">BS_Greek("PUT","THETA",$AG61,$B$1,$B$2,$AH$3,AN$46)</f>
        <v>-3.9601624614972181E-5</v>
      </c>
      <c r="AO61" s="14" cm="1">
        <f t="array" ref="AO61">BS_Greek("PUT","THETA",$AG61,$B$1,$B$2,$AH$3,AO$46)</f>
        <v>-6.7960489413800929E-5</v>
      </c>
      <c r="AP61" s="14" cm="1">
        <f t="array" ref="AP61">BS_Greek("PUT","THETA",$AG61,$B$1,$B$2,$AH$3,AP$46)</f>
        <v>-1.0255167468833504E-4</v>
      </c>
      <c r="AQ61" s="14" cm="1">
        <f t="array" ref="AQ61">BS_Greek("PUT","THETA",$AG61,$B$1,$B$2,$AH$3,AQ$46)</f>
        <v>-1.4152768968138941E-4</v>
      </c>
      <c r="AR61" s="14" cm="1">
        <f t="array" ref="AR61">BS_Greek("PUT","THETA",$AG61,$B$1,$B$2,$AH$3,AR$46)</f>
        <v>-5.202101462246395E-4</v>
      </c>
      <c r="AS61" s="14" cm="1">
        <f t="array" ref="AS61">BS_Greek("PUT","THETA",$AG61,$B$1,$B$2,$AH$3,AS$46)</f>
        <v>-7.0418355798821221E-4</v>
      </c>
      <c r="AT61" s="14" cm="1">
        <f t="array" ref="AT61">BS_Greek("PUT","THETA",$AG61,$B$1,$B$2,$AH$3,AT$46)</f>
        <v>-7.611234775459359E-4</v>
      </c>
      <c r="AU61" s="23" cm="1">
        <f t="array" ref="AU61">BS_Greek("PUT","THETA",$AG61,$B$1,$B$2,$AH$3,AU$46)</f>
        <v>-7.5903956329621608E-4</v>
      </c>
    </row>
    <row r="62" spans="1:47" x14ac:dyDescent="0.2">
      <c r="A62" s="12">
        <v>135</v>
      </c>
      <c r="B62" s="22" cm="1">
        <f t="array" ref="B62">BS_Greek("PUT","THETA",$A62,$B$1,$B$2,$B$3,B$6)</f>
        <v>-4.7719318281401868E-7</v>
      </c>
      <c r="C62" s="14" cm="1">
        <f t="array" ref="C62">BS_Greek("PUT","THETA",$A62,$B$1,$B$2,$B$3,C$6)</f>
        <v>-9.3252521724367763E-5</v>
      </c>
      <c r="D62" s="14" cm="1">
        <f t="array" ref="D62">BS_Greek("PUT","THETA",$A62,$B$1,$B$2,$B$3,D$6)</f>
        <v>-4.9371602905945943E-4</v>
      </c>
      <c r="E62" s="14" cm="1">
        <f t="array" ref="E62">BS_Greek("PUT","THETA",$A62,$B$1,$B$2,$B$3,E$6)</f>
        <v>-1.0852581265595434E-3</v>
      </c>
      <c r="F62" s="14" cm="1">
        <f t="array" ref="F62">BS_Greek("PUT","THETA",$A62,$B$1,$B$2,$B$3,F$6)</f>
        <v>-1.6932109103448476E-3</v>
      </c>
      <c r="G62" s="14" cm="1">
        <f t="array" ref="G62">BS_Greek("PUT","THETA",$A62,$B$1,$B$2,$B$3,G$6)</f>
        <v>-2.2353029611994132E-3</v>
      </c>
      <c r="H62" s="14" cm="1">
        <f t="array" ref="H62">BS_Greek("PUT","THETA",$A62,$B$1,$B$2,$B$3,H$6)</f>
        <v>-2.6889067992530305E-3</v>
      </c>
      <c r="I62" s="14" cm="1">
        <f t="array" ref="I62">BS_Greek("PUT","THETA",$A62,$B$1,$B$2,$B$3,I$6)</f>
        <v>-3.0566349010857532E-3</v>
      </c>
      <c r="J62" s="14" cm="1">
        <f t="array" ref="J62">BS_Greek("PUT","THETA",$A62,$B$1,$B$2,$B$3,J$6)</f>
        <v>-3.3494776845680997E-3</v>
      </c>
      <c r="K62" s="14" cm="1">
        <f t="array" ref="K62">BS_Greek("PUT","THETA",$A62,$B$1,$B$2,$B$3,K$6)</f>
        <v>-3.5798905673844863E-3</v>
      </c>
      <c r="L62" s="14" cm="1">
        <f t="array" ref="L62">BS_Greek("PUT","THETA",$A62,$B$1,$B$2,$B$3,L$6)</f>
        <v>-4.2069199577750085E-3</v>
      </c>
      <c r="M62" s="14" cm="1">
        <f t="array" ref="M62">BS_Greek("PUT","THETA",$A62,$B$1,$B$2,$B$3,M$6)</f>
        <v>-3.9396344046232117E-3</v>
      </c>
      <c r="N62" s="14" cm="1">
        <f t="array" ref="N62">BS_Greek("PUT","THETA",$A62,$B$1,$B$2,$B$3,N$6)</f>
        <v>-3.571571888440709E-3</v>
      </c>
      <c r="O62" s="23" cm="1">
        <f t="array" ref="O62">BS_Greek("PUT","THETA",$A62,$B$1,$B$2,$B$3,O$6)</f>
        <v>-3.2259640839824287E-3</v>
      </c>
      <c r="P62" s="5"/>
      <c r="Q62" s="12">
        <v>135</v>
      </c>
      <c r="R62" s="22" cm="1">
        <f t="array" ref="R62">BS_Greek("PUT","THETA",$Q62,$B$1,$B$2,$R$3,R$6)</f>
        <v>-3.8812948063912634E-4</v>
      </c>
      <c r="S62" s="14" cm="1">
        <f t="array" ref="S62">BS_Greek("PUT","THETA",$Q62,$B$1,$B$2,$R$3,S$6)</f>
        <v>-3.3250125344702615E-3</v>
      </c>
      <c r="T62" s="14" cm="1">
        <f t="array" ref="T62">BS_Greek("PUT","THETA",$Q62,$B$1,$B$2,$R$3,T$6)</f>
        <v>-6.2076331745189225E-3</v>
      </c>
      <c r="U62" s="14" cm="1">
        <f t="array" ref="U62">BS_Greek("PUT","THETA",$Q62,$B$1,$B$2,$R$3,U$6)</f>
        <v>-8.1036654110936135E-3</v>
      </c>
      <c r="V62" s="14" cm="1">
        <f t="array" ref="V62">BS_Greek("PUT","THETA",$Q62,$B$1,$B$2,$R$3,V$6)</f>
        <v>-9.2495066110793948E-3</v>
      </c>
      <c r="W62" s="14" cm="1">
        <f t="array" ref="W62">BS_Greek("PUT","THETA",$Q62,$B$1,$B$2,$R$3,W$6)</f>
        <v>-9.9148146749049437E-3</v>
      </c>
      <c r="X62" s="14" cm="1">
        <f t="array" ref="X62">BS_Greek("PUT","THETA",$Q62,$B$1,$B$2,$R$3,X$6)</f>
        <v>-1.0278746077886911E-2</v>
      </c>
      <c r="Y62" s="14" cm="1">
        <f t="array" ref="Y62">BS_Greek("PUT","THETA",$Q62,$B$1,$B$2,$R$3,Y$6)</f>
        <v>-1.0451914438433286E-2</v>
      </c>
      <c r="Z62" s="14" cm="1">
        <f t="array" ref="Z62">BS_Greek("PUT","THETA",$Q62,$B$1,$B$2,$R$3,Z$6)</f>
        <v>-1.0502619294046396E-2</v>
      </c>
      <c r="AA62" s="14" cm="1">
        <f t="array" ref="AA62">BS_Greek("PUT","THETA",$Q62,$B$1,$B$2,$R$3,AA$6)</f>
        <v>-1.0473791234868529E-2</v>
      </c>
      <c r="AB62" s="14" cm="1">
        <f t="array" ref="AB62">BS_Greek("PUT","THETA",$Q62,$B$1,$B$2,$R$3,AB$6)</f>
        <v>-9.0202205281117338E-3</v>
      </c>
      <c r="AC62" s="14" cm="1">
        <f t="array" ref="AC62">BS_Greek("PUT","THETA",$Q62,$B$1,$B$2,$R$3,AC$6)</f>
        <v>-7.6203336961118114E-3</v>
      </c>
      <c r="AD62" s="14" cm="1">
        <f t="array" ref="AD62">BS_Greek("PUT","THETA",$Q62,$B$1,$B$2,$R$3,AD$6)</f>
        <v>-6.5613271378758805E-3</v>
      </c>
      <c r="AE62" s="23" cm="1">
        <f t="array" ref="AE62">BS_Greek("PUT","THETA",$Q62,$B$1,$B$2,$R$3,AE$6)</f>
        <v>-5.7439163156703761E-3</v>
      </c>
      <c r="AF62" s="5"/>
      <c r="AG62" s="12">
        <v>135</v>
      </c>
      <c r="AH62" s="22" cm="1">
        <f t="array" ref="AH62">BS_Greek("PUT","THETA",$AG62,$B$1,$B$2,$AH$3,AH$46)</f>
        <v>-4.0943272225110999E-22</v>
      </c>
      <c r="AI62" s="14" cm="1">
        <f t="array" ref="AI62">BS_Greek("PUT","THETA",$AG62,$B$1,$B$2,$AH$3,AI$46)</f>
        <v>-1.7250463809739133E-12</v>
      </c>
      <c r="AJ62" s="14" cm="1">
        <f t="array" ref="AJ62">BS_Greek("PUT","THETA",$AG62,$B$1,$B$2,$AH$3,AJ$46)</f>
        <v>-2.5408119636545175E-9</v>
      </c>
      <c r="AK62" s="14" cm="1">
        <f t="array" ref="AK62">BS_Greek("PUT","THETA",$AG62,$B$1,$B$2,$AH$3,AK$46)</f>
        <v>-9.3115328342099345E-8</v>
      </c>
      <c r="AL62" s="14" cm="1">
        <f t="array" ref="AL62">BS_Greek("PUT","THETA",$AG62,$B$1,$B$2,$AH$3,AL$46)</f>
        <v>-7.8564373082256721E-7</v>
      </c>
      <c r="AM62" s="14" cm="1">
        <f t="array" ref="AM62">BS_Greek("PUT","THETA",$AG62,$B$1,$B$2,$AH$3,AM$46)</f>
        <v>-3.1943402597005569E-6</v>
      </c>
      <c r="AN62" s="14" cm="1">
        <f t="array" ref="AN62">BS_Greek("PUT","THETA",$AG62,$B$1,$B$2,$AH$3,AN$46)</f>
        <v>-8.5788714931117744E-6</v>
      </c>
      <c r="AO62" s="14" cm="1">
        <f t="array" ref="AO62">BS_Greek("PUT","THETA",$AG62,$B$1,$B$2,$AH$3,AO$46)</f>
        <v>-1.7806421570445506E-5</v>
      </c>
      <c r="AP62" s="14" cm="1">
        <f t="array" ref="AP62">BS_Greek("PUT","THETA",$AG62,$B$1,$B$2,$AH$3,AP$46)</f>
        <v>-3.115762533513651E-5</v>
      </c>
      <c r="AQ62" s="14" cm="1">
        <f t="array" ref="AQ62">BS_Greek("PUT","THETA",$AG62,$B$1,$B$2,$AH$3,AQ$46)</f>
        <v>-4.8411813287537496E-5</v>
      </c>
      <c r="AR62" s="14" cm="1">
        <f t="array" ref="AR62">BS_Greek("PUT","THETA",$AG62,$B$1,$B$2,$AH$3,AR$46)</f>
        <v>-3.0417599944527416E-4</v>
      </c>
      <c r="AS62" s="14" cm="1">
        <f t="array" ref="AS62">BS_Greek("PUT","THETA",$AG62,$B$1,$B$2,$AH$3,AS$46)</f>
        <v>-4.9364540928879754E-4</v>
      </c>
      <c r="AT62" s="14" cm="1">
        <f t="array" ref="AT62">BS_Greek("PUT","THETA",$AG62,$B$1,$B$2,$AH$3,AT$46)</f>
        <v>-5.8523608335436458E-4</v>
      </c>
      <c r="AU62" s="23" cm="1">
        <f t="array" ref="AU62">BS_Greek("PUT","THETA",$AG62,$B$1,$B$2,$AH$3,AU$46)</f>
        <v>-6.1771276838781233E-4</v>
      </c>
    </row>
    <row r="63" spans="1:47" x14ac:dyDescent="0.2">
      <c r="A63" s="12">
        <v>140</v>
      </c>
      <c r="B63" s="24" cm="1">
        <f t="array" ref="B63">BS_Greek("PUT","THETA",$A63,$B$1,$B$2,$B$3,B$6)</f>
        <v>-2.6677459502810323E-8</v>
      </c>
      <c r="C63" s="25" cm="1">
        <f t="array" ref="C63">BS_Greek("PUT","THETA",$A63,$B$1,$B$2,$B$3,C$6)</f>
        <v>-2.2168953354892648E-5</v>
      </c>
      <c r="D63" s="25" cm="1">
        <f t="array" ref="D63">BS_Greek("PUT","THETA",$A63,$B$1,$B$2,$B$3,D$6)</f>
        <v>-1.9021274365654939E-4</v>
      </c>
      <c r="E63" s="25" cm="1">
        <f t="array" ref="E63">BS_Greek("PUT","THETA",$A63,$B$1,$B$2,$B$3,E$6)</f>
        <v>-5.3237761856354099E-4</v>
      </c>
      <c r="F63" s="25" cm="1">
        <f t="array" ref="F63">BS_Greek("PUT","THETA",$A63,$B$1,$B$2,$B$3,F$6)</f>
        <v>-9.6031261788383866E-4</v>
      </c>
      <c r="G63" s="25" cm="1">
        <f t="array" ref="G63">BS_Greek("PUT","THETA",$A63,$B$1,$B$2,$B$3,G$6)</f>
        <v>-1.3966671669448816E-3</v>
      </c>
      <c r="H63" s="25" cm="1">
        <f t="array" ref="H63">BS_Greek("PUT","THETA",$A63,$B$1,$B$2,$B$3,H$6)</f>
        <v>-1.8005564105171496E-3</v>
      </c>
      <c r="I63" s="25" cm="1">
        <f t="array" ref="I63">BS_Greek("PUT","THETA",$A63,$B$1,$B$2,$B$3,I$6)</f>
        <v>-2.1560497796347658E-3</v>
      </c>
      <c r="J63" s="25" cm="1">
        <f t="array" ref="J63">BS_Greek("PUT","THETA",$A63,$B$1,$B$2,$B$3,J$6)</f>
        <v>-2.460261694972835E-3</v>
      </c>
      <c r="K63" s="25" cm="1">
        <f t="array" ref="K63">BS_Greek("PUT","THETA",$A63,$B$1,$B$2,$B$3,K$6)</f>
        <v>-2.7162202795027695E-3</v>
      </c>
      <c r="L63" s="25" cm="1">
        <f t="array" ref="L63">BS_Greek("PUT","THETA",$A63,$B$1,$B$2,$B$3,L$6)</f>
        <v>-3.6976151421703653E-3</v>
      </c>
      <c r="M63" s="25" cm="1">
        <f t="array" ref="M63">BS_Greek("PUT","THETA",$A63,$B$1,$B$2,$B$3,M$6)</f>
        <v>-3.6403476552568136E-3</v>
      </c>
      <c r="N63" s="25" cm="1">
        <f t="array" ref="N63">BS_Greek("PUT","THETA",$A63,$B$1,$B$2,$B$3,N$6)</f>
        <v>-3.3860028351736082E-3</v>
      </c>
      <c r="O63" s="26" cm="1">
        <f t="array" ref="O63">BS_Greek("PUT","THETA",$A63,$B$1,$B$2,$B$3,O$6)</f>
        <v>-3.1072372734374269E-3</v>
      </c>
      <c r="P63" s="5"/>
      <c r="Q63" s="12">
        <v>140</v>
      </c>
      <c r="R63" s="24" cm="1">
        <f t="array" ref="R63">BS_Greek("PUT","THETA",$Q63,$B$1,$B$2,$R$3,R$6)</f>
        <v>-1.088447951356114E-4</v>
      </c>
      <c r="S63" s="25" cm="1">
        <f t="array" ref="S63">BS_Greek("PUT","THETA",$Q63,$B$1,$B$2,$R$3,S$6)</f>
        <v>-1.7746152051570988E-3</v>
      </c>
      <c r="T63" s="25" cm="1">
        <f t="array" ref="T63">BS_Greek("PUT","THETA",$Q63,$B$1,$B$2,$R$3,T$6)</f>
        <v>-4.1066857421157106E-3</v>
      </c>
      <c r="U63" s="25" cm="1">
        <f t="array" ref="U63">BS_Greek("PUT","THETA",$Q63,$B$1,$B$2,$R$3,U$6)</f>
        <v>-5.9694045681502605E-3</v>
      </c>
      <c r="V63" s="25" cm="1">
        <f t="array" ref="V63">BS_Greek("PUT","THETA",$Q63,$B$1,$B$2,$R$3,V$6)</f>
        <v>-7.268033486231582E-3</v>
      </c>
      <c r="W63" s="25" cm="1">
        <f t="array" ref="W63">BS_Greek("PUT","THETA",$Q63,$B$1,$B$2,$R$3,W$6)</f>
        <v>-8.1341113961407897E-3</v>
      </c>
      <c r="X63" s="25" cm="1">
        <f t="array" ref="X63">BS_Greek("PUT","THETA",$Q63,$B$1,$B$2,$R$3,X$6)</f>
        <v>-8.6968826158502887E-3</v>
      </c>
      <c r="Y63" s="25" cm="1">
        <f t="array" ref="Y63">BS_Greek("PUT","THETA",$Q63,$B$1,$B$2,$R$3,Y$6)</f>
        <v>-9.0507555181672389E-3</v>
      </c>
      <c r="Z63" s="25" cm="1">
        <f t="array" ref="Z63">BS_Greek("PUT","THETA",$Q63,$B$1,$B$2,$R$3,Z$6)</f>
        <v>-9.2603910874088109E-3</v>
      </c>
      <c r="AA63" s="25" cm="1">
        <f t="array" ref="AA63">BS_Greek("PUT","THETA",$Q63,$B$1,$B$2,$R$3,AA$6)</f>
        <v>-9.3696102770110343E-3</v>
      </c>
      <c r="AB63" s="25" cm="1">
        <f t="array" ref="AB63">BS_Greek("PUT","THETA",$Q63,$B$1,$B$2,$R$3,AB$6)</f>
        <v>-8.6176505031720432E-3</v>
      </c>
      <c r="AC63" s="25" cm="1">
        <f t="array" ref="AC63">BS_Greek("PUT","THETA",$Q63,$B$1,$B$2,$R$3,AC$6)</f>
        <v>-7.4461239388309147E-3</v>
      </c>
      <c r="AD63" s="25" cm="1">
        <f t="array" ref="AD63">BS_Greek("PUT","THETA",$Q63,$B$1,$B$2,$R$3,AD$6)</f>
        <v>-6.4865538459903515E-3</v>
      </c>
      <c r="AE63" s="26" cm="1">
        <f t="array" ref="AE63">BS_Greek("PUT","THETA",$Q63,$B$1,$B$2,$R$3,AE$6)</f>
        <v>-5.7200891374558924E-3</v>
      </c>
      <c r="AF63" s="5"/>
      <c r="AG63" s="12">
        <v>140</v>
      </c>
      <c r="AH63" s="24" cm="1">
        <f t="array" ref="AH63">BS_Greek("PUT","THETA",$AG63,$B$1,$B$2,$AH$3,AH$46)</f>
        <v>-3.7797063237067736E-27</v>
      </c>
      <c r="AI63" s="25" cm="1">
        <f t="array" ref="AI63">BS_Greek("PUT","THETA",$AG63,$B$1,$B$2,$AH$3,AI$46)</f>
        <v>-5.1991571293332378E-15</v>
      </c>
      <c r="AJ63" s="25" cm="1">
        <f t="array" ref="AJ63">BS_Greek("PUT","THETA",$AG63,$B$1,$B$2,$AH$3,AJ$46)</f>
        <v>-5.2751895742380739E-11</v>
      </c>
      <c r="AK63" s="25" cm="1">
        <f t="array" ref="AK63">BS_Greek("PUT","THETA",$AG63,$B$1,$B$2,$AH$3,AK$46)</f>
        <v>-5.075529612259835E-9</v>
      </c>
      <c r="AL63" s="25" cm="1">
        <f t="array" ref="AL63">BS_Greek("PUT","THETA",$AG63,$B$1,$B$2,$AH$3,AL$46)</f>
        <v>-7.6436282668845367E-8</v>
      </c>
      <c r="AM63" s="25" cm="1">
        <f t="array" ref="AM63">BS_Greek("PUT","THETA",$AG63,$B$1,$B$2,$AH$3,AM$46)</f>
        <v>-4.5737711017698736E-7</v>
      </c>
      <c r="AN63" s="25" cm="1">
        <f t="array" ref="AN63">BS_Greek("PUT","THETA",$AG63,$B$1,$B$2,$AH$3,AN$46)</f>
        <v>-1.6190390032837565E-6</v>
      </c>
      <c r="AO63" s="25" cm="1">
        <f t="array" ref="AO63">BS_Greek("PUT","THETA",$AG63,$B$1,$B$2,$AH$3,AO$46)</f>
        <v>-4.1343479108071791E-6</v>
      </c>
      <c r="AP63" s="25" cm="1">
        <f t="array" ref="AP63">BS_Greek("PUT","THETA",$AG63,$B$1,$B$2,$AH$3,AP$46)</f>
        <v>-8.5004585925968972E-6</v>
      </c>
      <c r="AQ63" s="25" cm="1">
        <f t="array" ref="AQ63">BS_Greek("PUT","THETA",$AG63,$B$1,$B$2,$AH$3,AQ$46)</f>
        <v>-1.5028188477420932E-5</v>
      </c>
      <c r="AR63" s="25" cm="1">
        <f t="array" ref="AR63">BS_Greek("PUT","THETA",$AG63,$B$1,$B$2,$AH$3,AR$46)</f>
        <v>-1.6919483046220869E-4</v>
      </c>
      <c r="AS63" s="25" cm="1">
        <f t="array" ref="AS63">BS_Greek("PUT","THETA",$AG63,$B$1,$B$2,$AH$3,AS$46)</f>
        <v>-3.3428262422333463E-4</v>
      </c>
      <c r="AT63" s="25" cm="1">
        <f t="array" ref="AT63">BS_Greek("PUT","THETA",$AG63,$B$1,$B$2,$AH$3,AT$46)</f>
        <v>-4.379244429558909E-4</v>
      </c>
      <c r="AU63" s="26" cm="1">
        <f t="array" ref="AU63">BS_Greek("PUT","THETA",$AG63,$B$1,$B$2,$AH$3,AU$46)</f>
        <v>-4.9131216454326046E-4</v>
      </c>
    </row>
    <row r="65" spans="1:47" x14ac:dyDescent="0.2">
      <c r="A65" s="108" t="s">
        <v>10</v>
      </c>
      <c r="B65" s="108"/>
      <c r="C65" s="108"/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Q65" s="108" t="s">
        <v>11</v>
      </c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G65" s="108" t="s">
        <v>18</v>
      </c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</row>
    <row r="66" spans="1:47" x14ac:dyDescent="0.2">
      <c r="A66" s="8"/>
      <c r="B66" s="17">
        <v>0.1</v>
      </c>
      <c r="C66" s="17">
        <v>0.2</v>
      </c>
      <c r="D66" s="17">
        <v>0.3</v>
      </c>
      <c r="E66" s="17">
        <v>0.4</v>
      </c>
      <c r="F66" s="17">
        <v>0.5</v>
      </c>
      <c r="G66" s="17">
        <v>0.6</v>
      </c>
      <c r="H66" s="17">
        <v>0.7</v>
      </c>
      <c r="I66" s="17">
        <v>0.8</v>
      </c>
      <c r="J66" s="17">
        <v>0.9</v>
      </c>
      <c r="K66" s="17">
        <v>1</v>
      </c>
      <c r="L66" s="17">
        <v>2</v>
      </c>
      <c r="M66" s="17">
        <v>3</v>
      </c>
      <c r="N66" s="17">
        <v>4</v>
      </c>
      <c r="O66" s="17">
        <v>5</v>
      </c>
      <c r="P66" s="11"/>
      <c r="Q66" s="8"/>
      <c r="R66" s="17">
        <v>0.1</v>
      </c>
      <c r="S66" s="17">
        <v>0.2</v>
      </c>
      <c r="T66" s="17">
        <v>0.3</v>
      </c>
      <c r="U66" s="17">
        <v>0.4</v>
      </c>
      <c r="V66" s="17">
        <v>0.5</v>
      </c>
      <c r="W66" s="17">
        <v>0.6</v>
      </c>
      <c r="X66" s="17">
        <v>0.7</v>
      </c>
      <c r="Y66" s="17">
        <v>0.8</v>
      </c>
      <c r="Z66" s="17">
        <v>0.9</v>
      </c>
      <c r="AA66" s="17">
        <v>1</v>
      </c>
      <c r="AB66" s="17">
        <v>2</v>
      </c>
      <c r="AC66" s="17">
        <v>3</v>
      </c>
      <c r="AD66" s="17">
        <v>4</v>
      </c>
      <c r="AE66" s="17">
        <v>5</v>
      </c>
      <c r="AF66" s="11"/>
      <c r="AG66" s="8"/>
      <c r="AH66" s="17">
        <v>0.1</v>
      </c>
      <c r="AI66" s="17">
        <v>0.2</v>
      </c>
      <c r="AJ66" s="17">
        <v>0.3</v>
      </c>
      <c r="AK66" s="17">
        <v>0.4</v>
      </c>
      <c r="AL66" s="17">
        <v>0.5</v>
      </c>
      <c r="AM66" s="17">
        <v>0.6</v>
      </c>
      <c r="AN66" s="17">
        <v>0.7</v>
      </c>
      <c r="AO66" s="17">
        <v>0.8</v>
      </c>
      <c r="AP66" s="17">
        <v>0.9</v>
      </c>
      <c r="AQ66" s="17">
        <v>1</v>
      </c>
      <c r="AR66" s="17">
        <v>2</v>
      </c>
      <c r="AS66" s="17">
        <v>3</v>
      </c>
      <c r="AT66" s="17">
        <v>4</v>
      </c>
      <c r="AU66" s="17">
        <v>5</v>
      </c>
    </row>
    <row r="67" spans="1:47" x14ac:dyDescent="0.2">
      <c r="A67" s="12">
        <v>60</v>
      </c>
      <c r="B67" s="19" cm="1">
        <f t="array" ref="B67">BS_Greek("PUT","VEGA",$A67,$B$1,$B$2,$B$3,B$6)</f>
        <v>7.5719207361531473E-16</v>
      </c>
      <c r="C67" s="20" cm="1">
        <f t="array" ref="C67">BS_Greek("PUT","VEGA",$A67,$B$1,$B$2,$B$3,C$6)</f>
        <v>1.29452098386633E-8</v>
      </c>
      <c r="D67" s="20" cm="1">
        <f t="array" ref="D67">BS_Greek("PUT","VEGA",$A67,$B$1,$B$2,$B$3,D$6)</f>
        <v>3.6360095554575554E-6</v>
      </c>
      <c r="E67" s="20" cm="1">
        <f t="array" ref="E67">BS_Greek("PUT","VEGA",$A67,$B$1,$B$2,$B$3,E$6)</f>
        <v>6.3545564110513227E-5</v>
      </c>
      <c r="F67" s="20" cm="1">
        <f t="array" ref="F67">BS_Greek("PUT","VEGA",$A67,$B$1,$B$2,$B$3,F$6)</f>
        <v>3.625261396739315E-4</v>
      </c>
      <c r="G67" s="20" cm="1">
        <f t="array" ref="G67">BS_Greek("PUT","VEGA",$A67,$B$1,$B$2,$B$3,G$6)</f>
        <v>1.1766116464443557E-3</v>
      </c>
      <c r="H67" s="20" cm="1">
        <f t="array" ref="H67">BS_Greek("PUT","VEGA",$A67,$B$1,$B$2,$B$3,H$6)</f>
        <v>2.7599282724645067E-3</v>
      </c>
      <c r="I67" s="20" cm="1">
        <f t="array" ref="I67">BS_Greek("PUT","VEGA",$A67,$B$1,$B$2,$B$3,I$6)</f>
        <v>5.2767323580423285E-3</v>
      </c>
      <c r="J67" s="20" cm="1">
        <f t="array" ref="J67">BS_Greek("PUT","VEGA",$A67,$B$1,$B$2,$B$3,J$6)</f>
        <v>8.7942603690305717E-3</v>
      </c>
      <c r="K67" s="20" cm="1">
        <f t="array" ref="K67">BS_Greek("PUT","VEGA",$A67,$B$1,$B$2,$B$3,K$6)</f>
        <v>1.3304138019690321E-2</v>
      </c>
      <c r="L67" s="20" cm="1">
        <f t="array" ref="L67">BS_Greek("PUT","VEGA",$A67,$B$1,$B$2,$B$3,L$6)</f>
        <v>9.5039378692490781E-2</v>
      </c>
      <c r="M67" s="20" cm="1">
        <f t="array" ref="M67">BS_Greek("PUT","VEGA",$A67,$B$1,$B$2,$B$3,M$6)</f>
        <v>0.19822539521715421</v>
      </c>
      <c r="N67" s="20" cm="1">
        <f t="array" ref="N67">BS_Greek("PUT","VEGA",$A67,$B$1,$B$2,$B$3,N$6)</f>
        <v>0.29702348640212856</v>
      </c>
      <c r="O67" s="21" cm="1">
        <f t="array" ref="O67">BS_Greek("PUT","VEGA",$A67,$B$1,$B$2,$B$3,O$6)</f>
        <v>0.38653493471867856</v>
      </c>
      <c r="P67" s="5"/>
      <c r="Q67" s="12">
        <v>60</v>
      </c>
      <c r="R67" s="19" cm="1">
        <f t="array" ref="R67">BS_Greek("PUT","VEGA",$Q67,$B$1,$B$2,$R$3,R$6)</f>
        <v>5.2241467496489445E-8</v>
      </c>
      <c r="S67" s="20" cm="1">
        <f t="array" ref="S67">BS_Greek("PUT","VEGA",$Q67,$B$1,$B$2,$R$3,S$6)</f>
        <v>1.0369210092575671E-4</v>
      </c>
      <c r="T67" s="20" cm="1">
        <f t="array" ref="T67">BS_Greek("PUT","VEGA",$Q67,$B$1,$B$2,$R$3,T$6)</f>
        <v>1.4202882759273424E-3</v>
      </c>
      <c r="U67" s="20" cm="1">
        <f t="array" ref="U67">BS_Greek("PUT","VEGA",$Q67,$B$1,$B$2,$R$3,U$6)</f>
        <v>5.4799114620321266E-3</v>
      </c>
      <c r="V67" s="20" cm="1">
        <f t="array" ref="V67">BS_Greek("PUT","VEGA",$Q67,$B$1,$B$2,$R$3,V$6)</f>
        <v>1.2626797297023529E-2</v>
      </c>
      <c r="W67" s="20" cm="1">
        <f t="array" ref="W67">BS_Greek("PUT","VEGA",$Q67,$B$1,$B$2,$R$3,W$6)</f>
        <v>2.2388087034633054E-2</v>
      </c>
      <c r="X67" s="20" cm="1">
        <f t="array" ref="X67">BS_Greek("PUT","VEGA",$Q67,$B$1,$B$2,$R$3,X$6)</f>
        <v>3.4092800414934205E-2</v>
      </c>
      <c r="Y67" s="20" cm="1">
        <f t="array" ref="Y67">BS_Greek("PUT","VEGA",$Q67,$B$1,$B$2,$R$3,Y$6)</f>
        <v>4.7136291023201063E-2</v>
      </c>
      <c r="Z67" s="20" cm="1">
        <f t="array" ref="Z67">BS_Greek("PUT","VEGA",$Q67,$B$1,$B$2,$R$3,Z$6)</f>
        <v>6.1044245880699191E-2</v>
      </c>
      <c r="AA67" s="20" cm="1">
        <f t="array" ref="AA67">BS_Greek("PUT","VEGA",$Q67,$B$1,$B$2,$R$3,AA$6)</f>
        <v>7.5465414056779437E-2</v>
      </c>
      <c r="AB67" s="20" cm="1">
        <f t="array" ref="AB67">BS_Greek("PUT","VEGA",$Q67,$B$1,$B$2,$R$3,AB$6)</f>
        <v>0.21665010977573698</v>
      </c>
      <c r="AC67" s="20" cm="1">
        <f t="array" ref="AC67">BS_Greek("PUT","VEGA",$Q67,$B$1,$B$2,$R$3,AC$6)</f>
        <v>0.33222896128746116</v>
      </c>
      <c r="AD67" s="20" cm="1">
        <f t="array" ref="AD67">BS_Greek("PUT","VEGA",$Q67,$B$1,$B$2,$R$3,AD$6)</f>
        <v>0.4256709859697233</v>
      </c>
      <c r="AE67" s="21" cm="1">
        <f t="array" ref="AE67">BS_Greek("PUT","VEGA",$Q67,$B$1,$B$2,$R$3,AE$6)</f>
        <v>0.50316444779050273</v>
      </c>
      <c r="AF67" s="5"/>
      <c r="AG67" s="12">
        <v>60</v>
      </c>
      <c r="AH67" s="19" cm="1">
        <f t="array" ref="AH67">BS_Greek("PUT","VEGA",$AG67,$B$1,$B$2,$AH$3,AH$66)</f>
        <v>3.5345400505311531E-58</v>
      </c>
      <c r="AI67" s="20" cm="1">
        <f t="array" ref="AI67">BS_Greek("PUT","VEGA",$AG67,$B$1,$B$2,$AH$3,AI$66)</f>
        <v>1.0711882489098268E-29</v>
      </c>
      <c r="AJ67" s="20" cm="1">
        <f t="array" ref="AJ67">BS_Greek("PUT","VEGA",$AG67,$B$1,$B$2,$AH$3,AJ$66)</f>
        <v>3.6413157535063633E-20</v>
      </c>
      <c r="AK67" s="20" cm="1">
        <f t="array" ref="AK67">BS_Greek("PUT","VEGA",$AG67,$B$1,$B$2,$AH$3,AK$66)</f>
        <v>2.2138942538625791E-15</v>
      </c>
      <c r="AL67" s="20" cm="1">
        <f t="array" ref="AL67">BS_Greek("PUT","VEGA",$AG67,$B$1,$B$2,$AH$3,AL$66)</f>
        <v>1.6837357993007911E-12</v>
      </c>
      <c r="AM67" s="20" cm="1">
        <f t="array" ref="AM67">BS_Greek("PUT","VEGA",$AG67,$B$1,$B$2,$AH$3,AM$66)</f>
        <v>1.4260773627185632E-10</v>
      </c>
      <c r="AN67" s="20" cm="1">
        <f t="array" ref="AN67">BS_Greek("PUT","VEGA",$AG67,$B$1,$B$2,$AH$3,AN$66)</f>
        <v>3.4375360039163322E-9</v>
      </c>
      <c r="AO67" s="20" cm="1">
        <f t="array" ref="AO67">BS_Greek("PUT","VEGA",$AG67,$B$1,$B$2,$AH$3,AO$66)</f>
        <v>3.7721952577593391E-8</v>
      </c>
      <c r="AP67" s="20" cm="1">
        <f t="array" ref="AP67">BS_Greek("PUT","VEGA",$AG67,$B$1,$B$2,$AH$3,AP$66)</f>
        <v>2.4471925152833751E-7</v>
      </c>
      <c r="AQ67" s="20" cm="1">
        <f t="array" ref="AQ67">BS_Greek("PUT","VEGA",$AG67,$B$1,$B$2,$AH$3,AQ$66)</f>
        <v>1.0981137573304838E-6</v>
      </c>
      <c r="AR67" s="20" cm="1">
        <f t="array" ref="AR67">BS_Greek("PUT","VEGA",$AG67,$B$1,$B$2,$AH$3,AR$66)</f>
        <v>1.0457482945948283E-3</v>
      </c>
      <c r="AS67" s="20" cm="1">
        <f t="array" ref="AS67">BS_Greek("PUT","VEGA",$AG67,$B$1,$B$2,$AH$3,AS$66)</f>
        <v>1.114218925364715E-2</v>
      </c>
      <c r="AT67" s="20" cm="1">
        <f t="array" ref="AT67">BS_Greek("PUT","VEGA",$AG67,$B$1,$B$2,$AH$3,AT$66)</f>
        <v>3.7735130894815956E-2</v>
      </c>
      <c r="AU67" s="21" cm="1">
        <f t="array" ref="AU67">BS_Greek("PUT","VEGA",$AG67,$B$1,$B$2,$AH$3,AU$66)</f>
        <v>8.0099557916829336E-2</v>
      </c>
    </row>
    <row r="68" spans="1:47" x14ac:dyDescent="0.2">
      <c r="A68" s="12">
        <v>65</v>
      </c>
      <c r="B68" s="22" cm="1">
        <f t="array" ref="B68">BS_Greek("PUT","VEGA",$A68,$B$1,$B$2,$B$3,B$6)</f>
        <v>9.537479121990602E-12</v>
      </c>
      <c r="C68" s="14" cm="1">
        <f t="array" ref="C68">BS_Greek("PUT","VEGA",$A68,$B$1,$B$2,$B$3,C$6)</f>
        <v>1.4674662728048755E-6</v>
      </c>
      <c r="D68" s="14" cm="1">
        <f t="array" ref="D68">BS_Greek("PUT","VEGA",$A68,$B$1,$B$2,$B$3,D$6)</f>
        <v>8.5735604439262305E-5</v>
      </c>
      <c r="E68" s="14" cm="1">
        <f t="array" ref="E68">BS_Greek("PUT","VEGA",$A68,$B$1,$B$2,$B$3,E$6)</f>
        <v>6.8337646766849906E-4</v>
      </c>
      <c r="F68" s="14" cm="1">
        <f t="array" ref="F68">BS_Greek("PUT","VEGA",$A68,$B$1,$B$2,$B$3,F$6)</f>
        <v>2.4340934965576379E-3</v>
      </c>
      <c r="G68" s="14" cm="1">
        <f t="array" ref="G68">BS_Greek("PUT","VEGA",$A68,$B$1,$B$2,$B$3,G$6)</f>
        <v>5.7709392847973577E-3</v>
      </c>
      <c r="H68" s="14" cm="1">
        <f t="array" ref="H68">BS_Greek("PUT","VEGA",$A68,$B$1,$B$2,$B$3,H$6)</f>
        <v>1.0816670734477618E-2</v>
      </c>
      <c r="I68" s="14" cm="1">
        <f t="array" ref="I68">BS_Greek("PUT","VEGA",$A68,$B$1,$B$2,$B$3,I$6)</f>
        <v>1.7478240873614229E-2</v>
      </c>
      <c r="J68" s="14" cm="1">
        <f t="array" ref="J68">BS_Greek("PUT","VEGA",$A68,$B$1,$B$2,$B$3,J$6)</f>
        <v>2.5556717355709923E-2</v>
      </c>
      <c r="K68" s="14" cm="1">
        <f t="array" ref="K68">BS_Greek("PUT","VEGA",$A68,$B$1,$B$2,$B$3,K$6)</f>
        <v>3.4820176623168372E-2</v>
      </c>
      <c r="L68" s="14" cm="1">
        <f t="array" ref="L68">BS_Greek("PUT","VEGA",$A68,$B$1,$B$2,$B$3,L$6)</f>
        <v>0.15529982480581037</v>
      </c>
      <c r="M68" s="14" cm="1">
        <f t="array" ref="M68">BS_Greek("PUT","VEGA",$A68,$B$1,$B$2,$B$3,M$6)</f>
        <v>0.27684353502761888</v>
      </c>
      <c r="N68" s="14" cm="1">
        <f t="array" ref="N68">BS_Greek("PUT","VEGA",$A68,$B$1,$B$2,$B$3,N$6)</f>
        <v>0.38350386340459219</v>
      </c>
      <c r="O68" s="23" cm="1">
        <f t="array" ref="O68">BS_Greek("PUT","VEGA",$A68,$B$1,$B$2,$B$3,O$6)</f>
        <v>0.47611297617669929</v>
      </c>
      <c r="P68" s="5"/>
      <c r="Q68" s="12">
        <v>65</v>
      </c>
      <c r="R68" s="22" cm="1">
        <f t="array" ref="R68">BS_Greek("PUT","VEGA",$Q68,$B$1,$B$2,$R$3,R$6)</f>
        <v>3.5480919020595769E-6</v>
      </c>
      <c r="S68" s="14" cm="1">
        <f t="array" ref="S68">BS_Greek("PUT","VEGA",$Q68,$B$1,$B$2,$R$3,S$6)</f>
        <v>8.6795002193490293E-4</v>
      </c>
      <c r="T68" s="14" cm="1">
        <f t="array" ref="T68">BS_Greek("PUT","VEGA",$Q68,$B$1,$B$2,$R$3,T$6)</f>
        <v>5.9162801509579999E-3</v>
      </c>
      <c r="U68" s="14" cm="1">
        <f t="array" ref="U68">BS_Greek("PUT","VEGA",$Q68,$B$1,$B$2,$R$3,U$6)</f>
        <v>1.6103021116910757E-2</v>
      </c>
      <c r="V68" s="14" cm="1">
        <f t="array" ref="V68">BS_Greek("PUT","VEGA",$Q68,$B$1,$B$2,$R$3,V$6)</f>
        <v>3.0095667810257461E-2</v>
      </c>
      <c r="W68" s="14" cm="1">
        <f t="array" ref="W68">BS_Greek("PUT","VEGA",$Q68,$B$1,$B$2,$R$3,W$6)</f>
        <v>4.6410088796281238E-2</v>
      </c>
      <c r="X68" s="14" cm="1">
        <f t="array" ref="X68">BS_Greek("PUT","VEGA",$Q68,$B$1,$B$2,$R$3,X$6)</f>
        <v>6.3967797976228549E-2</v>
      </c>
      <c r="Y68" s="14" cm="1">
        <f t="array" ref="Y68">BS_Greek("PUT","VEGA",$Q68,$B$1,$B$2,$R$3,Y$6)</f>
        <v>8.2069467460122725E-2</v>
      </c>
      <c r="Z68" s="14" cm="1">
        <f t="array" ref="Z68">BS_Greek("PUT","VEGA",$Q68,$B$1,$B$2,$R$3,Z$6)</f>
        <v>0.10028004968425032</v>
      </c>
      <c r="AA68" s="14" cm="1">
        <f t="array" ref="AA68">BS_Greek("PUT","VEGA",$Q68,$B$1,$B$2,$R$3,AA$6)</f>
        <v>0.11833484483505806</v>
      </c>
      <c r="AB68" s="14" cm="1">
        <f t="array" ref="AB68">BS_Greek("PUT","VEGA",$Q68,$B$1,$B$2,$R$3,AB$6)</f>
        <v>0.27555008864451608</v>
      </c>
      <c r="AC68" s="14" cm="1">
        <f t="array" ref="AC68">BS_Greek("PUT","VEGA",$Q68,$B$1,$B$2,$R$3,AC$6)</f>
        <v>0.39406825288577535</v>
      </c>
      <c r="AD68" s="14" cm="1">
        <f t="array" ref="AD68">BS_Greek("PUT","VEGA",$Q68,$B$1,$B$2,$R$3,AD$6)</f>
        <v>0.4875893022971528</v>
      </c>
      <c r="AE68" s="23" cm="1">
        <f t="array" ref="AE68">BS_Greek("PUT","VEGA",$Q68,$B$1,$B$2,$R$3,AE$6)</f>
        <v>0.56441397997533327</v>
      </c>
      <c r="AF68" s="5"/>
      <c r="AG68" s="12">
        <v>65</v>
      </c>
      <c r="AH68" s="22" cm="1">
        <f t="array" ref="AH68">BS_Greek("PUT","VEGA",$AG68,$B$1,$B$2,$AH$3,AH$66)</f>
        <v>7.8904162138229802E-42</v>
      </c>
      <c r="AI68" s="14" cm="1">
        <f t="array" ref="AI68">BS_Greek("PUT","VEGA",$AG68,$B$1,$B$2,$AH$3,AI$66)</f>
        <v>1.5687681949729762E-21</v>
      </c>
      <c r="AJ68" s="14" cm="1">
        <f t="array" ref="AJ68">BS_Greek("PUT","VEGA",$AG68,$B$1,$B$2,$AH$3,AJ$66)</f>
        <v>9.9829747601651493E-15</v>
      </c>
      <c r="AK68" s="14" cm="1">
        <f t="array" ref="AK68">BS_Greek("PUT","VEGA",$AG68,$B$1,$B$2,$AH$3,AK$66)</f>
        <v>2.6261095230764712E-11</v>
      </c>
      <c r="AL68" s="14" cm="1">
        <f t="array" ref="AL68">BS_Greek("PUT","VEGA",$AG68,$B$1,$B$2,$AH$3,AL$66)</f>
        <v>3.0347470957467907E-9</v>
      </c>
      <c r="AM68" s="14" cm="1">
        <f t="array" ref="AM68">BS_Greek("PUT","VEGA",$AG68,$B$1,$B$2,$AH$3,AM$66)</f>
        <v>7.3190274501949432E-8</v>
      </c>
      <c r="AN68" s="14" cm="1">
        <f t="array" ref="AN68">BS_Greek("PUT","VEGA",$AG68,$B$1,$B$2,$AH$3,AN$66)</f>
        <v>7.1926239310787049E-7</v>
      </c>
      <c r="AO68" s="14" cm="1">
        <f t="array" ref="AO68">BS_Greek("PUT","VEGA",$AG68,$B$1,$B$2,$AH$3,AO$66)</f>
        <v>4.0269999011754232E-6</v>
      </c>
      <c r="AP68" s="14" cm="1">
        <f t="array" ref="AP68">BS_Greek("PUT","VEGA",$AG68,$B$1,$B$2,$AH$3,AP$66)</f>
        <v>1.5479180979646812E-5</v>
      </c>
      <c r="AQ68" s="14" cm="1">
        <f t="array" ref="AQ68">BS_Greek("PUT","VEGA",$AG68,$B$1,$B$2,$AH$3,AQ$66)</f>
        <v>4.5696305078151927E-5</v>
      </c>
      <c r="AR68" s="14" cm="1">
        <f t="array" ref="AR68">BS_Greek("PUT","VEGA",$AG68,$B$1,$B$2,$AH$3,AR$66)</f>
        <v>6.612314700451225E-3</v>
      </c>
      <c r="AS68" s="14" cm="1">
        <f t="array" ref="AS68">BS_Greek("PUT","VEGA",$AG68,$B$1,$B$2,$AH$3,AS$66)</f>
        <v>3.7594797189649545E-2</v>
      </c>
      <c r="AT68" s="14" cm="1">
        <f t="array" ref="AT68">BS_Greek("PUT","VEGA",$AG68,$B$1,$B$2,$AH$3,AT$66)</f>
        <v>9.3007615269544944E-2</v>
      </c>
      <c r="AU68" s="23" cm="1">
        <f t="array" ref="AU68">BS_Greek("PUT","VEGA",$AG68,$B$1,$B$2,$AH$3,AU$66)</f>
        <v>0.16352043251983772</v>
      </c>
    </row>
    <row r="69" spans="1:47" x14ac:dyDescent="0.2">
      <c r="A69" s="12">
        <v>70</v>
      </c>
      <c r="B69" s="22" cm="1">
        <f t="array" ref="B69">BS_Greek("PUT","VEGA",$A69,$B$1,$B$2,$B$3,B$6)</f>
        <v>1.4305070674681112E-8</v>
      </c>
      <c r="C69" s="14" cm="1">
        <f t="array" ref="C69">BS_Greek("PUT","VEGA",$A69,$B$1,$B$2,$B$3,C$6)</f>
        <v>5.7361357105493493E-5</v>
      </c>
      <c r="D69" s="14" cm="1">
        <f t="array" ref="D69">BS_Greek("PUT","VEGA",$A69,$B$1,$B$2,$B$3,D$6)</f>
        <v>9.9359820227649877E-4</v>
      </c>
      <c r="E69" s="14" cm="1">
        <f t="array" ref="E69">BS_Greek("PUT","VEGA",$A69,$B$1,$B$2,$B$3,E$6)</f>
        <v>4.3122978474392235E-3</v>
      </c>
      <c r="F69" s="14" cm="1">
        <f t="array" ref="F69">BS_Greek("PUT","VEGA",$A69,$B$1,$B$2,$B$3,F$6)</f>
        <v>1.0665604474636936E-2</v>
      </c>
      <c r="G69" s="14" cm="1">
        <f t="array" ref="G69">BS_Greek("PUT","VEGA",$A69,$B$1,$B$2,$B$3,G$6)</f>
        <v>1.9828706392671893E-2</v>
      </c>
      <c r="H69" s="14" cm="1">
        <f t="array" ref="H69">BS_Greek("PUT","VEGA",$A69,$B$1,$B$2,$B$3,H$6)</f>
        <v>3.1240118425491598E-2</v>
      </c>
      <c r="I69" s="14" cm="1">
        <f t="array" ref="I69">BS_Greek("PUT","VEGA",$A69,$B$1,$B$2,$B$3,I$6)</f>
        <v>4.431443031965894E-2</v>
      </c>
      <c r="J69" s="14" cm="1">
        <f t="array" ref="J69">BS_Greek("PUT","VEGA",$A69,$B$1,$B$2,$B$3,J$6)</f>
        <v>5.855343505406032E-2</v>
      </c>
      <c r="K69" s="14" cm="1">
        <f t="array" ref="K69">BS_Greek("PUT","VEGA",$A69,$B$1,$B$2,$B$3,K$6)</f>
        <v>7.3566173019582473E-2</v>
      </c>
      <c r="L69" s="14" cm="1">
        <f t="array" ref="L69">BS_Greek("PUT","VEGA",$A69,$B$1,$B$2,$B$3,L$6)</f>
        <v>0.22783353493544931</v>
      </c>
      <c r="M69" s="14" cm="1">
        <f t="array" ref="M69">BS_Greek("PUT","VEGA",$A69,$B$1,$B$2,$B$3,M$6)</f>
        <v>0.35965069029119612</v>
      </c>
      <c r="N69" s="14" cm="1">
        <f t="array" ref="N69">BS_Greek("PUT","VEGA",$A69,$B$1,$B$2,$B$3,N$6)</f>
        <v>0.46883083785060736</v>
      </c>
      <c r="O69" s="23" cm="1">
        <f t="array" ref="O69">BS_Greek("PUT","VEGA",$A69,$B$1,$B$2,$B$3,O$6)</f>
        <v>0.56119836056730876</v>
      </c>
      <c r="P69" s="5"/>
      <c r="Q69" s="12">
        <v>70</v>
      </c>
      <c r="R69" s="22" cm="1">
        <f t="array" ref="R69">BS_Greek("PUT","VEGA",$Q69,$B$1,$B$2,$R$3,R$6)</f>
        <v>9.3436309317573526E-5</v>
      </c>
      <c r="S69" s="14" cm="1">
        <f t="array" ref="S69">BS_Greek("PUT","VEGA",$Q69,$B$1,$B$2,$R$3,S$6)</f>
        <v>4.5186973977930974E-3</v>
      </c>
      <c r="T69" s="14" cm="1">
        <f t="array" ref="T69">BS_Greek("PUT","VEGA",$Q69,$B$1,$B$2,$R$3,T$6)</f>
        <v>1.7943197870953598E-2</v>
      </c>
      <c r="U69" s="14" cm="1">
        <f t="array" ref="U69">BS_Greek("PUT","VEGA",$Q69,$B$1,$B$2,$R$3,U$6)</f>
        <v>3.7275610547584388E-2</v>
      </c>
      <c r="V69" s="14" cm="1">
        <f t="array" ref="V69">BS_Greek("PUT","VEGA",$Q69,$B$1,$B$2,$R$3,V$6)</f>
        <v>5.9240833497693511E-2</v>
      </c>
      <c r="W69" s="14" cm="1">
        <f t="array" ref="W69">BS_Greek("PUT","VEGA",$Q69,$B$1,$B$2,$R$3,W$6)</f>
        <v>8.1996646326998254E-2</v>
      </c>
      <c r="X69" s="14" cm="1">
        <f t="array" ref="X69">BS_Greek("PUT","VEGA",$Q69,$B$1,$B$2,$R$3,X$6)</f>
        <v>0.10462155572124113</v>
      </c>
      <c r="Y69" s="14" cm="1">
        <f t="array" ref="Y69">BS_Greek("PUT","VEGA",$Q69,$B$1,$B$2,$R$3,Y$6)</f>
        <v>0.12667719836424343</v>
      </c>
      <c r="Z69" s="14" cm="1">
        <f t="array" ref="Z69">BS_Greek("PUT","VEGA",$Q69,$B$1,$B$2,$R$3,Z$6)</f>
        <v>0.14797070949272112</v>
      </c>
      <c r="AA69" s="14" cm="1">
        <f t="array" ref="AA69">BS_Greek("PUT","VEGA",$Q69,$B$1,$B$2,$R$3,AA$6)</f>
        <v>0.16843384637940811</v>
      </c>
      <c r="AB69" s="14" cm="1">
        <f t="array" ref="AB69">BS_Greek("PUT","VEGA",$Q69,$B$1,$B$2,$R$3,AB$6)</f>
        <v>0.33351628785916154</v>
      </c>
      <c r="AC69" s="14" cm="1">
        <f t="array" ref="AC69">BS_Greek("PUT","VEGA",$Q69,$B$1,$B$2,$R$3,AC$6)</f>
        <v>0.45187800131882505</v>
      </c>
      <c r="AD69" s="14" cm="1">
        <f t="array" ref="AD69">BS_Greek("PUT","VEGA",$Q69,$B$1,$B$2,$R$3,AD$6)</f>
        <v>0.54421505040302265</v>
      </c>
      <c r="AE69" s="23" cm="1">
        <f t="array" ref="AE69">BS_Greek("PUT","VEGA",$Q69,$B$1,$B$2,$R$3,AE$6)</f>
        <v>0.61983217876086938</v>
      </c>
      <c r="AF69" s="5"/>
      <c r="AG69" s="12">
        <v>70</v>
      </c>
      <c r="AH69" s="22" cm="1">
        <f t="array" ref="AH69">BS_Greek("PUT","VEGA",$AG69,$B$1,$B$2,$AH$3,AH$66)</f>
        <v>3.5731275340967399E-29</v>
      </c>
      <c r="AI69" s="14" cm="1">
        <f t="array" ref="AI69">BS_Greek("PUT","VEGA",$AG69,$B$1,$B$2,$AH$3,AI$66)</f>
        <v>3.2770789744139767E-15</v>
      </c>
      <c r="AJ69" s="14" cm="1">
        <f t="array" ref="AJ69">BS_Greek("PUT","VEGA",$AG69,$B$1,$B$2,$AH$3,AJ$66)</f>
        <v>1.6113180804909159E-10</v>
      </c>
      <c r="AK69" s="14" cm="1">
        <f t="array" ref="AK69">BS_Greek("PUT","VEGA",$AG69,$B$1,$B$2,$AH$3,AK$66)</f>
        <v>3.7258960102381544E-8</v>
      </c>
      <c r="AL69" s="14" cm="1">
        <f t="array" ref="AL69">BS_Greek("PUT","VEGA",$AG69,$B$1,$B$2,$AH$3,AL$66)</f>
        <v>1.0010098526373569E-6</v>
      </c>
      <c r="AM69" s="14" cm="1">
        <f t="array" ref="AM69">BS_Greek("PUT","VEGA",$AG69,$B$1,$B$2,$AH$3,AM$66)</f>
        <v>9.1278366359240927E-6</v>
      </c>
      <c r="AN69" s="14" cm="1">
        <f t="array" ref="AN69">BS_Greek("PUT","VEGA",$AG69,$B$1,$B$2,$AH$3,AN$66)</f>
        <v>4.4780256387178206E-5</v>
      </c>
      <c r="AO69" s="14" cm="1">
        <f t="array" ref="AO69">BS_Greek("PUT","VEGA",$AG69,$B$1,$B$2,$AH$3,AO$66)</f>
        <v>1.4889989640669957E-4</v>
      </c>
      <c r="AP69" s="14" cm="1">
        <f t="array" ref="AP69">BS_Greek("PUT","VEGA",$AG69,$B$1,$B$2,$AH$3,AP$66)</f>
        <v>3.8164553510493975E-4</v>
      </c>
      <c r="AQ69" s="14" cm="1">
        <f t="array" ref="AQ69">BS_Greek("PUT","VEGA",$AG69,$B$1,$B$2,$AH$3,AQ$66)</f>
        <v>8.1469084911896738E-4</v>
      </c>
      <c r="AR69" s="14" cm="1">
        <f t="array" ref="AR69">BS_Greek("PUT","VEGA",$AG69,$B$1,$B$2,$AH$3,AR$66)</f>
        <v>2.7407108585812273E-2</v>
      </c>
      <c r="AS69" s="14" cm="1">
        <f t="array" ref="AS69">BS_Greek("PUT","VEGA",$AG69,$B$1,$B$2,$AH$3,AS$66)</f>
        <v>9.5815720461128837E-2</v>
      </c>
      <c r="AT69" s="14" cm="1">
        <f t="array" ref="AT69">BS_Greek("PUT","VEGA",$AG69,$B$1,$B$2,$AH$3,AT$66)</f>
        <v>0.18587765767930997</v>
      </c>
      <c r="AU69" s="23" cm="1">
        <f t="array" ref="AU69">BS_Greek("PUT","VEGA",$AG69,$B$1,$B$2,$AH$3,AU$66)</f>
        <v>0.28243629412307231</v>
      </c>
    </row>
    <row r="70" spans="1:47" x14ac:dyDescent="0.2">
      <c r="A70" s="12">
        <v>75</v>
      </c>
      <c r="B70" s="22" cm="1">
        <f t="array" ref="B70">BS_Greek("PUT","VEGA",$A70,$B$1,$B$2,$B$3,B$6)</f>
        <v>3.7701398975718429E-6</v>
      </c>
      <c r="C70" s="14" cm="1">
        <f t="array" ref="C70">BS_Greek("PUT","VEGA",$A70,$B$1,$B$2,$B$3,C$6)</f>
        <v>9.3928751471449772E-4</v>
      </c>
      <c r="D70" s="14" cm="1">
        <f t="array" ref="D70">BS_Greek("PUT","VEGA",$A70,$B$1,$B$2,$B$3,D$6)</f>
        <v>6.4440735249376054E-3</v>
      </c>
      <c r="E70" s="14" cm="1">
        <f t="array" ref="E70">BS_Greek("PUT","VEGA",$A70,$B$1,$B$2,$B$3,E$6)</f>
        <v>1.7601258389828199E-2</v>
      </c>
      <c r="F70" s="14" cm="1">
        <f t="array" ref="F70">BS_Greek("PUT","VEGA",$A70,$B$1,$B$2,$B$3,F$6)</f>
        <v>3.2972479768503961E-2</v>
      </c>
      <c r="G70" s="14" cm="1">
        <f t="array" ref="G70">BS_Greek("PUT","VEGA",$A70,$B$1,$B$2,$B$3,G$6)</f>
        <v>5.0934802908825044E-2</v>
      </c>
      <c r="H70" s="14" cm="1">
        <f t="array" ref="H70">BS_Greek("PUT","VEGA",$A70,$B$1,$B$2,$B$3,H$6)</f>
        <v>7.0302629740001565E-2</v>
      </c>
      <c r="I70" s="14" cm="1">
        <f t="array" ref="I70">BS_Greek("PUT","VEGA",$A70,$B$1,$B$2,$B$3,I$6)</f>
        <v>9.0304222542602272E-2</v>
      </c>
      <c r="J70" s="14" cm="1">
        <f t="array" ref="J70">BS_Greek("PUT","VEGA",$A70,$B$1,$B$2,$B$3,J$6)</f>
        <v>0.11045773801093517</v>
      </c>
      <c r="K70" s="14" cm="1">
        <f t="array" ref="K70">BS_Greek("PUT","VEGA",$A70,$B$1,$B$2,$B$3,K$6)</f>
        <v>0.13046879019121693</v>
      </c>
      <c r="L70" s="14" cm="1">
        <f t="array" ref="L70">BS_Greek("PUT","VEGA",$A70,$B$1,$B$2,$B$3,L$6)</f>
        <v>0.30603936130050935</v>
      </c>
      <c r="M70" s="14" cm="1">
        <f t="array" ref="M70">BS_Greek("PUT","VEGA",$A70,$B$1,$B$2,$B$3,M$6)</f>
        <v>0.44036986538728895</v>
      </c>
      <c r="N70" s="14" cm="1">
        <f t="array" ref="N70">BS_Greek("PUT","VEGA",$A70,$B$1,$B$2,$B$3,N$6)</f>
        <v>0.54807676647351544</v>
      </c>
      <c r="O70" s="23" cm="1">
        <f t="array" ref="O70">BS_Greek("PUT","VEGA",$A70,$B$1,$B$2,$B$3,O$6)</f>
        <v>0.63807941266216017</v>
      </c>
      <c r="P70" s="5"/>
      <c r="Q70" s="12">
        <v>75</v>
      </c>
      <c r="R70" s="22" cm="1">
        <f t="array" ref="R70">BS_Greek("PUT","VEGA",$Q70,$B$1,$B$2,$R$3,R$6)</f>
        <v>1.1344357018572755E-3</v>
      </c>
      <c r="S70" s="14" cm="1">
        <f t="array" ref="S70">BS_Greek("PUT","VEGA",$Q70,$B$1,$B$2,$R$3,S$6)</f>
        <v>1.5957745936388483E-2</v>
      </c>
      <c r="T70" s="14" cm="1">
        <f t="array" ref="T70">BS_Greek("PUT","VEGA",$Q70,$B$1,$B$2,$R$3,T$6)</f>
        <v>4.1984549048709428E-2</v>
      </c>
      <c r="U70" s="14" cm="1">
        <f t="array" ref="U70">BS_Greek("PUT","VEGA",$Q70,$B$1,$B$2,$R$3,U$6)</f>
        <v>7.0995380577419706E-2</v>
      </c>
      <c r="V70" s="14" cm="1">
        <f t="array" ref="V70">BS_Greek("PUT","VEGA",$Q70,$B$1,$B$2,$R$3,V$6)</f>
        <v>9.972312834283853E-2</v>
      </c>
      <c r="W70" s="14" cm="1">
        <f t="array" ref="W70">BS_Greek("PUT","VEGA",$Q70,$B$1,$B$2,$R$3,W$6)</f>
        <v>0.12712093999325985</v>
      </c>
      <c r="X70" s="14" cm="1">
        <f t="array" ref="X70">BS_Greek("PUT","VEGA",$Q70,$B$1,$B$2,$R$3,X$6)</f>
        <v>0.1529339134731435</v>
      </c>
      <c r="Y70" s="14" cm="1">
        <f t="array" ref="Y70">BS_Greek("PUT","VEGA",$Q70,$B$1,$B$2,$R$3,Y$6)</f>
        <v>0.17718513961379675</v>
      </c>
      <c r="Z70" s="14" cm="1">
        <f t="array" ref="Z70">BS_Greek("PUT","VEGA",$Q70,$B$1,$B$2,$R$3,Z$6)</f>
        <v>0.19998950927794951</v>
      </c>
      <c r="AA70" s="14" cm="1">
        <f t="array" ref="AA70">BS_Greek("PUT","VEGA",$Q70,$B$1,$B$2,$R$3,AA$6)</f>
        <v>0.22148428421066524</v>
      </c>
      <c r="AB70" s="14" cm="1">
        <f t="array" ref="AB70">BS_Greek("PUT","VEGA",$Q70,$B$1,$B$2,$R$3,AB$6)</f>
        <v>0.38761449136581966</v>
      </c>
      <c r="AC70" s="14" cm="1">
        <f t="array" ref="AC70">BS_Greek("PUT","VEGA",$Q70,$B$1,$B$2,$R$3,AC$6)</f>
        <v>0.50399623483227596</v>
      </c>
      <c r="AD70" s="14" cm="1">
        <f t="array" ref="AD70">BS_Greek("PUT","VEGA",$Q70,$B$1,$B$2,$R$3,AD$6)</f>
        <v>0.59461821507388324</v>
      </c>
      <c r="AE70" s="23" cm="1">
        <f t="array" ref="AE70">BS_Greek("PUT","VEGA",$Q70,$B$1,$B$2,$R$3,AE$6)</f>
        <v>0.66892699193410787</v>
      </c>
      <c r="AF70" s="5"/>
      <c r="AG70" s="12">
        <v>75</v>
      </c>
      <c r="AH70" s="22" cm="1">
        <f t="array" ref="AH70">BS_Greek("PUT","VEGA",$AG70,$B$1,$B$2,$AH$3,AH$66)</f>
        <v>1.5544383929947459E-19</v>
      </c>
      <c r="AI70" s="14" cm="1">
        <f t="array" ref="AI70">BS_Greek("PUT","VEGA",$AG70,$B$1,$B$2,$AH$3,AI$66)</f>
        <v>2.1245091218449445E-10</v>
      </c>
      <c r="AJ70" s="14" cm="1">
        <f t="array" ref="AJ70">BS_Greek("PUT","VEGA",$AG70,$B$1,$B$2,$AH$3,AJ$66)</f>
        <v>2.5706041526295759E-7</v>
      </c>
      <c r="AK70" s="14" cm="1">
        <f t="array" ref="AK70">BS_Greek("PUT","VEGA",$AG70,$B$1,$B$2,$AH$3,AK$66)</f>
        <v>9.3245046528342434E-6</v>
      </c>
      <c r="AL70" s="14" cm="1">
        <f t="array" ref="AL70">BS_Greek("PUT","VEGA",$AG70,$B$1,$B$2,$AH$3,AL$66)</f>
        <v>8.2443811591708765E-5</v>
      </c>
      <c r="AM70" s="14" cm="1">
        <f t="array" ref="AM70">BS_Greek("PUT","VEGA",$AG70,$B$1,$B$2,$AH$3,AM$66)</f>
        <v>3.5834719979831777E-4</v>
      </c>
      <c r="AN70" s="14" cm="1">
        <f t="array" ref="AN70">BS_Greek("PUT","VEGA",$AG70,$B$1,$B$2,$AH$3,AN$66)</f>
        <v>1.0355649356059845E-3</v>
      </c>
      <c r="AO70" s="14" cm="1">
        <f t="array" ref="AO70">BS_Greek("PUT","VEGA",$AG70,$B$1,$B$2,$AH$3,AO$66)</f>
        <v>2.3152671506101981E-3</v>
      </c>
      <c r="AP70" s="14" cm="1">
        <f t="array" ref="AP70">BS_Greek("PUT","VEGA",$AG70,$B$1,$B$2,$AH$3,AP$66)</f>
        <v>4.3580320477808066E-3</v>
      </c>
      <c r="AQ70" s="14" cm="1">
        <f t="array" ref="AQ70">BS_Greek("PUT","VEGA",$AG70,$B$1,$B$2,$AH$3,AQ$66)</f>
        <v>7.267112565693663E-3</v>
      </c>
      <c r="AR70" s="14" cm="1">
        <f t="array" ref="AR70">BS_Greek("PUT","VEGA",$AG70,$B$1,$B$2,$AH$3,AR$66)</f>
        <v>8.0455722498671681E-2</v>
      </c>
      <c r="AS70" s="14" cm="1">
        <f t="array" ref="AS70">BS_Greek("PUT","VEGA",$AG70,$B$1,$B$2,$AH$3,AS$66)</f>
        <v>0.19419529853530498</v>
      </c>
      <c r="AT70" s="14" cm="1">
        <f t="array" ref="AT70">BS_Greek("PUT","VEGA",$AG70,$B$1,$B$2,$AH$3,AT$66)</f>
        <v>0.31302804195460354</v>
      </c>
      <c r="AU70" s="23" cm="1">
        <f t="array" ref="AU70">BS_Greek("PUT","VEGA",$AG70,$B$1,$B$2,$AH$3,AU$66)</f>
        <v>0.42560725743199951</v>
      </c>
    </row>
    <row r="71" spans="1:47" x14ac:dyDescent="0.2">
      <c r="A71" s="12">
        <v>80</v>
      </c>
      <c r="B71" s="22" cm="1">
        <f t="array" ref="B71">BS_Greek("PUT","VEGA",$A71,$B$1,$B$2,$B$3,B$6)</f>
        <v>2.3609588828415678E-4</v>
      </c>
      <c r="C71" s="14" cm="1">
        <f t="array" ref="C71">BS_Greek("PUT","VEGA",$A71,$B$1,$B$2,$B$3,C$6)</f>
        <v>7.4932050826936915E-3</v>
      </c>
      <c r="D71" s="14" cm="1">
        <f t="array" ref="D71">BS_Greek("PUT","VEGA",$A71,$B$1,$B$2,$B$3,D$6)</f>
        <v>2.5866773497556825E-2</v>
      </c>
      <c r="E71" s="14" cm="1">
        <f t="array" ref="E71">BS_Greek("PUT","VEGA",$A71,$B$1,$B$2,$B$3,E$6)</f>
        <v>5.0116628118720127E-2</v>
      </c>
      <c r="F71" s="14" cm="1">
        <f t="array" ref="F71">BS_Greek("PUT","VEGA",$A71,$B$1,$B$2,$B$3,F$6)</f>
        <v>7.6401792301498683E-2</v>
      </c>
      <c r="G71" s="14" cm="1">
        <f t="array" ref="G71">BS_Greek("PUT","VEGA",$A71,$B$1,$B$2,$B$3,G$6)</f>
        <v>0.10287482444006045</v>
      </c>
      <c r="H71" s="14" cm="1">
        <f t="array" ref="H71">BS_Greek("PUT","VEGA",$A71,$B$1,$B$2,$B$3,H$6)</f>
        <v>0.12872223646374942</v>
      </c>
      <c r="I71" s="14" cm="1">
        <f t="array" ref="I71">BS_Greek("PUT","VEGA",$A71,$B$1,$B$2,$B$3,I$6)</f>
        <v>0.15361396923011619</v>
      </c>
      <c r="J71" s="14" cm="1">
        <f t="array" ref="J71">BS_Greek("PUT","VEGA",$A71,$B$1,$B$2,$B$3,J$6)</f>
        <v>0.17744408367129641</v>
      </c>
      <c r="K71" s="14" cm="1">
        <f t="array" ref="K71">BS_Greek("PUT","VEGA",$A71,$B$1,$B$2,$B$3,K$6)</f>
        <v>0.20021019742744606</v>
      </c>
      <c r="L71" s="14" cm="1">
        <f t="array" ref="L71">BS_Greek("PUT","VEGA",$A71,$B$1,$B$2,$B$3,L$6)</f>
        <v>0.3821823765301533</v>
      </c>
      <c r="M71" s="14" cm="1">
        <f t="array" ref="M71">BS_Greek("PUT","VEGA",$A71,$B$1,$B$2,$B$3,M$6)</f>
        <v>0.51343117209127098</v>
      </c>
      <c r="N71" s="14" cm="1">
        <f t="array" ref="N71">BS_Greek("PUT","VEGA",$A71,$B$1,$B$2,$B$3,N$6)</f>
        <v>0.61743560179207302</v>
      </c>
      <c r="O71" s="23" cm="1">
        <f t="array" ref="O71">BS_Greek("PUT","VEGA",$A71,$B$1,$B$2,$B$3,O$6)</f>
        <v>0.70416816821210715</v>
      </c>
      <c r="P71" s="5"/>
      <c r="Q71" s="12">
        <v>80</v>
      </c>
      <c r="R71" s="22" cm="1">
        <f t="array" ref="R71">BS_Greek("PUT","VEGA",$Q71,$B$1,$B$2,$R$3,R$6)</f>
        <v>7.2629446543345478E-3</v>
      </c>
      <c r="S71" s="14" cm="1">
        <f t="array" ref="S71">BS_Greek("PUT","VEGA",$Q71,$B$1,$B$2,$R$3,S$6)</f>
        <v>4.0887259297741153E-2</v>
      </c>
      <c r="T71" s="14" cm="1">
        <f t="array" ref="T71">BS_Greek("PUT","VEGA",$Q71,$B$1,$B$2,$R$3,T$6)</f>
        <v>7.9274555446936928E-2</v>
      </c>
      <c r="U71" s="14" cm="1">
        <f t="array" ref="U71">BS_Greek("PUT","VEGA",$Q71,$B$1,$B$2,$R$3,U$6)</f>
        <v>0.11507695143275125</v>
      </c>
      <c r="V71" s="14" cm="1">
        <f t="array" ref="V71">BS_Greek("PUT","VEGA",$Q71,$B$1,$B$2,$R$3,V$6)</f>
        <v>0.14749677041710105</v>
      </c>
      <c r="W71" s="14" cm="1">
        <f t="array" ref="W71">BS_Greek("PUT","VEGA",$Q71,$B$1,$B$2,$R$3,W$6)</f>
        <v>0.17688429965289604</v>
      </c>
      <c r="X71" s="14" cm="1">
        <f t="array" ref="X71">BS_Greek("PUT","VEGA",$Q71,$B$1,$B$2,$R$3,X$6)</f>
        <v>0.20372161802542724</v>
      </c>
      <c r="Y71" s="14" cm="1">
        <f t="array" ref="Y71">BS_Greek("PUT","VEGA",$Q71,$B$1,$B$2,$R$3,Y$6)</f>
        <v>0.22843174271570835</v>
      </c>
      <c r="Z71" s="14" cm="1">
        <f t="array" ref="Z71">BS_Greek("PUT","VEGA",$Q71,$B$1,$B$2,$R$3,Z$6)</f>
        <v>0.25135567501845718</v>
      </c>
      <c r="AA71" s="14" cm="1">
        <f t="array" ref="AA71">BS_Greek("PUT","VEGA",$Q71,$B$1,$B$2,$R$3,AA$6)</f>
        <v>0.27276349949898759</v>
      </c>
      <c r="AB71" s="14" cm="1">
        <f t="array" ref="AB71">BS_Greek("PUT","VEGA",$Q71,$B$1,$B$2,$R$3,AB$6)</f>
        <v>0.4355837845139281</v>
      </c>
      <c r="AC71" s="14" cm="1">
        <f t="array" ref="AC71">BS_Greek("PUT","VEGA",$Q71,$B$1,$B$2,$R$3,AC$6)</f>
        <v>0.5493407011822149</v>
      </c>
      <c r="AD71" s="14" cm="1">
        <f t="array" ref="AD71">BS_Greek("PUT","VEGA",$Q71,$B$1,$B$2,$R$3,AD$6)</f>
        <v>0.63829888800540957</v>
      </c>
      <c r="AE71" s="23" cm="1">
        <f t="array" ref="AE71">BS_Greek("PUT","VEGA",$Q71,$B$1,$B$2,$R$3,AE$6)</f>
        <v>0.71152052988955772</v>
      </c>
      <c r="AF71" s="5"/>
      <c r="AG71" s="12">
        <v>80</v>
      </c>
      <c r="AH71" s="22" cm="1">
        <f t="array" ref="AH71">BS_Greek("PUT","VEGA",$AG71,$B$1,$B$2,$AH$3,AH$66)</f>
        <v>2.1699726533395634E-12</v>
      </c>
      <c r="AI71" s="14" cm="1">
        <f t="array" ref="AI71">BS_Greek("PUT","VEGA",$AG71,$B$1,$B$2,$AH$3,AI$66)</f>
        <v>7.8107330033859321E-7</v>
      </c>
      <c r="AJ71" s="14" cm="1">
        <f t="array" ref="AJ71">BS_Greek("PUT","VEGA",$AG71,$B$1,$B$2,$AH$3,AJ$66)</f>
        <v>6.0578597213752154E-5</v>
      </c>
      <c r="AK71" s="14" cm="1">
        <f t="array" ref="AK71">BS_Greek("PUT","VEGA",$AG71,$B$1,$B$2,$AH$3,AK$66)</f>
        <v>5.5633346565513923E-4</v>
      </c>
      <c r="AL71" s="14" cm="1">
        <f t="array" ref="AL71">BS_Greek("PUT","VEGA",$AG71,$B$1,$B$2,$AH$3,AL$66)</f>
        <v>2.1573604959593175E-3</v>
      </c>
      <c r="AM71" s="14" cm="1">
        <f t="array" ref="AM71">BS_Greek("PUT","VEGA",$AG71,$B$1,$B$2,$AH$3,AM$66)</f>
        <v>5.4130101077600355E-3</v>
      </c>
      <c r="AN71" s="14" cm="1">
        <f t="array" ref="AN71">BS_Greek("PUT","VEGA",$AG71,$B$1,$B$2,$AH$3,AN$66)</f>
        <v>1.0564824233400872E-2</v>
      </c>
      <c r="AO71" s="14" cm="1">
        <f t="array" ref="AO71">BS_Greek("PUT","VEGA",$AG71,$B$1,$B$2,$AH$3,AO$66)</f>
        <v>1.759740529856035E-2</v>
      </c>
      <c r="AP71" s="14" cm="1">
        <f t="array" ref="AP71">BS_Greek("PUT","VEGA",$AG71,$B$1,$B$2,$AH$3,AP$66)</f>
        <v>2.6345645732472472E-2</v>
      </c>
      <c r="AQ71" s="14" cm="1">
        <f t="array" ref="AQ71">BS_Greek("PUT","VEGA",$AG71,$B$1,$B$2,$AH$3,AQ$66)</f>
        <v>3.6579438640896036E-2</v>
      </c>
      <c r="AR71" s="14" cm="1">
        <f t="array" ref="AR71">BS_Greek("PUT","VEGA",$AG71,$B$1,$B$2,$AH$3,AR$66)</f>
        <v>0.17761814611091617</v>
      </c>
      <c r="AS71" s="14" cm="1">
        <f t="array" ref="AS71">BS_Greek("PUT","VEGA",$AG71,$B$1,$B$2,$AH$3,AS$66)</f>
        <v>0.3257273204061763</v>
      </c>
      <c r="AT71" s="14" cm="1">
        <f t="array" ref="AT71">BS_Greek("PUT","VEGA",$AG71,$B$1,$B$2,$AH$3,AT$66)</f>
        <v>0.45765821306048549</v>
      </c>
      <c r="AU71" s="23" cm="1">
        <f t="array" ref="AU71">BS_Greek("PUT","VEGA",$AG71,$B$1,$B$2,$AH$3,AU$66)</f>
        <v>0.57302367456033554</v>
      </c>
    </row>
    <row r="72" spans="1:47" x14ac:dyDescent="0.2">
      <c r="A72" s="12">
        <v>85</v>
      </c>
      <c r="B72" s="22" cm="1">
        <f t="array" ref="B72">BS_Greek("PUT","VEGA",$A72,$B$1,$B$2,$B$3,B$6)</f>
        <v>4.4558558892443621E-3</v>
      </c>
      <c r="C72" s="14" cm="1">
        <f t="array" ref="C72">BS_Greek("PUT","VEGA",$A72,$B$1,$B$2,$B$3,C$6)</f>
        <v>3.2800471961839522E-2</v>
      </c>
      <c r="D72" s="14" cm="1">
        <f t="array" ref="D72">BS_Greek("PUT","VEGA",$A72,$B$1,$B$2,$B$3,D$6)</f>
        <v>6.9568288790958291E-2</v>
      </c>
      <c r="E72" s="14" cm="1">
        <f t="array" ref="E72">BS_Greek("PUT","VEGA",$A72,$B$1,$B$2,$B$3,E$6)</f>
        <v>0.10565235887329337</v>
      </c>
      <c r="F72" s="14" cm="1">
        <f t="array" ref="F72">BS_Greek("PUT","VEGA",$A72,$B$1,$B$2,$B$3,F$6)</f>
        <v>0.13916751647279249</v>
      </c>
      <c r="G72" s="14" cm="1">
        <f t="array" ref="G72">BS_Greek("PUT","VEGA",$A72,$B$1,$B$2,$B$3,G$6)</f>
        <v>0.16999445472389771</v>
      </c>
      <c r="H72" s="14" cm="1">
        <f t="array" ref="H72">BS_Greek("PUT","VEGA",$A72,$B$1,$B$2,$B$3,H$6)</f>
        <v>0.19840779785263229</v>
      </c>
      <c r="I72" s="14" cm="1">
        <f t="array" ref="I72">BS_Greek("PUT","VEGA",$A72,$B$1,$B$2,$B$3,I$6)</f>
        <v>0.22473489195639598</v>
      </c>
      <c r="J72" s="14" cm="1">
        <f t="array" ref="J72">BS_Greek("PUT","VEGA",$A72,$B$1,$B$2,$B$3,J$6)</f>
        <v>0.24927154208382693</v>
      </c>
      <c r="K72" s="14" cm="1">
        <f t="array" ref="K72">BS_Greek("PUT","VEGA",$A72,$B$1,$B$2,$B$3,K$6)</f>
        <v>0.27226666793458265</v>
      </c>
      <c r="L72" s="14" cm="1">
        <f t="array" ref="L72">BS_Greek("PUT","VEGA",$A72,$B$1,$B$2,$B$3,L$6)</f>
        <v>0.44907193585775429</v>
      </c>
      <c r="M72" s="14" cm="1">
        <f t="array" ref="M72">BS_Greek("PUT","VEGA",$A72,$B$1,$B$2,$B$3,M$6)</f>
        <v>0.57460996039653589</v>
      </c>
      <c r="N72" s="14" cm="1">
        <f t="array" ref="N72">BS_Greek("PUT","VEGA",$A72,$B$1,$B$2,$B$3,N$6)</f>
        <v>0.67438113704922498</v>
      </c>
      <c r="O72" s="23" cm="1">
        <f t="array" ref="O72">BS_Greek("PUT","VEGA",$A72,$B$1,$B$2,$B$3,O$6)</f>
        <v>0.75795571731518352</v>
      </c>
      <c r="P72" s="5"/>
      <c r="Q72" s="12">
        <v>85</v>
      </c>
      <c r="R72" s="22" cm="1">
        <f t="array" ref="R72">BS_Greek("PUT","VEGA",$Q72,$B$1,$B$2,$R$3,R$6)</f>
        <v>2.725633977693533E-2</v>
      </c>
      <c r="S72" s="14" cm="1">
        <f t="array" ref="S72">BS_Greek("PUT","VEGA",$Q72,$B$1,$B$2,$R$3,S$6)</f>
        <v>8.0146565468207587E-2</v>
      </c>
      <c r="T72" s="14" cm="1">
        <f t="array" ref="T72">BS_Greek("PUT","VEGA",$Q72,$B$1,$B$2,$R$3,T$6)</f>
        <v>0.12514440458799733</v>
      </c>
      <c r="U72" s="14" cm="1">
        <f t="array" ref="U72">BS_Greek("PUT","VEGA",$Q72,$B$1,$B$2,$R$3,U$6)</f>
        <v>0.16302579321220415</v>
      </c>
      <c r="V72" s="14" cm="1">
        <f t="array" ref="V72">BS_Greek("PUT","VEGA",$Q72,$B$1,$B$2,$R$3,V$6)</f>
        <v>0.19581443166314158</v>
      </c>
      <c r="W72" s="14" cm="1">
        <f t="array" ref="W72">BS_Greek("PUT","VEGA",$Q72,$B$1,$B$2,$R$3,W$6)</f>
        <v>0.22487833277913322</v>
      </c>
      <c r="X72" s="14" cm="1">
        <f t="array" ref="X72">BS_Greek("PUT","VEGA",$Q72,$B$1,$B$2,$R$3,X$6)</f>
        <v>0.25111006208294917</v>
      </c>
      <c r="Y72" s="14" cm="1">
        <f t="array" ref="Y72">BS_Greek("PUT","VEGA",$Q72,$B$1,$B$2,$R$3,Y$6)</f>
        <v>0.2751122670939824</v>
      </c>
      <c r="Z72" s="14" cm="1">
        <f t="array" ref="Z72">BS_Greek("PUT","VEGA",$Q72,$B$1,$B$2,$R$3,Z$6)</f>
        <v>0.29730845258588651</v>
      </c>
      <c r="AA72" s="14" cm="1">
        <f t="array" ref="AA72">BS_Greek("PUT","VEGA",$Q72,$B$1,$B$2,$R$3,AA$6)</f>
        <v>0.31800713357890908</v>
      </c>
      <c r="AB72" s="14" cm="1">
        <f t="array" ref="AB72">BS_Greek("PUT","VEGA",$Q72,$B$1,$B$2,$R$3,AB$6)</f>
        <v>0.47590089770706884</v>
      </c>
      <c r="AC72" s="14" cm="1">
        <f t="array" ref="AC72">BS_Greek("PUT","VEGA",$Q72,$B$1,$B$2,$R$3,AC$6)</f>
        <v>0.58733335877732817</v>
      </c>
      <c r="AD72" s="14" cm="1">
        <f t="array" ref="AD72">BS_Greek("PUT","VEGA",$Q72,$B$1,$B$2,$R$3,AD$6)</f>
        <v>0.67509674458565572</v>
      </c>
      <c r="AE72" s="23" cm="1">
        <f t="array" ref="AE72">BS_Greek("PUT","VEGA",$Q72,$B$1,$B$2,$R$3,AE$6)</f>
        <v>0.74766798153008263</v>
      </c>
      <c r="AF72" s="5"/>
      <c r="AG72" s="12">
        <v>85</v>
      </c>
      <c r="AH72" s="22" cm="1">
        <f t="array" ref="AH72">BS_Greek("PUT","VEGA",$AG72,$B$1,$B$2,$AH$3,AH$66)</f>
        <v>2.5138056835713346E-7</v>
      </c>
      <c r="AI72" s="14" cm="1">
        <f t="array" ref="AI72">BS_Greek("PUT","VEGA",$AG72,$B$1,$B$2,$AH$3,AI$66)</f>
        <v>2.6184740803568223E-4</v>
      </c>
      <c r="AJ72" s="14" cm="1">
        <f t="array" ref="AJ72">BS_Greek("PUT","VEGA",$AG72,$B$1,$B$2,$AH$3,AJ$66)</f>
        <v>2.8940234587731301E-3</v>
      </c>
      <c r="AK72" s="14" cm="1">
        <f t="array" ref="AK72">BS_Greek("PUT","VEGA",$AG72,$B$1,$B$2,$AH$3,AK$66)</f>
        <v>1.0033008819090708E-2</v>
      </c>
      <c r="AL72" s="14" cm="1">
        <f t="array" ref="AL72">BS_Greek("PUT","VEGA",$AG72,$B$1,$B$2,$AH$3,AL$66)</f>
        <v>2.1685359940348946E-2</v>
      </c>
      <c r="AM72" s="14" cm="1">
        <f t="array" ref="AM72">BS_Greek("PUT","VEGA",$AG72,$B$1,$B$2,$AH$3,AM$66)</f>
        <v>3.6850893362287709E-2</v>
      </c>
      <c r="AN72" s="14" cm="1">
        <f t="array" ref="AN72">BS_Greek("PUT","VEGA",$AG72,$B$1,$B$2,$AH$3,AN$66)</f>
        <v>5.4448949916165577E-2</v>
      </c>
      <c r="AO72" s="14" cm="1">
        <f t="array" ref="AO72">BS_Greek("PUT","VEGA",$AG72,$B$1,$B$2,$AH$3,AO$66)</f>
        <v>7.3606201526075665E-2</v>
      </c>
      <c r="AP72" s="14" cm="1">
        <f t="array" ref="AP72">BS_Greek("PUT","VEGA",$AG72,$B$1,$B$2,$AH$3,AP$66)</f>
        <v>9.3682861219506974E-2</v>
      </c>
      <c r="AQ72" s="14" cm="1">
        <f t="array" ref="AQ72">BS_Greek("PUT","VEGA",$AG72,$B$1,$B$2,$AH$3,AQ$66)</f>
        <v>0.11422910084499063</v>
      </c>
      <c r="AR72" s="14" cm="1">
        <f t="array" ref="AR72">BS_Greek("PUT","VEGA",$AG72,$B$1,$B$2,$AH$3,AR$66)</f>
        <v>0.30915406339357615</v>
      </c>
      <c r="AS72" s="14" cm="1">
        <f t="array" ref="AS72">BS_Greek("PUT","VEGA",$AG72,$B$1,$B$2,$AH$3,AS$66)</f>
        <v>0.46657820462206057</v>
      </c>
      <c r="AT72" s="14" cm="1">
        <f t="array" ref="AT72">BS_Greek("PUT","VEGA",$AG72,$B$1,$B$2,$AH$3,AT$66)</f>
        <v>0.59470671051964619</v>
      </c>
      <c r="AU72" s="23" cm="1">
        <f t="array" ref="AU72">BS_Greek("PUT","VEGA",$AG72,$B$1,$B$2,$AH$3,AU$66)</f>
        <v>0.70234247577560904</v>
      </c>
    </row>
    <row r="73" spans="1:47" x14ac:dyDescent="0.2">
      <c r="A73" s="12">
        <v>90</v>
      </c>
      <c r="B73" s="22" cm="1">
        <f t="array" ref="B73">BS_Greek("PUT","VEGA",$A73,$B$1,$B$2,$B$3,B$6)</f>
        <v>3.0644533309865177E-2</v>
      </c>
      <c r="C73" s="14" cm="1">
        <f t="array" ref="C73">BS_Greek("PUT","VEGA",$A73,$B$1,$B$2,$B$3,C$6)</f>
        <v>8.6635119422354204E-2</v>
      </c>
      <c r="D73" s="14" cm="1">
        <f t="array" ref="D73">BS_Greek("PUT","VEGA",$A73,$B$1,$B$2,$B$3,D$6)</f>
        <v>0.13356393635672964</v>
      </c>
      <c r="E73" s="14" cm="1">
        <f t="array" ref="E73">BS_Greek("PUT","VEGA",$A73,$B$1,$B$2,$B$3,E$6)</f>
        <v>0.17293746502576168</v>
      </c>
      <c r="F73" s="14" cm="1">
        <f t="array" ref="F73">BS_Greek("PUT","VEGA",$A73,$B$1,$B$2,$B$3,F$6)</f>
        <v>0.20700792345453845</v>
      </c>
      <c r="G73" s="14" cm="1">
        <f t="array" ref="G73">BS_Greek("PUT","VEGA",$A73,$B$1,$B$2,$B$3,G$6)</f>
        <v>0.23723384471393921</v>
      </c>
      <c r="H73" s="14" cm="1">
        <f t="array" ref="H73">BS_Greek("PUT","VEGA",$A73,$B$1,$B$2,$B$3,H$6)</f>
        <v>0.26455122246358703</v>
      </c>
      <c r="I73" s="14" cm="1">
        <f t="array" ref="I73">BS_Greek("PUT","VEGA",$A73,$B$1,$B$2,$B$3,I$6)</f>
        <v>0.28958655791598931</v>
      </c>
      <c r="J73" s="14" cm="1">
        <f t="array" ref="J73">BS_Greek("PUT","VEGA",$A73,$B$1,$B$2,$B$3,J$6)</f>
        <v>0.3127778048750498</v>
      </c>
      <c r="K73" s="14" cm="1">
        <f t="array" ref="K73">BS_Greek("PUT","VEGA",$A73,$B$1,$B$2,$B$3,K$6)</f>
        <v>0.33444289202725913</v>
      </c>
      <c r="L73" s="14" cm="1">
        <f t="array" ref="L73">BS_Greek("PUT","VEGA",$A73,$B$1,$B$2,$B$3,L$6)</f>
        <v>0.50128257699490841</v>
      </c>
      <c r="M73" s="14" cm="1">
        <f t="array" ref="M73">BS_Greek("PUT","VEGA",$A73,$B$1,$B$2,$B$3,M$6)</f>
        <v>0.62127838620556741</v>
      </c>
      <c r="N73" s="14" cm="1">
        <f t="array" ref="N73">BS_Greek("PUT","VEGA",$A73,$B$1,$B$2,$B$3,N$6)</f>
        <v>0.71761533320686932</v>
      </c>
      <c r="O73" s="23" cm="1">
        <f t="array" ref="O73">BS_Greek("PUT","VEGA",$A73,$B$1,$B$2,$B$3,O$6)</f>
        <v>0.79886620400360497</v>
      </c>
      <c r="P73" s="5"/>
      <c r="Q73" s="12">
        <v>90</v>
      </c>
      <c r="R73" s="22" cm="1">
        <f t="array" ref="R73">BS_Greek("PUT","VEGA",$Q73,$B$1,$B$2,$R$3,R$6)</f>
        <v>6.5245486618251358E-2</v>
      </c>
      <c r="S73" s="14" cm="1">
        <f t="array" ref="S73">BS_Greek("PUT","VEGA",$Q73,$B$1,$B$2,$R$3,S$6)</f>
        <v>0.12538719707021434</v>
      </c>
      <c r="T73" s="14" cm="1">
        <f t="array" ref="T73">BS_Greek("PUT","VEGA",$Q73,$B$1,$B$2,$R$3,T$6)</f>
        <v>0.1699057827332551</v>
      </c>
      <c r="U73" s="14" cm="1">
        <f t="array" ref="U73">BS_Greek("PUT","VEGA",$Q73,$B$1,$B$2,$R$3,U$6)</f>
        <v>0.20618984345800187</v>
      </c>
      <c r="V73" s="14" cm="1">
        <f t="array" ref="V73">BS_Greek("PUT","VEGA",$Q73,$B$1,$B$2,$R$3,V$6)</f>
        <v>0.23734723525071388</v>
      </c>
      <c r="W73" s="14" cm="1">
        <f t="array" ref="W73">BS_Greek("PUT","VEGA",$Q73,$B$1,$B$2,$R$3,W$6)</f>
        <v>0.26495540458839584</v>
      </c>
      <c r="X73" s="14" cm="1">
        <f t="array" ref="X73">BS_Greek("PUT","VEGA",$Q73,$B$1,$B$2,$R$3,X$6)</f>
        <v>0.2899301291838231</v>
      </c>
      <c r="Y73" s="14" cm="1">
        <f t="array" ref="Y73">BS_Greek("PUT","VEGA",$Q73,$B$1,$B$2,$R$3,Y$6)</f>
        <v>0.3128543782986476</v>
      </c>
      <c r="Z73" s="14" cm="1">
        <f t="array" ref="Z73">BS_Greek("PUT","VEGA",$Q73,$B$1,$B$2,$R$3,Z$6)</f>
        <v>0.33412469483092272</v>
      </c>
      <c r="AA73" s="14" cm="1">
        <f t="array" ref="AA73">BS_Greek("PUT","VEGA",$Q73,$B$1,$B$2,$R$3,AA$6)</f>
        <v>0.35402457537592474</v>
      </c>
      <c r="AB73" s="14" cm="1">
        <f t="array" ref="AB73">BS_Greek("PUT","VEGA",$Q73,$B$1,$B$2,$R$3,AB$6)</f>
        <v>0.50774026590962562</v>
      </c>
      <c r="AC73" s="14" cm="1">
        <f t="array" ref="AC73">BS_Greek("PUT","VEGA",$Q73,$B$1,$B$2,$R$3,AC$6)</f>
        <v>0.61780667302057179</v>
      </c>
      <c r="AD73" s="14" cm="1">
        <f t="array" ref="AD73">BS_Greek("PUT","VEGA",$Q73,$B$1,$B$2,$R$3,AD$6)</f>
        <v>0.70510754644860274</v>
      </c>
      <c r="AE73" s="23" cm="1">
        <f t="array" ref="AE73">BS_Greek("PUT","VEGA",$Q73,$B$1,$B$2,$R$3,AE$6)</f>
        <v>0.77759056969031703</v>
      </c>
      <c r="AF73" s="5"/>
      <c r="AG73" s="12">
        <v>90</v>
      </c>
      <c r="AH73" s="22" cm="1">
        <f t="array" ref="AH73">BS_Greek("PUT","VEGA",$AG73,$B$1,$B$2,$AH$3,AH$66)</f>
        <v>5.1615938644774466E-4</v>
      </c>
      <c r="AI73" s="14" cm="1">
        <f t="array" ref="AI73">BS_Greek("PUT","VEGA",$AG73,$B$1,$B$2,$AH$3,AI$66)</f>
        <v>1.1696837223341141E-2</v>
      </c>
      <c r="AJ73" s="14" cm="1">
        <f t="array" ref="AJ73">BS_Greek("PUT","VEGA",$AG73,$B$1,$B$2,$AH$3,AJ$66)</f>
        <v>3.6089280836016521E-2</v>
      </c>
      <c r="AK73" s="14" cm="1">
        <f t="array" ref="AK73">BS_Greek("PUT","VEGA",$AG73,$B$1,$B$2,$AH$3,AK$66)</f>
        <v>6.6105163163659941E-2</v>
      </c>
      <c r="AL73" s="14" cm="1">
        <f t="array" ref="AL73">BS_Greek("PUT","VEGA",$AG73,$B$1,$B$2,$AH$3,AL$66)</f>
        <v>9.7437835238203124E-2</v>
      </c>
      <c r="AM73" s="14" cm="1">
        <f t="array" ref="AM73">BS_Greek("PUT","VEGA",$AG73,$B$1,$B$2,$AH$3,AM$66)</f>
        <v>0.12828628098948194</v>
      </c>
      <c r="AN73" s="14" cm="1">
        <f t="array" ref="AN73">BS_Greek("PUT","VEGA",$AG73,$B$1,$B$2,$AH$3,AN$66)</f>
        <v>0.15796405593882862</v>
      </c>
      <c r="AO73" s="14" cm="1">
        <f t="array" ref="AO73">BS_Greek("PUT","VEGA",$AG73,$B$1,$B$2,$AH$3,AO$66)</f>
        <v>0.18625614252560363</v>
      </c>
      <c r="AP73" s="14" cm="1">
        <f t="array" ref="AP73">BS_Greek("PUT","VEGA",$AG73,$B$1,$B$2,$AH$3,AP$66)</f>
        <v>0.21314624132838869</v>
      </c>
      <c r="AQ73" s="14" cm="1">
        <f t="array" ref="AQ73">BS_Greek("PUT","VEGA",$AG73,$B$1,$B$2,$AH$3,AQ$66)</f>
        <v>0.23869941692283714</v>
      </c>
      <c r="AR73" s="14" cm="1">
        <f t="array" ref="AR73">BS_Greek("PUT","VEGA",$AG73,$B$1,$B$2,$AH$3,AR$66)</f>
        <v>0.44056131835135992</v>
      </c>
      <c r="AS73" s="14" cm="1">
        <f t="array" ref="AS73">BS_Greek("PUT","VEGA",$AG73,$B$1,$B$2,$AH$3,AS$66)</f>
        <v>0.58525004130384151</v>
      </c>
      <c r="AT73" s="14" cm="1">
        <f t="array" ref="AT73">BS_Greek("PUT","VEGA",$AG73,$B$1,$B$2,$AH$3,AT$66)</f>
        <v>0.69986237314498323</v>
      </c>
      <c r="AU73" s="23" cm="1">
        <f t="array" ref="AU73">BS_Greek("PUT","VEGA",$AG73,$B$1,$B$2,$AH$3,AU$66)</f>
        <v>0.7954894433465316</v>
      </c>
    </row>
    <row r="74" spans="1:47" x14ac:dyDescent="0.2">
      <c r="A74" s="12">
        <v>95</v>
      </c>
      <c r="B74" s="22" cm="1">
        <f t="array" ref="B74">BS_Greek("PUT","VEGA",$A74,$B$1,$B$2,$B$3,B$6)</f>
        <v>8.9541358039279734E-2</v>
      </c>
      <c r="C74" s="14" cm="1">
        <f t="array" ref="C74">BS_Greek("PUT","VEGA",$A74,$B$1,$B$2,$B$3,C$6)</f>
        <v>0.14909546983266303</v>
      </c>
      <c r="D74" s="14" cm="1">
        <f t="array" ref="D74">BS_Greek("PUT","VEGA",$A74,$B$1,$B$2,$B$3,D$6)</f>
        <v>0.19267540519079143</v>
      </c>
      <c r="E74" s="14" cm="1">
        <f t="array" ref="E74">BS_Greek("PUT","VEGA",$A74,$B$1,$B$2,$B$3,E$6)</f>
        <v>0.22840702670307461</v>
      </c>
      <c r="F74" s="14" cm="1">
        <f t="array" ref="F74">BS_Greek("PUT","VEGA",$A74,$B$1,$B$2,$B$3,F$6)</f>
        <v>0.25930883920219033</v>
      </c>
      <c r="G74" s="14" cm="1">
        <f t="array" ref="G74">BS_Greek("PUT","VEGA",$A74,$B$1,$B$2,$B$3,G$6)</f>
        <v>0.28686682039024303</v>
      </c>
      <c r="H74" s="14" cm="1">
        <f t="array" ref="H74">BS_Greek("PUT","VEGA",$A74,$B$1,$B$2,$B$3,H$6)</f>
        <v>0.31193622839956392</v>
      </c>
      <c r="I74" s="14" cm="1">
        <f t="array" ref="I74">BS_Greek("PUT","VEGA",$A74,$B$1,$B$2,$B$3,I$6)</f>
        <v>0.33506087760385839</v>
      </c>
      <c r="J74" s="14" cm="1">
        <f t="array" ref="J74">BS_Greek("PUT","VEGA",$A74,$B$1,$B$2,$B$3,J$6)</f>
        <v>0.35661132714949467</v>
      </c>
      <c r="K74" s="14" cm="1">
        <f t="array" ref="K74">BS_Greek("PUT","VEGA",$A74,$B$1,$B$2,$B$3,K$6)</f>
        <v>0.37685326590063861</v>
      </c>
      <c r="L74" s="14" cm="1">
        <f t="array" ref="L74">BS_Greek("PUT","VEGA",$A74,$B$1,$B$2,$B$3,L$6)</f>
        <v>0.53572622142458148</v>
      </c>
      <c r="M74" s="14" cm="1">
        <f t="array" ref="M74">BS_Greek("PUT","VEGA",$A74,$B$1,$B$2,$B$3,M$6)</f>
        <v>0.65235380338435678</v>
      </c>
      <c r="N74" s="14" cm="1">
        <f t="array" ref="N74">BS_Greek("PUT","VEGA",$A74,$B$1,$B$2,$B$3,N$6)</f>
        <v>0.7468905995563202</v>
      </c>
      <c r="O74" s="23" cm="1">
        <f t="array" ref="O74">BS_Greek("PUT","VEGA",$A74,$B$1,$B$2,$B$3,O$6)</f>
        <v>0.82706631007194997</v>
      </c>
      <c r="P74" s="5"/>
      <c r="Q74" s="12">
        <v>95</v>
      </c>
      <c r="R74" s="22" cm="1">
        <f t="array" ref="R74">BS_Greek("PUT","VEGA",$Q74,$B$1,$B$2,$R$3,R$6)</f>
        <v>0.10666888149822518</v>
      </c>
      <c r="S74" s="14" cm="1">
        <f t="array" ref="S74">BS_Greek("PUT","VEGA",$Q74,$B$1,$B$2,$R$3,S$6)</f>
        <v>0.16201774980597236</v>
      </c>
      <c r="T74" s="14" cm="1">
        <f t="array" ref="T74">BS_Greek("PUT","VEGA",$Q74,$B$1,$B$2,$R$3,T$6)</f>
        <v>0.20298234899889014</v>
      </c>
      <c r="U74" s="14" cm="1">
        <f t="array" ref="U74">BS_Greek("PUT","VEGA",$Q74,$B$1,$B$2,$R$3,U$6)</f>
        <v>0.23685782585692991</v>
      </c>
      <c r="V74" s="14" cm="1">
        <f t="array" ref="V74">BS_Greek("PUT","VEGA",$Q74,$B$1,$B$2,$R$3,V$6)</f>
        <v>0.26630962333356739</v>
      </c>
      <c r="W74" s="14" cm="1">
        <f t="array" ref="W74">BS_Greek("PUT","VEGA",$Q74,$B$1,$B$2,$R$3,W$6)</f>
        <v>0.29266016170947756</v>
      </c>
      <c r="X74" s="14" cm="1">
        <f t="array" ref="X74">BS_Greek("PUT","VEGA",$Q74,$B$1,$B$2,$R$3,X$6)</f>
        <v>0.31667848744818322</v>
      </c>
      <c r="Y74" s="14" cm="1">
        <f t="array" ref="Y74">BS_Greek("PUT","VEGA",$Q74,$B$1,$B$2,$R$3,Y$6)</f>
        <v>0.33885838808772822</v>
      </c>
      <c r="Z74" s="14" cm="1">
        <f t="array" ref="Z74">BS_Greek("PUT","VEGA",$Q74,$B$1,$B$2,$R$3,Z$6)</f>
        <v>0.35953924700853612</v>
      </c>
      <c r="AA74" s="14" cm="1">
        <f t="array" ref="AA74">BS_Greek("PUT","VEGA",$Q74,$B$1,$B$2,$R$3,AA$6)</f>
        <v>0.37896623822327191</v>
      </c>
      <c r="AB74" s="14" cm="1">
        <f t="array" ref="AB74">BS_Greek("PUT","VEGA",$Q74,$B$1,$B$2,$R$3,AB$6)</f>
        <v>0.53087335695806648</v>
      </c>
      <c r="AC74" s="14" cm="1">
        <f t="array" ref="AC74">BS_Greek("PUT","VEGA",$Q74,$B$1,$B$2,$R$3,AC$6)</f>
        <v>0.64090843856534729</v>
      </c>
      <c r="AD74" s="14" cm="1">
        <f t="array" ref="AD74">BS_Greek("PUT","VEGA",$Q74,$B$1,$B$2,$R$3,AD$6)</f>
        <v>0.72861111689327795</v>
      </c>
      <c r="AE74" s="23" cm="1">
        <f t="array" ref="AE74">BS_Greek("PUT","VEGA",$Q74,$B$1,$B$2,$R$3,AE$6)</f>
        <v>0.8016220170593169</v>
      </c>
      <c r="AF74" s="5"/>
      <c r="AG74" s="12">
        <v>95</v>
      </c>
      <c r="AH74" s="22" cm="1">
        <f t="array" ref="AH74">BS_Greek("PUT","VEGA",$AG74,$B$1,$B$2,$AH$3,AH$66)</f>
        <v>3.4693238841801241E-2</v>
      </c>
      <c r="AI74" s="14" cm="1">
        <f t="array" ref="AI74">BS_Greek("PUT","VEGA",$AG74,$B$1,$B$2,$AH$3,AI$66)</f>
        <v>9.4608178373498483E-2</v>
      </c>
      <c r="AJ74" s="14" cm="1">
        <f t="array" ref="AJ74">BS_Greek("PUT","VEGA",$AG74,$B$1,$B$2,$AH$3,AJ$66)</f>
        <v>0.14411356711779721</v>
      </c>
      <c r="AK74" s="14" cm="1">
        <f t="array" ref="AK74">BS_Greek("PUT","VEGA",$AG74,$B$1,$B$2,$AH$3,AK$66)</f>
        <v>0.18547920454659683</v>
      </c>
      <c r="AL74" s="14" cm="1">
        <f t="array" ref="AL74">BS_Greek("PUT","VEGA",$AG74,$B$1,$B$2,$AH$3,AL$66)</f>
        <v>0.22122153003014297</v>
      </c>
      <c r="AM74" s="14" cm="1">
        <f t="array" ref="AM74">BS_Greek("PUT","VEGA",$AG74,$B$1,$B$2,$AH$3,AM$66)</f>
        <v>0.25291422770740374</v>
      </c>
      <c r="AN74" s="14" cm="1">
        <f t="array" ref="AN74">BS_Greek("PUT","VEGA",$AG74,$B$1,$B$2,$AH$3,AN$66)</f>
        <v>0.28155342127741201</v>
      </c>
      <c r="AO74" s="14" cm="1">
        <f t="array" ref="AO74">BS_Greek("PUT","VEGA",$AG74,$B$1,$B$2,$AH$3,AO$66)</f>
        <v>0.30780115974298611</v>
      </c>
      <c r="AP74" s="14" cm="1">
        <f t="array" ref="AP74">BS_Greek("PUT","VEGA",$AG74,$B$1,$B$2,$AH$3,AP$66)</f>
        <v>0.33211834114491312</v>
      </c>
      <c r="AQ74" s="14" cm="1">
        <f t="array" ref="AQ74">BS_Greek("PUT","VEGA",$AG74,$B$1,$B$2,$AH$3,AQ$66)</f>
        <v>0.35483868952949416</v>
      </c>
      <c r="AR74" s="14" cm="1">
        <f t="array" ref="AR74">BS_Greek("PUT","VEGA",$AG74,$B$1,$B$2,$AH$3,AR$66)</f>
        <v>0.5299390140117628</v>
      </c>
      <c r="AS74" s="14" cm="1">
        <f t="array" ref="AS74">BS_Greek("PUT","VEGA",$AG74,$B$1,$B$2,$AH$3,AS$66)</f>
        <v>0.65600571654605955</v>
      </c>
      <c r="AT74" s="14" cm="1">
        <f t="array" ref="AT74">BS_Greek("PUT","VEGA",$AG74,$B$1,$B$2,$AH$3,AT$66)</f>
        <v>0.75727241342456975</v>
      </c>
      <c r="AU74" s="23" cm="1">
        <f t="array" ref="AU74">BS_Greek("PUT","VEGA",$AG74,$B$1,$B$2,$AH$3,AU$66)</f>
        <v>0.84270952755154971</v>
      </c>
    </row>
    <row r="75" spans="1:47" x14ac:dyDescent="0.2">
      <c r="A75" s="12">
        <v>100</v>
      </c>
      <c r="B75" s="22" cm="1">
        <f t="array" ref="B75">BS_Greek("PUT","VEGA",$A75,$B$1,$B$2,$B$3,B$6)</f>
        <v>0.12601477970020519</v>
      </c>
      <c r="C75" s="14" cm="1">
        <f t="array" ref="C75">BS_Greek("PUT","VEGA",$A75,$B$1,$B$2,$B$3,C$6)</f>
        <v>0.1780114349570453</v>
      </c>
      <c r="D75" s="14" cm="1">
        <f t="array" ref="D75">BS_Greek("PUT","VEGA",$A75,$B$1,$B$2,$B$3,D$6)</f>
        <v>0.21777345900985229</v>
      </c>
      <c r="E75" s="14" cm="1">
        <f t="array" ref="E75">BS_Greek("PUT","VEGA",$A75,$B$1,$B$2,$B$3,E$6)</f>
        <v>0.25118039341108511</v>
      </c>
      <c r="F75" s="14" cm="1">
        <f t="array" ref="F75">BS_Greek("PUT","VEGA",$A75,$B$1,$B$2,$B$3,F$6)</f>
        <v>0.28051246304186256</v>
      </c>
      <c r="G75" s="14" cm="1">
        <f t="array" ref="G75">BS_Greek("PUT","VEGA",$A75,$B$1,$B$2,$B$3,G$6)</f>
        <v>0.30694050496199521</v>
      </c>
      <c r="H75" s="14" cm="1">
        <f t="array" ref="H75">BS_Greek("PUT","VEGA",$A75,$B$1,$B$2,$B$3,H$6)</f>
        <v>0.3311608714611029</v>
      </c>
      <c r="I75" s="14" cm="1">
        <f t="array" ref="I75">BS_Greek("PUT","VEGA",$A75,$B$1,$B$2,$B$3,I$6)</f>
        <v>0.35362780796997578</v>
      </c>
      <c r="J75" s="14" cm="1">
        <f t="array" ref="J75">BS_Greek("PUT","VEGA",$A75,$B$1,$B$2,$B$3,J$6)</f>
        <v>0.37465720501521849</v>
      </c>
      <c r="K75" s="14" cm="1">
        <f t="array" ref="K75">BS_Greek("PUT","VEGA",$A75,$B$1,$B$2,$B$3,K$6)</f>
        <v>0.39447933090788895</v>
      </c>
      <c r="L75" s="14" cm="1">
        <f t="array" ref="L75">BS_Greek("PUT","VEGA",$A75,$B$1,$B$2,$B$3,L$6)</f>
        <v>0.55163706332541196</v>
      </c>
      <c r="M75" s="14" cm="1">
        <f t="array" ref="M75">BS_Greek("PUT","VEGA",$A75,$B$1,$B$2,$B$3,M$6)</f>
        <v>0.66805659306916709</v>
      </c>
      <c r="N75" s="14" cm="1">
        <f t="array" ref="N75">BS_Greek("PUT","VEGA",$A75,$B$1,$B$2,$B$3,N$6)</f>
        <v>0.76277563092104816</v>
      </c>
      <c r="O75" s="23" cm="1">
        <f t="array" ref="O75">BS_Greek("PUT","VEGA",$A75,$B$1,$B$2,$B$3,O$6)</f>
        <v>0.84326874401380636</v>
      </c>
      <c r="P75" s="5"/>
      <c r="Q75" s="12">
        <v>100</v>
      </c>
      <c r="R75" s="22" cm="1">
        <f t="array" ref="R75">BS_Greek("PUT","VEGA",$Q75,$B$1,$B$2,$R$3,R$6)</f>
        <v>0.12594479093238514</v>
      </c>
      <c r="S75" s="14" cm="1">
        <f t="array" ref="S75">BS_Greek("PUT","VEGA",$Q75,$B$1,$B$2,$R$3,S$6)</f>
        <v>0.1778137543166752</v>
      </c>
      <c r="T75" s="14" cm="1">
        <f t="array" ref="T75">BS_Greek("PUT","VEGA",$Q75,$B$1,$B$2,$R$3,T$6)</f>
        <v>0.2174108055400083</v>
      </c>
      <c r="U75" s="14" cm="1">
        <f t="array" ref="U75">BS_Greek("PUT","VEGA",$Q75,$B$1,$B$2,$R$3,U$6)</f>
        <v>0.25062283449841155</v>
      </c>
      <c r="V75" s="14" cm="1">
        <f t="array" ref="V75">BS_Greek("PUT","VEGA",$Q75,$B$1,$B$2,$R$3,V$6)</f>
        <v>0.27973434297827998</v>
      </c>
      <c r="W75" s="14" cm="1">
        <f t="array" ref="W75">BS_Greek("PUT","VEGA",$Q75,$B$1,$B$2,$R$3,W$6)</f>
        <v>0.30591907327736617</v>
      </c>
      <c r="X75" s="14" cm="1">
        <f t="array" ref="X75">BS_Greek("PUT","VEGA",$Q75,$B$1,$B$2,$R$3,X$6)</f>
        <v>0.32987552453324304</v>
      </c>
      <c r="Y75" s="14" cm="1">
        <f t="array" ref="Y75">BS_Greek("PUT","VEGA",$Q75,$B$1,$B$2,$R$3,Y$6)</f>
        <v>0.35205961627525989</v>
      </c>
      <c r="Z75" s="14" cm="1">
        <f t="array" ref="Z75">BS_Greek("PUT","VEGA",$Q75,$B$1,$B$2,$R$3,Z$6)</f>
        <v>0.37278859440959361</v>
      </c>
      <c r="AA75" s="14" cm="1">
        <f t="array" ref="AA75">BS_Greek("PUT","VEGA",$Q75,$B$1,$B$2,$R$3,AA$6)</f>
        <v>0.39229385545573259</v>
      </c>
      <c r="AB75" s="14" cm="1">
        <f t="array" ref="AB75">BS_Greek("PUT","VEGA",$Q75,$B$1,$B$2,$R$3,AB$6)</f>
        <v>0.54554168852462226</v>
      </c>
      <c r="AC75" s="14" cm="1">
        <f t="array" ref="AC75">BS_Greek("PUT","VEGA",$Q75,$B$1,$B$2,$R$3,AC$6)</f>
        <v>0.65701458882085051</v>
      </c>
      <c r="AD75" s="14" cm="1">
        <f t="array" ref="AD75">BS_Greek("PUT","VEGA",$Q75,$B$1,$B$2,$R$3,AD$6)</f>
        <v>0.74601201361465708</v>
      </c>
      <c r="AE75" s="23" cm="1">
        <f t="array" ref="AE75">BS_Greek("PUT","VEGA",$Q75,$B$1,$B$2,$R$3,AE$6)</f>
        <v>0.82016695584010779</v>
      </c>
      <c r="AF75" s="5"/>
      <c r="AG75" s="12">
        <v>100</v>
      </c>
      <c r="AH75" s="22" cm="1">
        <f t="array" ref="AH75">BS_Greek("PUT","VEGA",$AG75,$B$1,$B$2,$AH$3,AH$66)</f>
        <v>0.12601477970020519</v>
      </c>
      <c r="AI75" s="14" cm="1">
        <f t="array" ref="AI75">BS_Greek("PUT","VEGA",$AG75,$B$1,$B$2,$AH$3,AI$66)</f>
        <v>0.1780114349570453</v>
      </c>
      <c r="AJ75" s="14" cm="1">
        <f t="array" ref="AJ75">BS_Greek("PUT","VEGA",$AG75,$B$1,$B$2,$AH$3,AJ$66)</f>
        <v>0.21777345900985229</v>
      </c>
      <c r="AK75" s="14" cm="1">
        <f t="array" ref="AK75">BS_Greek("PUT","VEGA",$AG75,$B$1,$B$2,$AH$3,AK$66)</f>
        <v>0.25118039341108511</v>
      </c>
      <c r="AL75" s="14" cm="1">
        <f t="array" ref="AL75">BS_Greek("PUT","VEGA",$AG75,$B$1,$B$2,$AH$3,AL$66)</f>
        <v>0.28051246304186256</v>
      </c>
      <c r="AM75" s="14" cm="1">
        <f t="array" ref="AM75">BS_Greek("PUT","VEGA",$AG75,$B$1,$B$2,$AH$3,AM$66)</f>
        <v>0.30694050496199521</v>
      </c>
      <c r="AN75" s="14" cm="1">
        <f t="array" ref="AN75">BS_Greek("PUT","VEGA",$AG75,$B$1,$B$2,$AH$3,AN$66)</f>
        <v>0.3311608714611029</v>
      </c>
      <c r="AO75" s="14" cm="1">
        <f t="array" ref="AO75">BS_Greek("PUT","VEGA",$AG75,$B$1,$B$2,$AH$3,AO$66)</f>
        <v>0.35362780796997578</v>
      </c>
      <c r="AP75" s="14" cm="1">
        <f t="array" ref="AP75">BS_Greek("PUT","VEGA",$AG75,$B$1,$B$2,$AH$3,AP$66)</f>
        <v>0.37465720501521849</v>
      </c>
      <c r="AQ75" s="14" cm="1">
        <f t="array" ref="AQ75">BS_Greek("PUT","VEGA",$AG75,$B$1,$B$2,$AH$3,AQ$66)</f>
        <v>0.39447933090788895</v>
      </c>
      <c r="AR75" s="14" cm="1">
        <f t="array" ref="AR75">BS_Greek("PUT","VEGA",$AG75,$B$1,$B$2,$AH$3,AR$66)</f>
        <v>0.55163706332541196</v>
      </c>
      <c r="AS75" s="14" cm="1">
        <f t="array" ref="AS75">BS_Greek("PUT","VEGA",$AG75,$B$1,$B$2,$AH$3,AS$66)</f>
        <v>0.66805659306916709</v>
      </c>
      <c r="AT75" s="14" cm="1">
        <f t="array" ref="AT75">BS_Greek("PUT","VEGA",$AG75,$B$1,$B$2,$AH$3,AT$66)</f>
        <v>0.76277563092104828</v>
      </c>
      <c r="AU75" s="23" cm="1">
        <f t="array" ref="AU75">BS_Greek("PUT","VEGA",$AG75,$B$1,$B$2,$AH$3,AU$66)</f>
        <v>0.84326874401380636</v>
      </c>
    </row>
    <row r="76" spans="1:47" x14ac:dyDescent="0.2">
      <c r="A76" s="12">
        <v>105</v>
      </c>
      <c r="B76" s="22" cm="1">
        <f t="array" ref="B76">BS_Greek("PUT","VEGA",$A76,$B$1,$B$2,$B$3,B$6)</f>
        <v>9.4730567005775854E-2</v>
      </c>
      <c r="C76" s="14" cm="1">
        <f t="array" ref="C76">BS_Greek("PUT","VEGA",$A76,$B$1,$B$2,$B$3,C$6)</f>
        <v>0.15528549456541477</v>
      </c>
      <c r="D76" s="14" cm="1">
        <f t="array" ref="D76">BS_Greek("PUT","VEGA",$A76,$B$1,$B$2,$B$3,D$6)</f>
        <v>0.19963011175668893</v>
      </c>
      <c r="E76" s="14" cm="1">
        <f t="array" ref="E76">BS_Greek("PUT","VEGA",$A76,$B$1,$B$2,$B$3,E$6)</f>
        <v>0.2360347210135211</v>
      </c>
      <c r="F76" s="14" cm="1">
        <f t="array" ref="F76">BS_Greek("PUT","VEGA",$A76,$B$1,$B$2,$B$3,F$6)</f>
        <v>0.26754925856393441</v>
      </c>
      <c r="G76" s="14" cm="1">
        <f t="array" ref="G76">BS_Greek("PUT","VEGA",$A76,$B$1,$B$2,$B$3,G$6)</f>
        <v>0.29567419013929408</v>
      </c>
      <c r="H76" s="14" cm="1">
        <f t="array" ref="H76">BS_Greek("PUT","VEGA",$A76,$B$1,$B$2,$B$3,H$6)</f>
        <v>0.32127364650068385</v>
      </c>
      <c r="I76" s="14" cm="1">
        <f t="array" ref="I76">BS_Greek("PUT","VEGA",$A76,$B$1,$B$2,$B$3,I$6)</f>
        <v>0.34489758203526322</v>
      </c>
      <c r="J76" s="14" cm="1">
        <f t="array" ref="J76">BS_Greek("PUT","VEGA",$A76,$B$1,$B$2,$B$3,J$6)</f>
        <v>0.36692108772311305</v>
      </c>
      <c r="K76" s="14" cm="1">
        <f t="array" ref="K76">BS_Greek("PUT","VEGA",$A76,$B$1,$B$2,$B$3,K$6)</f>
        <v>0.38761333572648299</v>
      </c>
      <c r="L76" s="14" cm="1">
        <f t="array" ref="L76">BS_Greek("PUT","VEGA",$A76,$B$1,$B$2,$B$3,L$6)</f>
        <v>0.5501604023542791</v>
      </c>
      <c r="M76" s="14" cm="1">
        <f t="array" ref="M76">BS_Greek("PUT","VEGA",$A76,$B$1,$B$2,$B$3,M$6)</f>
        <v>0.669580745803801</v>
      </c>
      <c r="N76" s="14" cm="1">
        <f t="array" ref="N76">BS_Greek("PUT","VEGA",$A76,$B$1,$B$2,$B$3,N$6)</f>
        <v>0.76641397953105828</v>
      </c>
      <c r="O76" s="23" cm="1">
        <f t="array" ref="O76">BS_Greek("PUT","VEGA",$A76,$B$1,$B$2,$B$3,O$6)</f>
        <v>0.84855257304543275</v>
      </c>
      <c r="P76" s="5"/>
      <c r="Q76" s="12">
        <v>105</v>
      </c>
      <c r="R76" s="22" cm="1">
        <f t="array" ref="R76">BS_Greek("PUT","VEGA",$Q76,$B$1,$B$2,$R$3,R$6)</f>
        <v>0.11245674973430272</v>
      </c>
      <c r="S76" s="14" cm="1">
        <f t="array" ref="S76">BS_Greek("PUT","VEGA",$Q76,$B$1,$B$2,$R$3,S$6)</f>
        <v>0.16962433257069015</v>
      </c>
      <c r="T76" s="14" cm="1">
        <f t="array" ref="T76">BS_Greek("PUT","VEGA",$Q76,$B$1,$B$2,$R$3,T$6)</f>
        <v>0.21201979956829656</v>
      </c>
      <c r="U76" s="14" cm="1">
        <f t="array" ref="U76">BS_Greek("PUT","VEGA",$Q76,$B$1,$B$2,$R$3,U$6)</f>
        <v>0.2471167473923678</v>
      </c>
      <c r="V76" s="14" cm="1">
        <f t="array" ref="V76">BS_Greek("PUT","VEGA",$Q76,$B$1,$B$2,$R$3,V$6)</f>
        <v>0.27765089504983581</v>
      </c>
      <c r="W76" s="14" cm="1">
        <f t="array" ref="W76">BS_Greek("PUT","VEGA",$Q76,$B$1,$B$2,$R$3,W$6)</f>
        <v>0.30498209522504144</v>
      </c>
      <c r="X76" s="14" cm="1">
        <f t="array" ref="X76">BS_Greek("PUT","VEGA",$Q76,$B$1,$B$2,$R$3,X$6)</f>
        <v>0.3299023291202639</v>
      </c>
      <c r="Y76" s="14" cm="1">
        <f t="array" ref="Y76">BS_Greek("PUT","VEGA",$Q76,$B$1,$B$2,$R$3,Y$6)</f>
        <v>0.35292069317520947</v>
      </c>
      <c r="Z76" s="14" cm="1">
        <f t="array" ref="Z76">BS_Greek("PUT","VEGA",$Q76,$B$1,$B$2,$R$3,Z$6)</f>
        <v>0.37438741076876991</v>
      </c>
      <c r="AA76" s="14" cm="1">
        <f t="array" ref="AA76">BS_Greek("PUT","VEGA",$Q76,$B$1,$B$2,$R$3,AA$6)</f>
        <v>0.39455567305177858</v>
      </c>
      <c r="AB76" s="14" cm="1">
        <f t="array" ref="AB76">BS_Greek("PUT","VEGA",$Q76,$B$1,$B$2,$R$3,AB$6)</f>
        <v>0.55232725998867294</v>
      </c>
      <c r="AC76" s="14" cm="1">
        <f t="array" ref="AC76">BS_Greek("PUT","VEGA",$Q76,$B$1,$B$2,$R$3,AC$6)</f>
        <v>0.66665447263519584</v>
      </c>
      <c r="AD76" s="14" cm="1">
        <f t="array" ref="AD76">BS_Greek("PUT","VEGA",$Q76,$B$1,$B$2,$R$3,AD$6)</f>
        <v>0.75779237344430017</v>
      </c>
      <c r="AE76" s="23" cm="1">
        <f t="array" ref="AE76">BS_Greek("PUT","VEGA",$Q76,$B$1,$B$2,$R$3,AE$6)</f>
        <v>0.83366938178088834</v>
      </c>
      <c r="AF76" s="5"/>
      <c r="AG76" s="12">
        <v>105</v>
      </c>
      <c r="AH76" s="22" cm="1">
        <f t="array" ref="AH76">BS_Greek("PUT","VEGA",$AG76,$B$1,$B$2,$AH$3,AH$66)</f>
        <v>3.7403491562746784E-2</v>
      </c>
      <c r="AI76" s="14" cm="1">
        <f t="array" ref="AI76">BS_Greek("PUT","VEGA",$AG76,$B$1,$B$2,$AH$3,AI$66)</f>
        <v>9.5806705523719587E-2</v>
      </c>
      <c r="AJ76" s="14" cm="1">
        <f t="array" ref="AJ76">BS_Greek("PUT","VEGA",$AG76,$B$1,$B$2,$AH$3,AJ$66)</f>
        <v>0.14292407924672715</v>
      </c>
      <c r="AK76" s="14" cm="1">
        <f t="array" ref="AK76">BS_Greek("PUT","VEGA",$AG76,$B$1,$B$2,$AH$3,AK$66)</f>
        <v>0.18203815041877494</v>
      </c>
      <c r="AL76" s="14" cm="1">
        <f t="array" ref="AL76">BS_Greek("PUT","VEGA",$AG76,$B$1,$B$2,$AH$3,AL$66)</f>
        <v>0.2157618086402236</v>
      </c>
      <c r="AM76" s="14" cm="1">
        <f t="array" ref="AM76">BS_Greek("PUT","VEGA",$AG76,$B$1,$B$2,$AH$3,AM$66)</f>
        <v>0.24564453432089614</v>
      </c>
      <c r="AN76" s="14" cm="1">
        <f t="array" ref="AN76">BS_Greek("PUT","VEGA",$AG76,$B$1,$B$2,$AH$3,AN$66)</f>
        <v>0.27264617640732547</v>
      </c>
      <c r="AO76" s="14" cm="1">
        <f t="array" ref="AO76">BS_Greek("PUT","VEGA",$AG76,$B$1,$B$2,$AH$3,AO$66)</f>
        <v>0.29739757516778265</v>
      </c>
      <c r="AP76" s="14" cm="1">
        <f t="array" ref="AP76">BS_Greek("PUT","VEGA",$AG76,$B$1,$B$2,$AH$3,AP$66)</f>
        <v>0.32033505994229872</v>
      </c>
      <c r="AQ76" s="14" cm="1">
        <f t="array" ref="AQ76">BS_Greek("PUT","VEGA",$AG76,$B$1,$B$2,$AH$3,AQ$66)</f>
        <v>0.34177330202865702</v>
      </c>
      <c r="AR76" s="14" cm="1">
        <f t="array" ref="AR76">BS_Greek("PUT","VEGA",$AG76,$B$1,$B$2,$AH$3,AR$66)</f>
        <v>0.5072394859703554</v>
      </c>
      <c r="AS76" s="14" cm="1">
        <f t="array" ref="AS76">BS_Greek("PUT","VEGA",$AG76,$B$1,$B$2,$AH$3,AS$66)</f>
        <v>0.62659671715556564</v>
      </c>
      <c r="AT76" s="14" cm="1">
        <f t="array" ref="AT76">BS_Greek("PUT","VEGA",$AG76,$B$1,$B$2,$AH$3,AT$66)</f>
        <v>0.72256894624086909</v>
      </c>
      <c r="AU76" s="23" cm="1">
        <f t="array" ref="AU76">BS_Greek("PUT","VEGA",$AG76,$B$1,$B$2,$AH$3,AU$66)</f>
        <v>0.8035872917870398</v>
      </c>
    </row>
    <row r="77" spans="1:47" x14ac:dyDescent="0.2">
      <c r="A77" s="12">
        <v>110</v>
      </c>
      <c r="B77" s="22" cm="1">
        <f t="array" ref="B77">BS_Greek("PUT","VEGA",$A77,$B$1,$B$2,$B$3,B$6)</f>
        <v>4.1459744625109485E-2</v>
      </c>
      <c r="C77" s="14" cm="1">
        <f t="array" ref="C77">BS_Greek("PUT","VEGA",$A77,$B$1,$B$2,$B$3,C$6)</f>
        <v>0.10332955422391688</v>
      </c>
      <c r="D77" s="14" cm="1">
        <f t="array" ref="D77">BS_Greek("PUT","VEGA",$A77,$B$1,$B$2,$B$3,D$6)</f>
        <v>0.15274679608962338</v>
      </c>
      <c r="E77" s="14" cm="1">
        <f t="array" ref="E77">BS_Greek("PUT","VEGA",$A77,$B$1,$B$2,$B$3,E$6)</f>
        <v>0.19366366629160026</v>
      </c>
      <c r="F77" s="14" cm="1">
        <f t="array" ref="F77">BS_Greek("PUT","VEGA",$A77,$B$1,$B$2,$B$3,F$6)</f>
        <v>0.22891366897286511</v>
      </c>
      <c r="G77" s="14" cm="1">
        <f t="array" ref="G77">BS_Greek("PUT","VEGA",$A77,$B$1,$B$2,$B$3,G$6)</f>
        <v>0.26014283512817948</v>
      </c>
      <c r="H77" s="14" cm="1">
        <f t="array" ref="H77">BS_Greek("PUT","VEGA",$A77,$B$1,$B$2,$B$3,H$6)</f>
        <v>0.28836210247206256</v>
      </c>
      <c r="I77" s="14" cm="1">
        <f t="array" ref="I77">BS_Greek("PUT","VEGA",$A77,$B$1,$B$2,$B$3,I$6)</f>
        <v>0.31423293448931328</v>
      </c>
      <c r="J77" s="14" cm="1">
        <f t="array" ref="J77">BS_Greek("PUT","VEGA",$A77,$B$1,$B$2,$B$3,J$6)</f>
        <v>0.33821167077407693</v>
      </c>
      <c r="K77" s="14" cm="1">
        <f t="array" ref="K77">BS_Greek("PUT","VEGA",$A77,$B$1,$B$2,$B$3,K$6)</f>
        <v>0.36062690186445989</v>
      </c>
      <c r="L77" s="14" cm="1">
        <f t="array" ref="L77">BS_Greek("PUT","VEGA",$A77,$B$1,$B$2,$B$3,L$6)</f>
        <v>0.53375807389774843</v>
      </c>
      <c r="M77" s="14" cm="1">
        <f t="array" ref="M77">BS_Greek("PUT","VEGA",$A77,$B$1,$B$2,$B$3,M$6)</f>
        <v>0.658754089959111</v>
      </c>
      <c r="N77" s="14" cm="1">
        <f t="array" ref="N77">BS_Greek("PUT","VEGA",$A77,$B$1,$B$2,$B$3,N$6)</f>
        <v>0.75930525448770614</v>
      </c>
      <c r="O77" s="23" cm="1">
        <f t="array" ref="O77">BS_Greek("PUT","VEGA",$A77,$B$1,$B$2,$B$3,O$6)</f>
        <v>0.84421159741338547</v>
      </c>
      <c r="P77" s="5"/>
      <c r="Q77" s="12">
        <v>110</v>
      </c>
      <c r="R77" s="22" cm="1">
        <f t="array" ref="R77">BS_Greek("PUT","VEGA",$Q77,$B$1,$B$2,$R$3,R$6)</f>
        <v>7.8904665626496825E-2</v>
      </c>
      <c r="S77" s="14" cm="1">
        <f t="array" ref="S77">BS_Greek("PUT","VEGA",$Q77,$B$1,$B$2,$R$3,S$6)</f>
        <v>0.14337557290741063</v>
      </c>
      <c r="T77" s="14" cm="1">
        <f t="array" ref="T77">BS_Greek("PUT","VEGA",$Q77,$B$1,$B$2,$R$3,T$6)</f>
        <v>0.19068654650481343</v>
      </c>
      <c r="U77" s="14" cm="1">
        <f t="array" ref="U77">BS_Greek("PUT","VEGA",$Q77,$B$1,$B$2,$R$3,U$6)</f>
        <v>0.22925780102263243</v>
      </c>
      <c r="V77" s="14" cm="1">
        <f t="array" ref="V77">BS_Greek("PUT","VEGA",$Q77,$B$1,$B$2,$R$3,V$6)</f>
        <v>0.26242669261937368</v>
      </c>
      <c r="W77" s="14" cm="1">
        <f t="array" ref="W77">BS_Greek("PUT","VEGA",$Q77,$B$1,$B$2,$R$3,W$6)</f>
        <v>0.29186001251802374</v>
      </c>
      <c r="X77" s="14" cm="1">
        <f t="array" ref="X77">BS_Greek("PUT","VEGA",$Q77,$B$1,$B$2,$R$3,X$6)</f>
        <v>0.31851990708534011</v>
      </c>
      <c r="Y77" s="14" cm="1">
        <f t="array" ref="Y77">BS_Greek("PUT","VEGA",$Q77,$B$1,$B$2,$R$3,Y$6)</f>
        <v>0.34301770068622467</v>
      </c>
      <c r="Z77" s="14" cm="1">
        <f t="array" ref="Z77">BS_Greek("PUT","VEGA",$Q77,$B$1,$B$2,$R$3,Z$6)</f>
        <v>0.36576911327852019</v>
      </c>
      <c r="AA77" s="14" cm="1">
        <f t="array" ref="AA77">BS_Greek("PUT","VEGA",$Q77,$B$1,$B$2,$R$3,AA$6)</f>
        <v>0.38707149777283795</v>
      </c>
      <c r="AB77" s="14" cm="1">
        <f t="array" ref="AB77">BS_Greek("PUT","VEGA",$Q77,$B$1,$B$2,$R$3,AB$6)</f>
        <v>0.55203468373902709</v>
      </c>
      <c r="AC77" s="14" cm="1">
        <f t="array" ref="AC77">BS_Greek("PUT","VEGA",$Q77,$B$1,$B$2,$R$3,AC$6)</f>
        <v>0.6704499236841015</v>
      </c>
      <c r="AD77" s="14" cm="1">
        <f t="array" ref="AD77">BS_Greek("PUT","VEGA",$Q77,$B$1,$B$2,$R$3,AD$6)</f>
        <v>0.7644755668303399</v>
      </c>
      <c r="AE77" s="23" cm="1">
        <f t="array" ref="AE77">BS_Greek("PUT","VEGA",$Q77,$B$1,$B$2,$R$3,AE$6)</f>
        <v>0.84258928010075762</v>
      </c>
      <c r="AF77" s="5"/>
      <c r="AG77" s="12">
        <v>110</v>
      </c>
      <c r="AH77" s="22" cm="1">
        <f t="array" ref="AH77">BS_Greek("PUT","VEGA",$AG77,$B$1,$B$2,$AH$3,AH$66)</f>
        <v>1.2798321316875713E-3</v>
      </c>
      <c r="AI77" s="14" cm="1">
        <f t="array" ref="AI77">BS_Greek("PUT","VEGA",$AG77,$B$1,$B$2,$AH$3,AI$66)</f>
        <v>1.7517232418946857E-2</v>
      </c>
      <c r="AJ77" s="14" cm="1">
        <f t="array" ref="AJ77">BS_Greek("PUT","VEGA",$AG77,$B$1,$B$2,$AH$3,AJ$66)</f>
        <v>4.5686150128548209E-2</v>
      </c>
      <c r="AK77" s="14" cm="1">
        <f t="array" ref="AK77">BS_Greek("PUT","VEGA",$AG77,$B$1,$B$2,$AH$3,AK$66)</f>
        <v>7.6938968689493709E-2</v>
      </c>
      <c r="AL77" s="14" cm="1">
        <f t="array" ref="AL77">BS_Greek("PUT","VEGA",$AG77,$B$1,$B$2,$AH$3,AL$66)</f>
        <v>0.10783044375026943</v>
      </c>
      <c r="AM77" s="14" cm="1">
        <f t="array" ref="AM77">BS_Greek("PUT","VEGA",$AG77,$B$1,$B$2,$AH$3,AM$66)</f>
        <v>0.13727638643411783</v>
      </c>
      <c r="AN77" s="14" cm="1">
        <f t="array" ref="AN77">BS_Greek("PUT","VEGA",$AG77,$B$1,$B$2,$AH$3,AN$66)</f>
        <v>0.16502382731650939</v>
      </c>
      <c r="AO77" s="14" cm="1">
        <f t="array" ref="AO77">BS_Greek("PUT","VEGA",$AG77,$B$1,$B$2,$AH$3,AO$66)</f>
        <v>0.19110786021475307</v>
      </c>
      <c r="AP77" s="14" cm="1">
        <f t="array" ref="AP77">BS_Greek("PUT","VEGA",$AG77,$B$1,$B$2,$AH$3,AP$66)</f>
        <v>0.21565675444124369</v>
      </c>
      <c r="AQ77" s="14" cm="1">
        <f t="array" ref="AQ77">BS_Greek("PUT","VEGA",$AG77,$B$1,$B$2,$AH$3,AQ$66)</f>
        <v>0.23882000168449916</v>
      </c>
      <c r="AR77" s="14" cm="1">
        <f t="array" ref="AR77">BS_Greek("PUT","VEGA",$AG77,$B$1,$B$2,$AH$3,AR$66)</f>
        <v>0.41911044907526823</v>
      </c>
      <c r="AS77" s="14" cm="1">
        <f t="array" ref="AS77">BS_Greek("PUT","VEGA",$AG77,$B$1,$B$2,$AH$3,AS$66)</f>
        <v>0.54747527123167761</v>
      </c>
      <c r="AT77" s="14" cm="1">
        <f t="array" ref="AT77">BS_Greek("PUT","VEGA",$AG77,$B$1,$B$2,$AH$3,AT$66)</f>
        <v>0.64921143972907114</v>
      </c>
      <c r="AU77" s="23" cm="1">
        <f t="array" ref="AU77">BS_Greek("PUT","VEGA",$AG77,$B$1,$B$2,$AH$3,AU$66)</f>
        <v>0.73420648836426439</v>
      </c>
    </row>
    <row r="78" spans="1:47" x14ac:dyDescent="0.2">
      <c r="A78" s="12">
        <v>115</v>
      </c>
      <c r="B78" s="22" cm="1">
        <f t="array" ref="B78">BS_Greek("PUT","VEGA",$A78,$B$1,$B$2,$B$3,B$6)</f>
        <v>1.1355073152064601E-2</v>
      </c>
      <c r="C78" s="14" cm="1">
        <f t="array" ref="C78">BS_Greek("PUT","VEGA",$A78,$B$1,$B$2,$B$3,C$6)</f>
        <v>5.4377515022381848E-2</v>
      </c>
      <c r="D78" s="14" cm="1">
        <f t="array" ref="D78">BS_Greek("PUT","VEGA",$A78,$B$1,$B$2,$B$3,D$6)</f>
        <v>9.9933417595957988E-2</v>
      </c>
      <c r="E78" s="14" cm="1">
        <f t="array" ref="E78">BS_Greek("PUT","VEGA",$A78,$B$1,$B$2,$B$3,E$6)</f>
        <v>0.14127284601816148</v>
      </c>
      <c r="F78" s="14" cm="1">
        <f t="array" ref="F78">BS_Greek("PUT","VEGA",$A78,$B$1,$B$2,$B$3,F$6)</f>
        <v>0.17825651843380041</v>
      </c>
      <c r="G78" s="14" cm="1">
        <f t="array" ref="G78">BS_Greek("PUT","VEGA",$A78,$B$1,$B$2,$B$3,G$6)</f>
        <v>0.21158960540408661</v>
      </c>
      <c r="H78" s="14" cm="1">
        <f t="array" ref="H78">BS_Greek("PUT","VEGA",$A78,$B$1,$B$2,$B$3,H$6)</f>
        <v>0.24195071188978151</v>
      </c>
      <c r="I78" s="14" cm="1">
        <f t="array" ref="I78">BS_Greek("PUT","VEGA",$A78,$B$1,$B$2,$B$3,I$6)</f>
        <v>0.2698796374360215</v>
      </c>
      <c r="J78" s="14" cm="1">
        <f t="array" ref="J78">BS_Greek("PUT","VEGA",$A78,$B$1,$B$2,$B$3,J$6)</f>
        <v>0.29579147918734405</v>
      </c>
      <c r="K78" s="14" cm="1">
        <f t="array" ref="K78">BS_Greek("PUT","VEGA",$A78,$B$1,$B$2,$B$3,K$6)</f>
        <v>0.32000599329500923</v>
      </c>
      <c r="L78" s="14" cm="1">
        <f t="array" ref="L78">BS_Greek("PUT","VEGA",$A78,$B$1,$B$2,$B$3,L$6)</f>
        <v>0.50560061959578539</v>
      </c>
      <c r="M78" s="14" cm="1">
        <f t="array" ref="M78">BS_Greek("PUT","VEGA",$A78,$B$1,$B$2,$B$3,M$6)</f>
        <v>0.63773587385453712</v>
      </c>
      <c r="N78" s="14" cm="1">
        <f t="array" ref="N78">BS_Greek("PUT","VEGA",$A78,$B$1,$B$2,$B$3,N$6)</f>
        <v>0.74312371276717004</v>
      </c>
      <c r="O78" s="23" cm="1">
        <f t="array" ref="O78">BS_Greek("PUT","VEGA",$A78,$B$1,$B$2,$B$3,O$6)</f>
        <v>0.83163420463033955</v>
      </c>
      <c r="P78" s="5"/>
      <c r="Q78" s="12">
        <v>115</v>
      </c>
      <c r="R78" s="22" cm="1">
        <f t="array" ref="R78">BS_Greek("PUT","VEGA",$Q78,$B$1,$B$2,$R$3,R$6)</f>
        <v>4.4925546239266929E-2</v>
      </c>
      <c r="S78" s="14" cm="1">
        <f t="array" ref="S78">BS_Greek("PUT","VEGA",$Q78,$B$1,$B$2,$R$3,S$6)</f>
        <v>0.10912500779394536</v>
      </c>
      <c r="T78" s="14" cm="1">
        <f t="array" ref="T78">BS_Greek("PUT","VEGA",$Q78,$B$1,$B$2,$R$3,T$6)</f>
        <v>0.1598779807314763</v>
      </c>
      <c r="U78" s="14" cm="1">
        <f t="array" ref="U78">BS_Greek("PUT","VEGA",$Q78,$B$1,$B$2,$R$3,U$6)</f>
        <v>0.20174485287319666</v>
      </c>
      <c r="V78" s="14" cm="1">
        <f t="array" ref="V78">BS_Greek("PUT","VEGA",$Q78,$B$1,$B$2,$R$3,V$6)</f>
        <v>0.23773448946649212</v>
      </c>
      <c r="W78" s="14" cm="1">
        <f t="array" ref="W78">BS_Greek("PUT","VEGA",$Q78,$B$1,$B$2,$R$3,W$6)</f>
        <v>0.2695644874512334</v>
      </c>
      <c r="X78" s="14" cm="1">
        <f t="array" ref="X78">BS_Greek("PUT","VEGA",$Q78,$B$1,$B$2,$R$3,X$6)</f>
        <v>0.29828227300311022</v>
      </c>
      <c r="Y78" s="14" cm="1">
        <f t="array" ref="Y78">BS_Greek("PUT","VEGA",$Q78,$B$1,$B$2,$R$3,Y$6)</f>
        <v>0.3245708269894787</v>
      </c>
      <c r="Z78" s="14" cm="1">
        <f t="array" ref="Z78">BS_Greek("PUT","VEGA",$Q78,$B$1,$B$2,$R$3,Z$6)</f>
        <v>0.34890050929444222</v>
      </c>
      <c r="AA78" s="14" cm="1">
        <f t="array" ref="AA78">BS_Greek("PUT","VEGA",$Q78,$B$1,$B$2,$R$3,AA$6)</f>
        <v>0.37160972039984985</v>
      </c>
      <c r="AB78" s="14" cm="1">
        <f t="array" ref="AB78">BS_Greek("PUT","VEGA",$Q78,$B$1,$B$2,$R$3,AB$6)</f>
        <v>0.54559211011452069</v>
      </c>
      <c r="AC78" s="14" cm="1">
        <f t="array" ref="AC78">BS_Greek("PUT","VEGA",$Q78,$B$1,$B$2,$R$3,AC$6)</f>
        <v>0.66906761646336721</v>
      </c>
      <c r="AD78" s="14" cm="1">
        <f t="array" ref="AD78">BS_Greek("PUT","VEGA",$Q78,$B$1,$B$2,$R$3,AD$6)</f>
        <v>0.76659899934282538</v>
      </c>
      <c r="AE78" s="23" cm="1">
        <f t="array" ref="AE78">BS_Greek("PUT","VEGA",$Q78,$B$1,$B$2,$R$3,AE$6)</f>
        <v>0.84738574187741245</v>
      </c>
      <c r="AF78" s="5"/>
      <c r="AG78" s="12">
        <v>115</v>
      </c>
      <c r="AH78" s="22" cm="1">
        <f t="array" ref="AH78">BS_Greek("PUT","VEGA",$AG78,$B$1,$B$2,$AH$3,AH$66)</f>
        <v>6.7367205338682614E-6</v>
      </c>
      <c r="AI78" s="14" cm="1">
        <f t="array" ref="AI78">BS_Greek("PUT","VEGA",$AG78,$B$1,$B$2,$AH$3,AI$66)</f>
        <v>1.2568601723670415E-3</v>
      </c>
      <c r="AJ78" s="14" cm="1">
        <f t="array" ref="AJ78">BS_Greek("PUT","VEGA",$AG78,$B$1,$B$2,$AH$3,AJ$66)</f>
        <v>7.8303531906443388E-3</v>
      </c>
      <c r="AK78" s="14" cm="1">
        <f t="array" ref="AK78">BS_Greek("PUT","VEGA",$AG78,$B$1,$B$2,$AH$3,AK$66)</f>
        <v>2.0381249613524027E-2</v>
      </c>
      <c r="AL78" s="14" cm="1">
        <f t="array" ref="AL78">BS_Greek("PUT","VEGA",$AG78,$B$1,$B$2,$AH$3,AL$66)</f>
        <v>3.709184487135108E-2</v>
      </c>
      <c r="AM78" s="14" cm="1">
        <f t="array" ref="AM78">BS_Greek("PUT","VEGA",$AG78,$B$1,$B$2,$AH$3,AM$66)</f>
        <v>5.620409306957521E-2</v>
      </c>
      <c r="AN78" s="14" cm="1">
        <f t="array" ref="AN78">BS_Greek("PUT","VEGA",$AG78,$B$1,$B$2,$AH$3,AN$66)</f>
        <v>7.6514510849957473E-2</v>
      </c>
      <c r="AO78" s="14" cm="1">
        <f t="array" ref="AO78">BS_Greek("PUT","VEGA",$AG78,$B$1,$B$2,$AH$3,AO$66)</f>
        <v>9.7273487048199256E-2</v>
      </c>
      <c r="AP78" s="14" cm="1">
        <f t="array" ref="AP78">BS_Greek("PUT","VEGA",$AG78,$B$1,$B$2,$AH$3,AP$66)</f>
        <v>0.11803032678147579</v>
      </c>
      <c r="AQ78" s="14" cm="1">
        <f t="array" ref="AQ78">BS_Greek("PUT","VEGA",$AG78,$B$1,$B$2,$AH$3,AQ$66)</f>
        <v>0.13852014243074293</v>
      </c>
      <c r="AR78" s="14" cm="1">
        <f t="array" ref="AR78">BS_Greek("PUT","VEGA",$AG78,$B$1,$B$2,$AH$3,AR$66)</f>
        <v>0.31566273567519071</v>
      </c>
      <c r="AS78" s="14" cm="1">
        <f t="array" ref="AS78">BS_Greek("PUT","VEGA",$AG78,$B$1,$B$2,$AH$3,AS$66)</f>
        <v>0.44985946919602909</v>
      </c>
      <c r="AT78" s="14" cm="1">
        <f t="array" ref="AT78">BS_Greek("PUT","VEGA",$AG78,$B$1,$B$2,$AH$3,AT$66)</f>
        <v>0.55719510030463626</v>
      </c>
      <c r="AU78" s="23" cm="1">
        <f t="array" ref="AU78">BS_Greek("PUT","VEGA",$AG78,$B$1,$B$2,$AH$3,AU$66)</f>
        <v>0.64682173138278298</v>
      </c>
    </row>
    <row r="79" spans="1:47" x14ac:dyDescent="0.2">
      <c r="A79" s="12">
        <v>120</v>
      </c>
      <c r="B79" s="22" cm="1">
        <f t="array" ref="B79">BS_Greek("PUT","VEGA",$A79,$B$1,$B$2,$B$3,B$6)</f>
        <v>2.0685250757256838E-3</v>
      </c>
      <c r="C79" s="14" cm="1">
        <f t="array" ref="C79">BS_Greek("PUT","VEGA",$A79,$B$1,$B$2,$B$3,C$6)</f>
        <v>2.3332711412433971E-2</v>
      </c>
      <c r="D79" s="14" cm="1">
        <f t="array" ref="D79">BS_Greek("PUT","VEGA",$A79,$B$1,$B$2,$B$3,D$6)</f>
        <v>5.7053408088958327E-2</v>
      </c>
      <c r="E79" s="14" cm="1">
        <f t="array" ref="E79">BS_Greek("PUT","VEGA",$A79,$B$1,$B$2,$B$3,E$6)</f>
        <v>9.3034075502440541E-2</v>
      </c>
      <c r="F79" s="14" cm="1">
        <f t="array" ref="F79">BS_Greek("PUT","VEGA",$A79,$B$1,$B$2,$B$3,F$6)</f>
        <v>0.12788990708238193</v>
      </c>
      <c r="G79" s="14" cm="1">
        <f t="array" ref="G79">BS_Greek("PUT","VEGA",$A79,$B$1,$B$2,$B$3,G$6)</f>
        <v>0.16072749659884919</v>
      </c>
      <c r="H79" s="14" cm="1">
        <f t="array" ref="H79">BS_Greek("PUT","VEGA",$A79,$B$1,$B$2,$B$3,H$6)</f>
        <v>0.19144349454685666</v>
      </c>
      <c r="I79" s="14" cm="1">
        <f t="array" ref="I79">BS_Greek("PUT","VEGA",$A79,$B$1,$B$2,$B$3,I$6)</f>
        <v>0.22017713675499853</v>
      </c>
      <c r="J79" s="14" cm="1">
        <f t="array" ref="J79">BS_Greek("PUT","VEGA",$A79,$B$1,$B$2,$B$3,J$6)</f>
        <v>0.24712869597243461</v>
      </c>
      <c r="K79" s="14" cm="1">
        <f t="array" ref="K79">BS_Greek("PUT","VEGA",$A79,$B$1,$B$2,$B$3,K$6)</f>
        <v>0.27249840451049845</v>
      </c>
      <c r="L79" s="14" cm="1">
        <f t="array" ref="L79">BS_Greek("PUT","VEGA",$A79,$B$1,$B$2,$B$3,L$6)</f>
        <v>0.46905195347320522</v>
      </c>
      <c r="M79" s="14" cm="1">
        <f t="array" ref="M79">BS_Greek("PUT","VEGA",$A79,$B$1,$B$2,$B$3,M$6)</f>
        <v>0.60877484538879079</v>
      </c>
      <c r="N79" s="14" cm="1">
        <f t="array" ref="N79">BS_Greek("PUT","VEGA",$A79,$B$1,$B$2,$B$3,N$6)</f>
        <v>0.71957857026067118</v>
      </c>
      <c r="O79" s="23" cm="1">
        <f t="array" ref="O79">BS_Greek("PUT","VEGA",$A79,$B$1,$B$2,$B$3,O$6)</f>
        <v>0.81221348325030684</v>
      </c>
      <c r="P79" s="5"/>
      <c r="Q79" s="12">
        <v>120</v>
      </c>
      <c r="R79" s="22" cm="1">
        <f t="array" ref="R79">BS_Greek("PUT","VEGA",$Q79,$B$1,$B$2,$R$3,R$6)</f>
        <v>2.1327896525065605E-2</v>
      </c>
      <c r="S79" s="14" cm="1">
        <f t="array" ref="S79">BS_Greek("PUT","VEGA",$Q79,$B$1,$B$2,$R$3,S$6)</f>
        <v>7.5813336945485379E-2</v>
      </c>
      <c r="T79" s="14" cm="1">
        <f t="array" ref="T79">BS_Greek("PUT","VEGA",$Q79,$B$1,$B$2,$R$3,T$6)</f>
        <v>0.12610496950196404</v>
      </c>
      <c r="U79" s="14" cm="1">
        <f t="array" ref="U79">BS_Greek("PUT","VEGA",$Q79,$B$1,$B$2,$R$3,U$6)</f>
        <v>0.16955364143103455</v>
      </c>
      <c r="V79" s="14" cm="1">
        <f t="array" ref="V79">BS_Greek("PUT","VEGA",$Q79,$B$1,$B$2,$R$3,V$6)</f>
        <v>0.20755515123786619</v>
      </c>
      <c r="W79" s="14" cm="1">
        <f t="array" ref="W79">BS_Greek("PUT","VEGA",$Q79,$B$1,$B$2,$R$3,W$6)</f>
        <v>0.2413950979277403</v>
      </c>
      <c r="X79" s="14" cm="1">
        <f t="array" ref="X79">BS_Greek("PUT","VEGA",$Q79,$B$1,$B$2,$R$3,X$6)</f>
        <v>0.27199931861420884</v>
      </c>
      <c r="Y79" s="14" cm="1">
        <f t="array" ref="Y79">BS_Greek("PUT","VEGA",$Q79,$B$1,$B$2,$R$3,Y$6)</f>
        <v>0.30002386856514912</v>
      </c>
      <c r="Z79" s="14" cm="1">
        <f t="array" ref="Z79">BS_Greek("PUT","VEGA",$Q79,$B$1,$B$2,$R$3,Z$6)</f>
        <v>0.32594284085625297</v>
      </c>
      <c r="AA79" s="14" cm="1">
        <f t="array" ref="AA79">BS_Greek("PUT","VEGA",$Q79,$B$1,$B$2,$R$3,AA$6)</f>
        <v>0.35010774918133886</v>
      </c>
      <c r="AB79" s="14" cm="1">
        <f t="array" ref="AB79">BS_Greek("PUT","VEGA",$Q79,$B$1,$B$2,$R$3,AB$6)</f>
        <v>0.53397313281358616</v>
      </c>
      <c r="AC79" s="14" cm="1">
        <f t="array" ref="AC79">BS_Greek("PUT","VEGA",$Q79,$B$1,$B$2,$R$3,AC$6)</f>
        <v>0.66318326233497216</v>
      </c>
      <c r="AD79" s="14" cm="1">
        <f t="array" ref="AD79">BS_Greek("PUT","VEGA",$Q79,$B$1,$B$2,$R$3,AD$6)</f>
        <v>0.76469439302491626</v>
      </c>
      <c r="AE79" s="23" cm="1">
        <f t="array" ref="AE79">BS_Greek("PUT","VEGA",$Q79,$B$1,$B$2,$R$3,AE$6)</f>
        <v>0.84850513852620746</v>
      </c>
      <c r="AF79" s="5"/>
      <c r="AG79" s="12">
        <v>120</v>
      </c>
      <c r="AH79" s="22" cm="1">
        <f t="array" ref="AH79">BS_Greek("PUT","VEGA",$AG79,$B$1,$B$2,$AH$3,AH$66)</f>
        <v>6.9599615016725047E-9</v>
      </c>
      <c r="AI79" s="14" cm="1">
        <f t="array" ref="AI79">BS_Greek("PUT","VEGA",$AG79,$B$1,$B$2,$AH$3,AI$66)</f>
        <v>3.9971023224294199E-5</v>
      </c>
      <c r="AJ79" s="14" cm="1">
        <f t="array" ref="AJ79">BS_Greek("PUT","VEGA",$AG79,$B$1,$B$2,$AH$3,AJ$66)</f>
        <v>7.8044023598122856E-4</v>
      </c>
      <c r="AK79" s="14" cm="1">
        <f t="array" ref="AK79">BS_Greek("PUT","VEGA",$AG79,$B$1,$B$2,$AH$3,AK$66)</f>
        <v>3.5961608377988131E-3</v>
      </c>
      <c r="AL79" s="14" cm="1">
        <f t="array" ref="AL79">BS_Greek("PUT","VEGA",$AG79,$B$1,$B$2,$AH$3,AL$66)</f>
        <v>9.2196988092317321E-3</v>
      </c>
      <c r="AM79" s="14" cm="1">
        <f t="array" ref="AM79">BS_Greek("PUT","VEGA",$AG79,$B$1,$B$2,$AH$3,AM$66)</f>
        <v>1.7556027112756591E-2</v>
      </c>
      <c r="AN79" s="14" cm="1">
        <f t="array" ref="AN79">BS_Greek("PUT","VEGA",$AG79,$B$1,$B$2,$AH$3,AN$66)</f>
        <v>2.8136724172845171E-2</v>
      </c>
      <c r="AO79" s="14" cm="1">
        <f t="array" ref="AO79">BS_Greek("PUT","VEGA",$AG79,$B$1,$B$2,$AH$3,AO$66)</f>
        <v>4.0427583513910757E-2</v>
      </c>
      <c r="AP79" s="14" cm="1">
        <f t="array" ref="AP79">BS_Greek("PUT","VEGA",$AG79,$B$1,$B$2,$AH$3,AP$66)</f>
        <v>5.3953369730765102E-2</v>
      </c>
      <c r="AQ79" s="14" cm="1">
        <f t="array" ref="AQ79">BS_Greek("PUT","VEGA",$AG79,$B$1,$B$2,$AH$3,AQ$66)</f>
        <v>6.8329969593104792E-2</v>
      </c>
      <c r="AR79" s="14" cm="1">
        <f t="array" ref="AR79">BS_Greek("PUT","VEGA",$AG79,$B$1,$B$2,$AH$3,AR$66)</f>
        <v>0.21935705841356859</v>
      </c>
      <c r="AS79" s="14" cm="1">
        <f t="array" ref="AS79">BS_Greek("PUT","VEGA",$AG79,$B$1,$B$2,$AH$3,AS$66)</f>
        <v>0.35044120413266605</v>
      </c>
      <c r="AT79" s="14" cm="1">
        <f t="array" ref="AT79">BS_Greek("PUT","VEGA",$AG79,$B$1,$B$2,$AH$3,AT$66)</f>
        <v>0.45956885215668847</v>
      </c>
      <c r="AU79" s="23" cm="1">
        <f t="array" ref="AU79">BS_Greek("PUT","VEGA",$AG79,$B$1,$B$2,$AH$3,AU$66)</f>
        <v>0.55209129543356328</v>
      </c>
    </row>
    <row r="80" spans="1:47" x14ac:dyDescent="0.2">
      <c r="A80" s="12">
        <v>125</v>
      </c>
      <c r="B80" s="22" cm="1">
        <f t="array" ref="B80">BS_Greek("PUT","VEGA",$A80,$B$1,$B$2,$B$3,B$6)</f>
        <v>2.6396322770578433E-4</v>
      </c>
      <c r="C80" s="14" cm="1">
        <f t="array" ref="C80">BS_Greek("PUT","VEGA",$A80,$B$1,$B$2,$B$3,C$6)</f>
        <v>8.3776579671249966E-3</v>
      </c>
      <c r="D80" s="14" cm="1">
        <f t="array" ref="D80">BS_Greek("PUT","VEGA",$A80,$B$1,$B$2,$B$3,D$6)</f>
        <v>2.8919931949563497E-2</v>
      </c>
      <c r="E80" s="14" cm="1">
        <f t="array" ref="E80">BS_Greek("PUT","VEGA",$A80,$B$1,$B$2,$B$3,E$6)</f>
        <v>5.6032093638267749E-2</v>
      </c>
      <c r="F80" s="14" cm="1">
        <f t="array" ref="F80">BS_Greek("PUT","VEGA",$A80,$B$1,$B$2,$B$3,F$6)</f>
        <v>8.5419800594485493E-2</v>
      </c>
      <c r="G80" s="14" cm="1">
        <f t="array" ref="G80">BS_Greek("PUT","VEGA",$A80,$B$1,$B$2,$B$3,G$6)</f>
        <v>0.11501755031066585</v>
      </c>
      <c r="H80" s="14" cm="1">
        <f t="array" ref="H80">BS_Greek("PUT","VEGA",$A80,$B$1,$B$2,$B$3,H$6)</f>
        <v>0.14391583547437295</v>
      </c>
      <c r="I80" s="14" cm="1">
        <f t="array" ref="I80">BS_Greek("PUT","VEGA",$A80,$B$1,$B$2,$B$3,I$6)</f>
        <v>0.17174563874605031</v>
      </c>
      <c r="J80" s="14" cm="1">
        <f t="array" ref="J80">BS_Greek("PUT","VEGA",$A80,$B$1,$B$2,$B$3,J$6)</f>
        <v>0.19838851664708948</v>
      </c>
      <c r="K80" s="14" cm="1">
        <f t="array" ref="K80">BS_Greek("PUT","VEGA",$A80,$B$1,$B$2,$B$3,K$6)</f>
        <v>0.22384180561821135</v>
      </c>
      <c r="L80" s="14" cm="1">
        <f t="array" ref="L80">BS_Greek("PUT","VEGA",$A80,$B$1,$B$2,$B$3,L$6)</f>
        <v>0.42729288686192146</v>
      </c>
      <c r="M80" s="14" cm="1">
        <f t="array" ref="M80">BS_Greek("PUT","VEGA",$A80,$B$1,$B$2,$B$3,M$6)</f>
        <v>0.57403350128173725</v>
      </c>
      <c r="N80" s="14" cm="1">
        <f t="array" ref="N80">BS_Greek("PUT","VEGA",$A80,$B$1,$B$2,$B$3,N$6)</f>
        <v>0.69031398866778304</v>
      </c>
      <c r="O80" s="23" cm="1">
        <f t="array" ref="O80">BS_Greek("PUT","VEGA",$A80,$B$1,$B$2,$B$3,O$6)</f>
        <v>0.78728394585688899</v>
      </c>
      <c r="P80" s="5"/>
      <c r="Q80" s="12">
        <v>125</v>
      </c>
      <c r="R80" s="22" cm="1">
        <f t="array" ref="R80">BS_Greek("PUT","VEGA",$Q80,$B$1,$B$2,$R$3,R$6)</f>
        <v>8.6394717581212612E-3</v>
      </c>
      <c r="S80" s="14" cm="1">
        <f t="array" ref="S80">BS_Greek("PUT","VEGA",$Q80,$B$1,$B$2,$R$3,S$6)</f>
        <v>4.8636515735941702E-2</v>
      </c>
      <c r="T80" s="14" cm="1">
        <f t="array" ref="T80">BS_Greek("PUT","VEGA",$Q80,$B$1,$B$2,$R$3,T$6)</f>
        <v>9.4299256777715612E-2</v>
      </c>
      <c r="U80" s="14" cm="1">
        <f t="array" ref="U80">BS_Greek("PUT","VEGA",$Q80,$B$1,$B$2,$R$3,U$6)</f>
        <v>0.13688718821788132</v>
      </c>
      <c r="V80" s="14" cm="1">
        <f t="array" ref="V80">BS_Greek("PUT","VEGA",$Q80,$B$1,$B$2,$R$3,V$6)</f>
        <v>0.17545145159162673</v>
      </c>
      <c r="W80" s="14" cm="1">
        <f t="array" ref="W80">BS_Greek("PUT","VEGA",$Q80,$B$1,$B$2,$R$3,W$6)</f>
        <v>0.21040872318836001</v>
      </c>
      <c r="X80" s="14" cm="1">
        <f t="array" ref="X80">BS_Greek("PUT","VEGA",$Q80,$B$1,$B$2,$R$3,X$6)</f>
        <v>0.24233244905687773</v>
      </c>
      <c r="Y80" s="14" cm="1">
        <f t="array" ref="Y80">BS_Greek("PUT","VEGA",$Q80,$B$1,$B$2,$R$3,Y$6)</f>
        <v>0.27172581972973991</v>
      </c>
      <c r="Z80" s="14" cm="1">
        <f t="array" ref="Z80">BS_Greek("PUT","VEGA",$Q80,$B$1,$B$2,$R$3,Z$6)</f>
        <v>0.29899446559453879</v>
      </c>
      <c r="AA80" s="14" cm="1">
        <f t="array" ref="AA80">BS_Greek("PUT","VEGA",$Q80,$B$1,$B$2,$R$3,AA$6)</f>
        <v>0.32445965964527135</v>
      </c>
      <c r="AB80" s="14" cm="1">
        <f t="array" ref="AB80">BS_Greek("PUT","VEGA",$Q80,$B$1,$B$2,$R$3,AB$6)</f>
        <v>0.51813885189910802</v>
      </c>
      <c r="AC80" s="14" cm="1">
        <f t="array" ref="AC80">BS_Greek("PUT","VEGA",$Q80,$B$1,$B$2,$R$3,AC$6)</f>
        <v>0.65345582257987478</v>
      </c>
      <c r="AD80" s="14" cm="1">
        <f t="array" ref="AD80">BS_Greek("PUT","VEGA",$Q80,$B$1,$B$2,$R$3,AD$6)</f>
        <v>0.75927402432728752</v>
      </c>
      <c r="AE80" s="23" cm="1">
        <f t="array" ref="AE80">BS_Greek("PUT","VEGA",$Q80,$B$1,$B$2,$R$3,AE$6)</f>
        <v>0.84637317449963989</v>
      </c>
      <c r="AF80" s="5"/>
      <c r="AG80" s="12">
        <v>125</v>
      </c>
      <c r="AH80" s="22" cm="1">
        <f t="array" ref="AH80">BS_Greek("PUT","VEGA",$AG80,$B$1,$B$2,$AH$3,AH$66)</f>
        <v>1.735978122671637E-12</v>
      </c>
      <c r="AI80" s="14" cm="1">
        <f t="array" ref="AI80">BS_Greek("PUT","VEGA",$AG80,$B$1,$B$2,$AH$3,AI$66)</f>
        <v>6.2485864027086943E-7</v>
      </c>
      <c r="AJ80" s="14" cm="1">
        <f t="array" ref="AJ80">BS_Greek("PUT","VEGA",$AG80,$B$1,$B$2,$AH$3,AJ$66)</f>
        <v>4.8462877771001518E-5</v>
      </c>
      <c r="AK80" s="14" cm="1">
        <f t="array" ref="AK80">BS_Greek("PUT","VEGA",$AG80,$B$1,$B$2,$AH$3,AK$66)</f>
        <v>4.4506677252410988E-4</v>
      </c>
      <c r="AL80" s="14" cm="1">
        <f t="array" ref="AL80">BS_Greek("PUT","VEGA",$AG80,$B$1,$B$2,$AH$3,AL$66)</f>
        <v>1.7258883967674482E-3</v>
      </c>
      <c r="AM80" s="14" cm="1">
        <f t="array" ref="AM80">BS_Greek("PUT","VEGA",$AG80,$B$1,$B$2,$AH$3,AM$66)</f>
        <v>4.3304080862080164E-3</v>
      </c>
      <c r="AN80" s="14" cm="1">
        <f t="array" ref="AN80">BS_Greek("PUT","VEGA",$AG80,$B$1,$B$2,$AH$3,AN$66)</f>
        <v>8.4518593867206771E-3</v>
      </c>
      <c r="AO80" s="14" cm="1">
        <f t="array" ref="AO80">BS_Greek("PUT","VEGA",$AG80,$B$1,$B$2,$AH$3,AO$66)</f>
        <v>1.4077924238848249E-2</v>
      </c>
      <c r="AP80" s="14" cm="1">
        <f t="array" ref="AP80">BS_Greek("PUT","VEGA",$AG80,$B$1,$B$2,$AH$3,AP$66)</f>
        <v>2.1076516585977947E-2</v>
      </c>
      <c r="AQ80" s="14" cm="1">
        <f t="array" ref="AQ80">BS_Greek("PUT","VEGA",$AG80,$B$1,$B$2,$AH$3,AQ$66)</f>
        <v>2.9263550912716776E-2</v>
      </c>
      <c r="AR80" s="14" cm="1">
        <f t="array" ref="AR80">BS_Greek("PUT","VEGA",$AG80,$B$1,$B$2,$AH$3,AR$66)</f>
        <v>0.14209451688873281</v>
      </c>
      <c r="AS80" s="14" cm="1">
        <f t="array" ref="AS80">BS_Greek("PUT","VEGA",$AG80,$B$1,$B$2,$AH$3,AS$66)</f>
        <v>0.26058185632494107</v>
      </c>
      <c r="AT80" s="14" cm="1">
        <f t="array" ref="AT80">BS_Greek("PUT","VEGA",$AG80,$B$1,$B$2,$AH$3,AT$66)</f>
        <v>0.36612657044838831</v>
      </c>
      <c r="AU80" s="23" cm="1">
        <f t="array" ref="AU80">BS_Greek("PUT","VEGA",$AG80,$B$1,$B$2,$AH$3,AU$66)</f>
        <v>0.45841893964826835</v>
      </c>
    </row>
    <row r="81" spans="1:54" x14ac:dyDescent="0.2">
      <c r="A81" s="12">
        <v>130</v>
      </c>
      <c r="B81" s="22" cm="1">
        <f t="array" ref="B81">BS_Greek("PUT","VEGA",$A81,$B$1,$B$2,$B$3,B$6)</f>
        <v>2.4664615253611665E-5</v>
      </c>
      <c r="C81" s="14" cm="1">
        <f t="array" ref="C81">BS_Greek("PUT","VEGA",$A81,$B$1,$B$2,$B$3,C$6)</f>
        <v>2.5734589818730601E-3</v>
      </c>
      <c r="D81" s="14" cm="1">
        <f t="array" ref="D81">BS_Greek("PUT","VEGA",$A81,$B$1,$B$2,$B$3,D$6)</f>
        <v>1.3209299733984305E-2</v>
      </c>
      <c r="E81" s="14" cm="1">
        <f t="array" ref="E81">BS_Greek("PUT","VEGA",$A81,$B$1,$B$2,$B$3,E$6)</f>
        <v>3.1207812645797247E-2</v>
      </c>
      <c r="F81" s="14" cm="1">
        <f t="array" ref="F81">BS_Greek("PUT","VEGA",$A81,$B$1,$B$2,$B$3,F$6)</f>
        <v>5.3588475727461456E-2</v>
      </c>
      <c r="G81" s="14" cm="1">
        <f t="array" ref="G81">BS_Greek("PUT","VEGA",$A81,$B$1,$B$2,$B$3,G$6)</f>
        <v>7.8115019427058494E-2</v>
      </c>
      <c r="H81" s="14" cm="1">
        <f t="array" ref="H81">BS_Greek("PUT","VEGA",$A81,$B$1,$B$2,$B$3,H$6)</f>
        <v>0.1034407289521341</v>
      </c>
      <c r="I81" s="14" cm="1">
        <f t="array" ref="I81">BS_Greek("PUT","VEGA",$A81,$B$1,$B$2,$B$3,I$6)</f>
        <v>0.12880363658795951</v>
      </c>
      <c r="J81" s="14" cm="1">
        <f t="array" ref="J81">BS_Greek("PUT","VEGA",$A81,$B$1,$B$2,$B$3,J$6)</f>
        <v>0.15378580943041786</v>
      </c>
      <c r="K81" s="14" cm="1">
        <f t="array" ref="K81">BS_Greek("PUT","VEGA",$A81,$B$1,$B$2,$B$3,K$6)</f>
        <v>0.17816680549913186</v>
      </c>
      <c r="L81" s="14" cm="1">
        <f t="array" ref="L81">BS_Greek("PUT","VEGA",$A81,$B$1,$B$2,$B$3,L$6)</f>
        <v>0.38308718744736653</v>
      </c>
      <c r="M81" s="14" cm="1">
        <f t="array" ref="M81">BS_Greek("PUT","VEGA",$A81,$B$1,$B$2,$B$3,M$6)</f>
        <v>0.53547351271025079</v>
      </c>
      <c r="N81" s="14" cm="1">
        <f t="array" ref="N81">BS_Greek("PUT","VEGA",$A81,$B$1,$B$2,$B$3,N$6)</f>
        <v>0.65684337427013217</v>
      </c>
      <c r="O81" s="23" cm="1">
        <f t="array" ref="O81">BS_Greek("PUT","VEGA",$A81,$B$1,$B$2,$B$3,O$6)</f>
        <v>0.75808024938338048</v>
      </c>
      <c r="P81" s="5"/>
      <c r="Q81" s="12">
        <v>130</v>
      </c>
      <c r="R81" s="22" cm="1">
        <f t="array" ref="R81">BS_Greek("PUT","VEGA",$Q81,$B$1,$B$2,$R$3,R$6)</f>
        <v>3.0456280025937242E-3</v>
      </c>
      <c r="S81" s="14" cm="1">
        <f t="array" ref="S81">BS_Greek("PUT","VEGA",$Q81,$B$1,$B$2,$R$3,S$6)</f>
        <v>2.9098414567491456E-2</v>
      </c>
      <c r="T81" s="14" cm="1">
        <f t="array" ref="T81">BS_Greek("PUT","VEGA",$Q81,$B$1,$B$2,$R$3,T$6)</f>
        <v>6.7295735384344496E-2</v>
      </c>
      <c r="U81" s="14" cm="1">
        <f t="array" ref="U81">BS_Greek("PUT","VEGA",$Q81,$B$1,$B$2,$R$3,U$6)</f>
        <v>0.10669112068562889</v>
      </c>
      <c r="V81" s="14" cm="1">
        <f t="array" ref="V81">BS_Greek("PUT","VEGA",$Q81,$B$1,$B$2,$R$3,V$6)</f>
        <v>0.1441763943815362</v>
      </c>
      <c r="W81" s="14" cm="1">
        <f t="array" ref="W81">BS_Greek("PUT","VEGA",$Q81,$B$1,$B$2,$R$3,W$6)</f>
        <v>0.17910817795815684</v>
      </c>
      <c r="X81" s="14" cm="1">
        <f t="array" ref="X81">BS_Greek("PUT","VEGA",$Q81,$B$1,$B$2,$R$3,X$6)</f>
        <v>0.21154470571896186</v>
      </c>
      <c r="Y81" s="14" cm="1">
        <f t="array" ref="Y81">BS_Greek("PUT","VEGA",$Q81,$B$1,$B$2,$R$3,Y$6)</f>
        <v>0.24172728981926178</v>
      </c>
      <c r="Z81" s="14" cm="1">
        <f t="array" ref="Z81">BS_Greek("PUT","VEGA",$Q81,$B$1,$B$2,$R$3,Z$6)</f>
        <v>0.26992241961759356</v>
      </c>
      <c r="AA81" s="14" cm="1">
        <f t="array" ref="AA81">BS_Greek("PUT","VEGA",$Q81,$B$1,$B$2,$R$3,AA$6)</f>
        <v>0.29637484768584299</v>
      </c>
      <c r="AB81" s="14" cm="1">
        <f t="array" ref="AB81">BS_Greek("PUT","VEGA",$Q81,$B$1,$B$2,$R$3,AB$6)</f>
        <v>0.49899766616306857</v>
      </c>
      <c r="AC81" s="14" cm="1">
        <f t="array" ref="AC81">BS_Greek("PUT","VEGA",$Q81,$B$1,$B$2,$R$3,AC$6)</f>
        <v>0.64050987256156366</v>
      </c>
      <c r="AD81" s="14" cm="1">
        <f t="array" ref="AD81">BS_Greek("PUT","VEGA",$Q81,$B$1,$B$2,$R$3,AD$6)</f>
        <v>0.7508216007760149</v>
      </c>
      <c r="AE81" s="23" cm="1">
        <f t="array" ref="AE81">BS_Greek("PUT","VEGA",$Q81,$B$1,$B$2,$R$3,AE$6)</f>
        <v>0.84138986871529842</v>
      </c>
      <c r="AF81" s="5"/>
      <c r="AG81" s="12">
        <v>130</v>
      </c>
      <c r="AH81" s="22" cm="1">
        <f t="array" ref="AH81">BS_Greek("PUT","VEGA",$AG81,$B$1,$B$2,$AH$3,AH$66)</f>
        <v>1.2477221902307327E-16</v>
      </c>
      <c r="AI81" s="14" cm="1">
        <f t="array" ref="AI81">BS_Greek("PUT","VEGA",$AG81,$B$1,$B$2,$AH$3,AI$66)</f>
        <v>5.2457823818334002E-9</v>
      </c>
      <c r="AJ81" s="14" cm="1">
        <f t="array" ref="AJ81">BS_Greek("PUT","VEGA",$AG81,$B$1,$B$2,$AH$3,AJ$66)</f>
        <v>1.9887917206308637E-6</v>
      </c>
      <c r="AK81" s="14" cm="1">
        <f t="array" ref="AK81">BS_Greek("PUT","VEGA",$AG81,$B$1,$B$2,$AH$3,AK$66)</f>
        <v>4.038137314557552E-5</v>
      </c>
      <c r="AL81" s="14" cm="1">
        <f t="array" ref="AL81">BS_Greek("PUT","VEGA",$AG81,$B$1,$B$2,$AH$3,AL$66)</f>
        <v>2.5206590353609034E-4</v>
      </c>
      <c r="AM81" s="14" cm="1">
        <f t="array" ref="AM81">BS_Greek("PUT","VEGA",$AG81,$B$1,$B$2,$AH$3,AM$66)</f>
        <v>8.6868143918896563E-4</v>
      </c>
      <c r="AN81" s="14" cm="1">
        <f t="array" ref="AN81">BS_Greek("PUT","VEGA",$AG81,$B$1,$B$2,$AH$3,AN$66)</f>
        <v>2.1268370180966027E-3</v>
      </c>
      <c r="AO81" s="14" cm="1">
        <f t="array" ref="AO81">BS_Greek("PUT","VEGA",$AG81,$B$1,$B$2,$AH$3,AO$66)</f>
        <v>4.1991195969349748E-3</v>
      </c>
      <c r="AP81" s="14" cm="1">
        <f t="array" ref="AP81">BS_Greek("PUT","VEGA",$AG81,$B$1,$B$2,$AH$3,AP$66)</f>
        <v>7.1754270940931385E-3</v>
      </c>
      <c r="AQ81" s="14" cm="1">
        <f t="array" ref="AQ81">BS_Greek("PUT","VEGA",$AG81,$B$1,$B$2,$AH$3,AQ$66)</f>
        <v>1.1074379087941755E-2</v>
      </c>
      <c r="AR81" s="14" cm="1">
        <f t="array" ref="AR81">BS_Greek("PUT","VEGA",$AG81,$B$1,$B$2,$AH$3,AR$66)</f>
        <v>8.6559585117731042E-2</v>
      </c>
      <c r="AS81" s="14" cm="1">
        <f t="array" ref="AS81">BS_Greek("PUT","VEGA",$AG81,$B$1,$B$2,$AH$3,AS$66)</f>
        <v>0.18603608061799032</v>
      </c>
      <c r="AT81" s="14" cm="1">
        <f t="array" ref="AT81">BS_Greek("PUT","VEGA",$AG81,$B$1,$B$2,$AH$3,AT$66)</f>
        <v>0.28297093897443343</v>
      </c>
      <c r="AU81" s="23" cm="1">
        <f t="array" ref="AU81">BS_Greek("PUT","VEGA",$AG81,$B$1,$B$2,$AH$3,AU$66)</f>
        <v>0.37157602890379687</v>
      </c>
    </row>
    <row r="82" spans="1:54" x14ac:dyDescent="0.2">
      <c r="A82" s="12">
        <v>135</v>
      </c>
      <c r="B82" s="22" cm="1">
        <f t="array" ref="B82">BS_Greek("PUT","VEGA",$A82,$B$1,$B$2,$B$3,B$6)</f>
        <v>1.7530109023145037E-6</v>
      </c>
      <c r="C82" s="14" cm="1">
        <f t="array" ref="C82">BS_Greek("PUT","VEGA",$A82,$B$1,$B$2,$B$3,C$6)</f>
        <v>6.89320490541164E-4</v>
      </c>
      <c r="D82" s="14" cm="1">
        <f t="array" ref="D82">BS_Greek("PUT","VEGA",$A82,$B$1,$B$2,$B$3,D$6)</f>
        <v>5.5061531676659147E-3</v>
      </c>
      <c r="E82" s="14" cm="1">
        <f t="array" ref="E82">BS_Greek("PUT","VEGA",$A82,$B$1,$B$2,$B$3,E$6)</f>
        <v>1.6227966445448341E-2</v>
      </c>
      <c r="F82" s="14" cm="1">
        <f t="array" ref="F82">BS_Greek("PUT","VEGA",$A82,$B$1,$B$2,$B$3,F$6)</f>
        <v>3.1819367439192565E-2</v>
      </c>
      <c r="G82" s="14" cm="1">
        <f t="array" ref="G82">BS_Greek("PUT","VEGA",$A82,$B$1,$B$2,$B$3,G$6)</f>
        <v>5.0671947233936789E-2</v>
      </c>
      <c r="H82" s="14" cm="1">
        <f t="array" ref="H82">BS_Greek("PUT","VEGA",$A82,$B$1,$B$2,$B$3,H$6)</f>
        <v>7.1476357882319846E-2</v>
      </c>
      <c r="I82" s="14" cm="1">
        <f t="array" ref="I82">BS_Greek("PUT","VEGA",$A82,$B$1,$B$2,$B$3,I$6)</f>
        <v>9.3320554875542944E-2</v>
      </c>
      <c r="J82" s="14" cm="1">
        <f t="array" ref="J82">BS_Greek("PUT","VEGA",$A82,$B$1,$B$2,$B$3,J$6)</f>
        <v>0.11560345928134989</v>
      </c>
      <c r="K82" s="14" cm="1">
        <f t="array" ref="K82">BS_Greek("PUT","VEGA",$A82,$B$1,$B$2,$B$3,K$6)</f>
        <v>0.13793855243276576</v>
      </c>
      <c r="L82" s="14" cm="1">
        <f t="array" ref="L82">BS_Greek("PUT","VEGA",$A82,$B$1,$B$2,$B$3,L$6)</f>
        <v>0.33866932678137174</v>
      </c>
      <c r="M82" s="14" cm="1">
        <f t="array" ref="M82">BS_Greek("PUT","VEGA",$A82,$B$1,$B$2,$B$3,M$6)</f>
        <v>0.4947920194343377</v>
      </c>
      <c r="N82" s="14" cm="1">
        <f t="array" ref="N82">BS_Greek("PUT","VEGA",$A82,$B$1,$B$2,$B$3,N$6)</f>
        <v>0.62051137062691952</v>
      </c>
      <c r="O82" s="23" cm="1">
        <f t="array" ref="O82">BS_Greek("PUT","VEGA",$A82,$B$1,$B$2,$B$3,O$6)</f>
        <v>0.72571322803396554</v>
      </c>
      <c r="P82" s="5"/>
      <c r="Q82" s="12">
        <v>135</v>
      </c>
      <c r="R82" s="22" cm="1">
        <f t="array" ref="R82">BS_Greek("PUT","VEGA",$Q82,$B$1,$B$2,$R$3,R$6)</f>
        <v>9.503394546450289E-4</v>
      </c>
      <c r="S82" s="14" cm="1">
        <f t="array" ref="S82">BS_Greek("PUT","VEGA",$Q82,$B$1,$B$2,$R$3,S$6)</f>
        <v>1.6374094930515438E-2</v>
      </c>
      <c r="T82" s="14" cm="1">
        <f t="array" ref="T82">BS_Greek("PUT","VEGA",$Q82,$B$1,$B$2,$R$3,T$6)</f>
        <v>4.6093272696781741E-2</v>
      </c>
      <c r="U82" s="14" cm="1">
        <f t="array" ref="U82">BS_Greek("PUT","VEGA",$Q82,$B$1,$B$2,$R$3,U$6)</f>
        <v>8.062306246902104E-2</v>
      </c>
      <c r="V82" s="14" cm="1">
        <f t="array" ref="V82">BS_Greek("PUT","VEGA",$Q82,$B$1,$B$2,$R$3,V$6)</f>
        <v>0.11556698455080512</v>
      </c>
      <c r="W82" s="14" cm="1">
        <f t="array" ref="W82">BS_Greek("PUT","VEGA",$Q82,$B$1,$B$2,$R$3,W$6)</f>
        <v>0.14932325285649342</v>
      </c>
      <c r="X82" s="14" cm="1">
        <f t="array" ref="X82">BS_Greek("PUT","VEGA",$Q82,$B$1,$B$2,$R$3,X$6)</f>
        <v>0.18138808755412683</v>
      </c>
      <c r="Y82" s="14" cm="1">
        <f t="array" ref="Y82">BS_Greek("PUT","VEGA",$Q82,$B$1,$B$2,$R$3,Y$6)</f>
        <v>0.21167921445105367</v>
      </c>
      <c r="Z82" s="14" cm="1">
        <f t="array" ref="Z82">BS_Greek("PUT","VEGA",$Q82,$B$1,$B$2,$R$3,Z$6)</f>
        <v>0.24027301202528753</v>
      </c>
      <c r="AA82" s="14" cm="1">
        <f t="array" ref="AA82">BS_Greek("PUT","VEGA",$Q82,$B$1,$B$2,$R$3,AA$6)</f>
        <v>0.26729952054680561</v>
      </c>
      <c r="AB82" s="14" cm="1">
        <f t="array" ref="AB82">BS_Greek("PUT","VEGA",$Q82,$B$1,$B$2,$R$3,AB$6)</f>
        <v>0.47737971160509768</v>
      </c>
      <c r="AC82" s="14" cm="1">
        <f t="array" ref="AC82">BS_Greek("PUT","VEGA",$Q82,$B$1,$B$2,$R$3,AC$6)</f>
        <v>0.6249243886103204</v>
      </c>
      <c r="AD82" s="14" cm="1">
        <f t="array" ref="AD82">BS_Greek("PUT","VEGA",$Q82,$B$1,$B$2,$R$3,AD$6)</f>
        <v>0.73978667680739463</v>
      </c>
      <c r="AE82" s="23" cm="1">
        <f t="array" ref="AE82">BS_Greek("PUT","VEGA",$Q82,$B$1,$B$2,$R$3,AE$6)</f>
        <v>0.83392671372802984</v>
      </c>
      <c r="AF82" s="5"/>
      <c r="AG82" s="12">
        <v>135</v>
      </c>
      <c r="AH82" s="22" cm="1">
        <f t="array" ref="AH82">BS_Greek("PUT","VEGA",$AG82,$B$1,$B$2,$AH$3,AH$66)</f>
        <v>3.0086617304103602E-21</v>
      </c>
      <c r="AI82" s="14" cm="1">
        <f t="array" ref="AI82">BS_Greek("PUT","VEGA",$AG82,$B$1,$B$2,$AH$3,AI$66)</f>
        <v>2.551763362376573E-11</v>
      </c>
      <c r="AJ82" s="14" cm="1">
        <f t="array" ref="AJ82">BS_Greek("PUT","VEGA",$AG82,$B$1,$B$2,$AH$3,AJ$66)</f>
        <v>5.6738474150032412E-8</v>
      </c>
      <c r="AK82" s="14" cm="1">
        <f t="array" ref="AK82">BS_Greek("PUT","VEGA",$AG82,$B$1,$B$2,$AH$3,AK$66)</f>
        <v>2.7899636340967845E-6</v>
      </c>
      <c r="AL82" s="14" cm="1">
        <f t="array" ref="AL82">BS_Greek("PUT","VEGA",$AG82,$B$1,$B$2,$AH$3,AL$66)</f>
        <v>2.9607997104108362E-5</v>
      </c>
      <c r="AM82" s="14" cm="1">
        <f t="array" ref="AM82">BS_Greek("PUT","VEGA",$AG82,$B$1,$B$2,$AH$3,AM$66)</f>
        <v>1.4534734818581386E-4</v>
      </c>
      <c r="AN82" s="14" cm="1">
        <f t="array" ref="AN82">BS_Greek("PUT","VEGA",$AG82,$B$1,$B$2,$AH$3,AN$66)</f>
        <v>4.5817559828766936E-4</v>
      </c>
      <c r="AO82" s="14" cm="1">
        <f t="array" ref="AO82">BS_Greek("PUT","VEGA",$AG82,$B$1,$B$2,$AH$3,AO$66)</f>
        <v>1.0933755800638381E-3</v>
      </c>
      <c r="AP82" s="14" cm="1">
        <f t="array" ref="AP82">BS_Greek("PUT","VEGA",$AG82,$B$1,$B$2,$AH$3,AP$66)</f>
        <v>2.1651121661498728E-3</v>
      </c>
      <c r="AQ82" s="14" cm="1">
        <f t="array" ref="AQ82">BS_Greek("PUT","VEGA",$AG82,$B$1,$B$2,$AH$3,AQ$66)</f>
        <v>3.7598389688949102E-3</v>
      </c>
      <c r="AR82" s="14" cm="1">
        <f t="array" ref="AR82">BS_Greek("PUT","VEGA",$AG82,$B$1,$B$2,$AH$3,AR$66)</f>
        <v>4.9962307922047977E-2</v>
      </c>
      <c r="AS82" s="14" cm="1">
        <f t="array" ref="AS82">BS_Greek("PUT","VEGA",$AG82,$B$1,$B$2,$AH$3,AS$66)</f>
        <v>0.12815935968047903</v>
      </c>
      <c r="AT82" s="14" cm="1">
        <f t="array" ref="AT82">BS_Greek("PUT","VEGA",$AG82,$B$1,$B$2,$AH$3,AT$66)</f>
        <v>0.21296483325512208</v>
      </c>
      <c r="AU82" s="23" cm="1">
        <f t="array" ref="AU82">BS_Greek("PUT","VEGA",$AG82,$B$1,$B$2,$AH$3,AU$66)</f>
        <v>0.29489098382107909</v>
      </c>
    </row>
    <row r="83" spans="1:54" x14ac:dyDescent="0.2">
      <c r="A83" s="12">
        <v>140</v>
      </c>
      <c r="B83" s="24" cm="1">
        <f t="array" ref="B83">BS_Greek("PUT","VEGA",$A83,$B$1,$B$2,$B$3,B$6)</f>
        <v>9.7937749170318661E-8</v>
      </c>
      <c r="C83" s="25" cm="1">
        <f t="array" ref="C83">BS_Greek("PUT","VEGA",$A83,$B$1,$B$2,$B$3,C$6)</f>
        <v>1.6367344465552193E-4</v>
      </c>
      <c r="D83" s="25" cm="1">
        <f t="array" ref="D83">BS_Greek("PUT","VEGA",$A83,$B$1,$B$2,$B$3,D$6)</f>
        <v>2.1177230646577411E-3</v>
      </c>
      <c r="E83" s="25" cm="1">
        <f t="array" ref="E83">BS_Greek("PUT","VEGA",$A83,$B$1,$B$2,$B$3,E$6)</f>
        <v>7.9435914841497826E-3</v>
      </c>
      <c r="F83" s="25" cm="1">
        <f t="array" ref="F83">BS_Greek("PUT","VEGA",$A83,$B$1,$B$2,$B$3,F$6)</f>
        <v>1.8000455519786449E-2</v>
      </c>
      <c r="G83" s="25" cm="1">
        <f t="array" ref="G83">BS_Greek("PUT","VEGA",$A83,$B$1,$B$2,$B$3,G$6)</f>
        <v>3.1568381504252202E-2</v>
      </c>
      <c r="H83" s="25" cm="1">
        <f t="array" ref="H83">BS_Greek("PUT","VEGA",$A83,$B$1,$B$2,$B$3,H$6)</f>
        <v>4.7705729750376957E-2</v>
      </c>
      <c r="I83" s="25" cm="1">
        <f t="array" ref="I83">BS_Greek("PUT","VEGA",$A83,$B$1,$B$2,$B$3,I$6)</f>
        <v>6.5588544899120943E-2</v>
      </c>
      <c r="J83" s="25" cm="1">
        <f t="array" ref="J83">BS_Greek("PUT","VEGA",$A83,$B$1,$B$2,$B$3,J$6)</f>
        <v>8.4581782621465387E-2</v>
      </c>
      <c r="K83" s="25" cm="1">
        <f t="array" ref="K83">BS_Greek("PUT","VEGA",$A83,$B$1,$B$2,$B$3,K$6)</f>
        <v>0.10422116521119737</v>
      </c>
      <c r="L83" s="25" cm="1">
        <f t="array" ref="L83">BS_Greek("PUT","VEGA",$A83,$B$1,$B$2,$B$3,L$6)</f>
        <v>0.29572311895113684</v>
      </c>
      <c r="M83" s="25" cm="1">
        <f t="array" ref="M83">BS_Greek("PUT","VEGA",$A83,$B$1,$B$2,$B$3,M$6)</f>
        <v>0.45339683503257278</v>
      </c>
      <c r="N83" s="25" cm="1">
        <f t="array" ref="N83">BS_Greek("PUT","VEGA",$A83,$B$1,$B$2,$B$3,N$6)</f>
        <v>0.58247693709726123</v>
      </c>
      <c r="O83" s="26" cm="1">
        <f t="array" ref="O83">BS_Greek("PUT","VEGA",$A83,$B$1,$B$2,$B$3,O$6)</f>
        <v>0.69115896371880392</v>
      </c>
      <c r="P83" s="5"/>
      <c r="Q83" s="12">
        <v>140</v>
      </c>
      <c r="R83" s="24" cm="1">
        <f t="array" ref="R83">BS_Greek("PUT","VEGA",$Q83,$B$1,$B$2,$R$3,R$6)</f>
        <v>2.6634878733576296E-4</v>
      </c>
      <c r="S83" s="25" cm="1">
        <f t="array" ref="S83">BS_Greek("PUT","VEGA",$Q83,$B$1,$B$2,$R$3,S$6)</f>
        <v>8.7300030082944954E-3</v>
      </c>
      <c r="T83" s="25" cm="1">
        <f t="array" ref="T83">BS_Greek("PUT","VEGA",$Q83,$B$1,$B$2,$R$3,T$6)</f>
        <v>3.0450166811718984E-2</v>
      </c>
      <c r="U83" s="25" cm="1">
        <f t="array" ref="U83">BS_Greek("PUT","VEGA",$Q83,$B$1,$B$2,$R$3,U$6)</f>
        <v>5.9286927376384885E-2</v>
      </c>
      <c r="V83" s="25" cm="1">
        <f t="array" ref="V83">BS_Greek("PUT","VEGA",$Q83,$B$1,$B$2,$R$3,V$6)</f>
        <v>9.0627906162675978E-2</v>
      </c>
      <c r="W83" s="25" cm="1">
        <f t="array" ref="W83">BS_Greek("PUT","VEGA",$Q83,$B$1,$B$2,$R$3,W$6)</f>
        <v>0.12222910034137176</v>
      </c>
      <c r="X83" s="25" cm="1">
        <f t="array" ref="X83">BS_Greek("PUT","VEGA",$Q83,$B$1,$B$2,$R$3,X$6)</f>
        <v>0.15309296235130823</v>
      </c>
      <c r="Y83" s="25" cm="1">
        <f t="array" ref="Y83">BS_Greek("PUT","VEGA",$Q83,$B$1,$B$2,$R$3,Y$6)</f>
        <v>0.18280966330758439</v>
      </c>
      <c r="Z83" s="25" cm="1">
        <f t="array" ref="Z83">BS_Greek("PUT","VEGA",$Q83,$B$1,$B$2,$R$3,Z$6)</f>
        <v>0.21124373927845524</v>
      </c>
      <c r="AA83" s="25" cm="1">
        <f t="array" ref="AA83">BS_Greek("PUT","VEGA",$Q83,$B$1,$B$2,$R$3,AA$6)</f>
        <v>0.23838743989858863</v>
      </c>
      <c r="AB83" s="25" cm="1">
        <f t="array" ref="AB83">BS_Greek("PUT","VEGA",$Q83,$B$1,$B$2,$R$3,AB$6)</f>
        <v>0.45402279742050033</v>
      </c>
      <c r="AC83" s="25" cm="1">
        <f t="array" ref="AC83">BS_Greek("PUT","VEGA",$Q83,$B$1,$B$2,$R$3,AC$6)</f>
        <v>0.60722645003921238</v>
      </c>
      <c r="AD83" s="25" cm="1">
        <f t="array" ref="AD83">BS_Greek("PUT","VEGA",$Q83,$B$1,$B$2,$R$3,AD$6)</f>
        <v>0.72658171509209224</v>
      </c>
      <c r="AE83" s="26" cm="1">
        <f t="array" ref="AE83">BS_Greek("PUT","VEGA",$Q83,$B$1,$B$2,$R$3,AE$6)</f>
        <v>0.8243254267575959</v>
      </c>
      <c r="AF83" s="5"/>
      <c r="AG83" s="12">
        <v>140</v>
      </c>
      <c r="AH83" s="24" cm="1">
        <f t="array" ref="AH83">BS_Greek("PUT","VEGA",$AG83,$B$1,$B$2,$AH$3,AH$66)</f>
        <v>2.7755174863825503E-26</v>
      </c>
      <c r="AI83" s="25" cm="1">
        <f t="array" ref="AI83">BS_Greek("PUT","VEGA",$AG83,$B$1,$B$2,$AH$3,AI$66)</f>
        <v>7.6802814218934886E-14</v>
      </c>
      <c r="AJ83" s="25" cm="1">
        <f t="array" ref="AJ83">BS_Greek("PUT","VEGA",$AG83,$B$1,$B$2,$AH$3,AJ$66)</f>
        <v>1.1756275778131189E-9</v>
      </c>
      <c r="AK83" s="25" cm="1">
        <f t="array" ref="AK83">BS_Greek("PUT","VEGA",$AG83,$B$1,$B$2,$AH$3,AK$66)</f>
        <v>1.5167651578010652E-7</v>
      </c>
      <c r="AL83" s="25" cm="1">
        <f t="array" ref="AL83">BS_Greek("PUT","VEGA",$AG83,$B$1,$B$2,$AH$3,AL$66)</f>
        <v>2.8713454403848715E-6</v>
      </c>
      <c r="AM83" s="25" cm="1">
        <f t="array" ref="AM83">BS_Greek("PUT","VEGA",$AG83,$B$1,$B$2,$AH$3,AM$66)</f>
        <v>2.0732639788992961E-5</v>
      </c>
      <c r="AN83" s="25" cm="1">
        <f t="array" ref="AN83">BS_Greek("PUT","VEGA",$AG83,$B$1,$B$2,$AH$3,AN$66)</f>
        <v>8.6094036586961629E-5</v>
      </c>
      <c r="AO83" s="25" cm="1">
        <f t="array" ref="AO83">BS_Greek("PUT","VEGA",$AG83,$B$1,$B$2,$AH$3,AO$66)</f>
        <v>2.5262754622349385E-4</v>
      </c>
      <c r="AP83" s="25" cm="1">
        <f t="array" ref="AP83">BS_Greek("PUT","VEGA",$AG83,$B$1,$B$2,$AH$3,AP$66)</f>
        <v>5.8750695962988023E-4</v>
      </c>
      <c r="AQ83" s="25" cm="1">
        <f t="array" ref="AQ83">BS_Greek("PUT","VEGA",$AG83,$B$1,$B$2,$AH$3,AQ$66)</f>
        <v>1.1602695242521599E-3</v>
      </c>
      <c r="AR83" s="25" cm="1">
        <f t="array" ref="AR83">BS_Greek("PUT","VEGA",$AG83,$B$1,$B$2,$AH$3,AR$66)</f>
        <v>2.7503549451983311E-2</v>
      </c>
      <c r="AS83" s="25" cm="1">
        <f t="array" ref="AS83">BS_Greek("PUT","VEGA",$AG83,$B$1,$B$2,$AH$3,AS$66)</f>
        <v>8.5562234911034263E-2</v>
      </c>
      <c r="AT83" s="25" cm="1">
        <f t="array" ref="AT83">BS_Greek("PUT","VEGA",$AG83,$B$1,$B$2,$AH$3,AT$66)</f>
        <v>0.15657861761389583</v>
      </c>
      <c r="AU83" s="26" cm="1">
        <f t="array" ref="AU83">BS_Greek("PUT","VEGA",$AG83,$B$1,$B$2,$AH$3,AU$66)</f>
        <v>0.22973211747964487</v>
      </c>
    </row>
    <row r="85" spans="1:54" x14ac:dyDescent="0.2">
      <c r="A85" s="108" t="s">
        <v>12</v>
      </c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Q85" s="108" t="s">
        <v>13</v>
      </c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G85" s="108" t="s">
        <v>19</v>
      </c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</row>
    <row r="86" spans="1:54" x14ac:dyDescent="0.2">
      <c r="A86" s="8"/>
      <c r="B86" s="17">
        <v>0.1</v>
      </c>
      <c r="C86" s="17">
        <v>0.2</v>
      </c>
      <c r="D86" s="17">
        <v>0.3</v>
      </c>
      <c r="E86" s="17">
        <v>0.4</v>
      </c>
      <c r="F86" s="17">
        <v>0.5</v>
      </c>
      <c r="G86" s="17">
        <v>0.6</v>
      </c>
      <c r="H86" s="17">
        <v>0.7</v>
      </c>
      <c r="I86" s="17">
        <v>0.8</v>
      </c>
      <c r="J86" s="17">
        <v>0.9</v>
      </c>
      <c r="K86" s="17">
        <v>1</v>
      </c>
      <c r="L86" s="17">
        <v>2</v>
      </c>
      <c r="M86" s="17">
        <v>3</v>
      </c>
      <c r="N86" s="17">
        <v>4</v>
      </c>
      <c r="O86" s="17">
        <v>5</v>
      </c>
      <c r="P86" s="11"/>
      <c r="Q86" s="8"/>
      <c r="R86" s="17">
        <v>0.1</v>
      </c>
      <c r="S86" s="17">
        <v>0.2</v>
      </c>
      <c r="T86" s="17">
        <v>0.3</v>
      </c>
      <c r="U86" s="17">
        <v>0.4</v>
      </c>
      <c r="V86" s="17">
        <v>0.5</v>
      </c>
      <c r="W86" s="17">
        <v>0.6</v>
      </c>
      <c r="X86" s="17">
        <v>0.7</v>
      </c>
      <c r="Y86" s="17">
        <v>0.8</v>
      </c>
      <c r="Z86" s="17">
        <v>0.9</v>
      </c>
      <c r="AA86" s="17">
        <v>1</v>
      </c>
      <c r="AB86" s="17">
        <v>2</v>
      </c>
      <c r="AC86" s="17">
        <v>3</v>
      </c>
      <c r="AD86" s="17">
        <v>4</v>
      </c>
      <c r="AE86" s="17">
        <v>5</v>
      </c>
      <c r="AF86" s="11"/>
      <c r="AG86" s="8"/>
      <c r="AH86" s="17">
        <v>0.1</v>
      </c>
      <c r="AI86" s="17">
        <v>0.2</v>
      </c>
      <c r="AJ86" s="17">
        <v>0.3</v>
      </c>
      <c r="AK86" s="17">
        <v>0.4</v>
      </c>
      <c r="AL86" s="17">
        <v>0.5</v>
      </c>
      <c r="AM86" s="17">
        <v>0.6</v>
      </c>
      <c r="AN86" s="17">
        <v>0.7</v>
      </c>
      <c r="AO86" s="17">
        <v>0.8</v>
      </c>
      <c r="AP86" s="17">
        <v>0.9</v>
      </c>
      <c r="AQ86" s="17">
        <v>1</v>
      </c>
      <c r="AR86" s="17">
        <v>2</v>
      </c>
      <c r="AS86" s="17">
        <v>3</v>
      </c>
      <c r="AT86" s="17">
        <v>4</v>
      </c>
      <c r="AU86" s="17">
        <v>5</v>
      </c>
      <c r="AV86" s="5"/>
      <c r="AW86" s="5"/>
      <c r="AX86" s="5"/>
      <c r="AY86" s="5"/>
      <c r="AZ86" s="5"/>
      <c r="BA86" s="5"/>
      <c r="BB86" s="5"/>
    </row>
    <row r="87" spans="1:54" x14ac:dyDescent="0.2">
      <c r="A87" s="12">
        <v>60</v>
      </c>
      <c r="B87" s="19" cm="1">
        <f t="array" ref="B87">BS_Greek("PUT","RHO",$A87,$B$1,$B$2,$B$3,B$6)</f>
        <v>-9.9900049983337472E-2</v>
      </c>
      <c r="C87" s="20" cm="1">
        <f t="array" ref="C87">BS_Greek("PUT","RHO",$A87,$B$1,$B$2,$B$3,C$6)</f>
        <v>-0.19960039875201663</v>
      </c>
      <c r="D87" s="20" cm="1">
        <f t="array" ref="D87">BS_Greek("PUT","RHO",$A87,$B$1,$B$2,$B$3,D$6)</f>
        <v>-0.29910094119721536</v>
      </c>
      <c r="E87" s="20" cm="1">
        <f t="array" ref="E87">BS_Greek("PUT","RHO",$A87,$B$1,$B$2,$B$3,E$6)</f>
        <v>-0.3983938328127995</v>
      </c>
      <c r="F87" s="20" cm="1">
        <f t="array" ref="F87">BS_Greek("PUT","RHO",$A87,$B$1,$B$2,$B$3,F$6)</f>
        <v>-0.49744035279710602</v>
      </c>
      <c r="G87" s="20" cm="1">
        <f t="array" ref="G87">BS_Greek("PUT","RHO",$A87,$B$1,$B$2,$B$3,G$6)</f>
        <v>-0.59615741088545715</v>
      </c>
      <c r="H87" s="20" cm="1">
        <f t="array" ref="H87">BS_Greek("PUT","RHO",$A87,$B$1,$B$2,$B$3,H$6)</f>
        <v>-0.69443214691678568</v>
      </c>
      <c r="I87" s="20" cm="1">
        <f t="array" ref="I87">BS_Greek("PUT","RHO",$A87,$B$1,$B$2,$B$3,I$6)</f>
        <v>-0.79214630188643609</v>
      </c>
      <c r="J87" s="20" cm="1">
        <f t="array" ref="J87">BS_Greek("PUT","RHO",$A87,$B$1,$B$2,$B$3,J$6)</f>
        <v>-0.88919402699541406</v>
      </c>
      <c r="K87" s="20" cm="1">
        <f t="array" ref="K87">BS_Greek("PUT","RHO",$A87,$B$1,$B$2,$B$3,K$6)</f>
        <v>-0.985490242492157</v>
      </c>
      <c r="L87" s="20" cm="1">
        <f t="array" ref="L87">BS_Greek("PUT","RHO",$A87,$B$1,$B$2,$B$3,L$6)</f>
        <v>-1.9010442651574975</v>
      </c>
      <c r="M87" s="20" cm="1">
        <f t="array" ref="M87">BS_Greek("PUT","RHO",$A87,$B$1,$B$2,$B$3,M$6)</f>
        <v>-2.7388840052041403</v>
      </c>
      <c r="N87" s="20" cm="1">
        <f t="array" ref="N87">BS_Greek("PUT","RHO",$A87,$B$1,$B$2,$B$3,N$6)</f>
        <v>-3.5193862364046682</v>
      </c>
      <c r="O87" s="21" cm="1">
        <f t="array" ref="O87">BS_Greek("PUT","RHO",$A87,$B$1,$B$2,$B$3,O$6)</f>
        <v>-4.2571656170608438</v>
      </c>
      <c r="P87" s="5"/>
      <c r="Q87" s="12">
        <v>60</v>
      </c>
      <c r="R87" s="19" cm="1">
        <f t="array" ref="R87">BS_Greek("PUT","RHO",$Q87,$B$1,$B$2,$R$3,R$6)</f>
        <v>-9.990004703071427E-2</v>
      </c>
      <c r="S87" s="20" cm="1">
        <f t="array" ref="S87">BS_Greek("PUT","RHO",$Q87,$B$1,$B$2,$R$3,S$6)</f>
        <v>-0.19958906720312344</v>
      </c>
      <c r="T87" s="20" cm="1">
        <f t="array" ref="T87">BS_Greek("PUT","RHO",$Q87,$B$1,$B$2,$R$3,T$6)</f>
        <v>-0.29887547417898264</v>
      </c>
      <c r="U87" s="20" cm="1">
        <f t="array" ref="U87">BS_Greek("PUT","RHO",$Q87,$B$1,$B$2,$R$3,U$6)</f>
        <v>-0.39727301203731985</v>
      </c>
      <c r="V87" s="20" cm="1">
        <f t="array" ref="V87">BS_Greek("PUT","RHO",$Q87,$B$1,$B$2,$R$3,V$6)</f>
        <v>-0.49433351210635079</v>
      </c>
      <c r="W87" s="20" cm="1">
        <f t="array" ref="W87">BS_Greek("PUT","RHO",$Q87,$B$1,$B$2,$R$3,W$6)</f>
        <v>-0.58981988989516654</v>
      </c>
      <c r="X87" s="20" cm="1">
        <f t="array" ref="X87">BS_Greek("PUT","RHO",$Q87,$B$1,$B$2,$R$3,X$6)</f>
        <v>-0.6836678036348548</v>
      </c>
      <c r="Y87" s="20" cm="1">
        <f t="array" ref="Y87">BS_Greek("PUT","RHO",$Q87,$B$1,$B$2,$R$3,Y$6)</f>
        <v>-0.77591406824195053</v>
      </c>
      <c r="Z87" s="20" cm="1">
        <f t="array" ref="Z87">BS_Greek("PUT","RHO",$Q87,$B$1,$B$2,$R$3,Z$6)</f>
        <v>-0.86664540920771527</v>
      </c>
      <c r="AA87" s="20" cm="1">
        <f t="array" ref="AA87">BS_Greek("PUT","RHO",$Q87,$B$1,$B$2,$R$3,AA$6)</f>
        <v>-0.95596857167456895</v>
      </c>
      <c r="AB87" s="20" cm="1">
        <f t="array" ref="AB87">BS_Greek("PUT","RHO",$Q87,$B$1,$B$2,$R$3,AB$6)</f>
        <v>-1.7927899437333634</v>
      </c>
      <c r="AC87" s="20" cm="1">
        <f t="array" ref="AC87">BS_Greek("PUT","RHO",$Q87,$B$1,$B$2,$R$3,AC$6)</f>
        <v>-2.5678638170961965</v>
      </c>
      <c r="AD87" s="20" cm="1">
        <f t="array" ref="AD87">BS_Greek("PUT","RHO",$Q87,$B$1,$B$2,$R$3,AD$6)</f>
        <v>-3.3088619900105742</v>
      </c>
      <c r="AE87" s="21" cm="1">
        <f t="array" ref="AE87">BS_Greek("PUT","RHO",$Q87,$B$1,$B$2,$R$3,AE$6)</f>
        <v>-4.0270142293204838</v>
      </c>
      <c r="AF87" s="5"/>
      <c r="AG87" s="12">
        <v>60</v>
      </c>
      <c r="AH87" s="19" cm="1">
        <f t="array" ref="AH87">BS_Greek("PUT","RHO",$AG87,$B$1,$B$2,$AH$3,AH$86)</f>
        <v>-9.9900049983337513E-2</v>
      </c>
      <c r="AI87" s="20" cm="1">
        <f t="array" ref="AI87">BS_Greek("PUT","RHO",$AG87,$B$1,$B$2,$AH$3,AI$86)</f>
        <v>-0.1996003997334666</v>
      </c>
      <c r="AJ87" s="20" cm="1">
        <f t="array" ref="AJ87">BS_Greek("PUT","RHO",$AG87,$B$1,$B$2,$AH$3,AJ$86)</f>
        <v>-0.2991013486510119</v>
      </c>
      <c r="AK87" s="20" cm="1">
        <f t="array" ref="AK87">BS_Greek("PUT","RHO",$AG87,$B$1,$B$2,$AH$3,AK$86)</f>
        <v>-0.39840319573759642</v>
      </c>
      <c r="AL87" s="20" cm="1">
        <f t="array" ref="AL87">BS_Greek("PUT","RHO",$AG87,$B$1,$B$2,$AH$3,AL$86)</f>
        <v>-0.49750623959617862</v>
      </c>
      <c r="AM87" s="20" cm="1">
        <f t="array" ref="AM87">BS_Greek("PUT","RHO",$AG87,$B$1,$B$2,$AH$3,AM$86)</f>
        <v>-0.59641077841587942</v>
      </c>
      <c r="AN87" s="20" cm="1">
        <f t="array" ref="AN87">BS_Greek("PUT","RHO",$AG87,$B$1,$B$2,$AH$3,AN$86)</f>
        <v>-0.6951171095909271</v>
      </c>
      <c r="AO87" s="20" cm="1">
        <f t="array" ref="AO87">BS_Greek("PUT","RHO",$AG87,$B$1,$B$2,$AH$3,AO$86)</f>
        <v>-0.79362552608576475</v>
      </c>
      <c r="AP87" s="20" cm="1">
        <f t="array" ref="AP87">BS_Greek("PUT","RHO",$AG87,$B$1,$B$2,$AH$3,AP$86)</f>
        <v>-0.89193629878559966</v>
      </c>
      <c r="AQ87" s="20" cm="1">
        <f t="array" ref="AQ87">BS_Greek("PUT","RHO",$AG87,$B$1,$B$2,$AH$3,AQ$86)</f>
        <v>-0.99004962430033638</v>
      </c>
      <c r="AR87" s="20" cm="1">
        <f t="array" ref="AR87">BS_Greek("PUT","RHO",$AG87,$B$1,$B$2,$AH$3,AR$86)</f>
        <v>-1.9600071765528571</v>
      </c>
      <c r="AS87" s="20" cm="1">
        <f t="array" ref="AS87">BS_Greek("PUT","RHO",$AG87,$B$1,$B$2,$AH$3,AS$86)</f>
        <v>-2.9052211402699144</v>
      </c>
      <c r="AT87" s="20" cm="1">
        <f t="array" ref="AT87">BS_Greek("PUT","RHO",$AG87,$B$1,$B$2,$AH$3,AT$86)</f>
        <v>-3.8160199409351754</v>
      </c>
      <c r="AU87" s="21" cm="1">
        <f t="array" ref="AU87">BS_Greek("PUT","RHO",$AG87,$B$1,$B$2,$AH$3,AU$86)</f>
        <v>-4.6852697276379232</v>
      </c>
      <c r="AV87" s="5"/>
      <c r="AW87" s="5"/>
      <c r="AX87" s="5"/>
      <c r="AY87" s="5"/>
      <c r="AZ87" s="5"/>
      <c r="BA87" s="5"/>
      <c r="BB87" s="5"/>
    </row>
    <row r="88" spans="1:54" x14ac:dyDescent="0.2">
      <c r="A88" s="12">
        <v>65</v>
      </c>
      <c r="B88" s="22" cm="1">
        <f t="array" ref="B88">BS_Greek("PUT","RHO",$A88,$B$1,$B$2,$B$3,B$6)</f>
        <v>-9.9900049982904665E-2</v>
      </c>
      <c r="C88" s="14" cm="1">
        <f t="array" ref="C88">BS_Greek("PUT","RHO",$A88,$B$1,$B$2,$B$3,C$6)</f>
        <v>-0.19960026927726368</v>
      </c>
      <c r="D88" s="14" cm="1">
        <f t="array" ref="D88">BS_Greek("PUT","RHO",$A88,$B$1,$B$2,$B$3,D$6)</f>
        <v>-0.2990901341421216</v>
      </c>
      <c r="E88" s="14" cm="1">
        <f t="array" ref="E88">BS_Greek("PUT","RHO",$A88,$B$1,$B$2,$B$3,E$6)</f>
        <v>-0.39828613898434012</v>
      </c>
      <c r="F88" s="14" cm="1">
        <f t="array" ref="F88">BS_Greek("PUT","RHO",$A88,$B$1,$B$2,$B$3,F$6)</f>
        <v>-0.49699382138164078</v>
      </c>
      <c r="G88" s="14" cm="1">
        <f t="array" ref="G88">BS_Greek("PUT","RHO",$A88,$B$1,$B$2,$B$3,G$6)</f>
        <v>-0.59497610389550282</v>
      </c>
      <c r="H88" s="14" cm="1">
        <f t="array" ref="H88">BS_Greek("PUT","RHO",$A88,$B$1,$B$2,$B$3,H$6)</f>
        <v>-0.69202729459779022</v>
      </c>
      <c r="I88" s="14" cm="1">
        <f t="array" ref="I88">BS_Greek("PUT","RHO",$A88,$B$1,$B$2,$B$3,I$6)</f>
        <v>-0.78800185672067002</v>
      </c>
      <c r="J88" s="14" cm="1">
        <f t="array" ref="J88">BS_Greek("PUT","RHO",$A88,$B$1,$B$2,$B$3,J$6)</f>
        <v>-0.88281318832772104</v>
      </c>
      <c r="K88" s="14" cm="1">
        <f t="array" ref="K88">BS_Greek("PUT","RHO",$A88,$B$1,$B$2,$B$3,K$6)</f>
        <v>-0.97642162356209627</v>
      </c>
      <c r="L88" s="14" cm="1">
        <f t="array" ref="L88">BS_Greek("PUT","RHO",$A88,$B$1,$B$2,$B$3,L$6)</f>
        <v>-1.8516049152267084</v>
      </c>
      <c r="M88" s="14" cm="1">
        <f t="array" ref="M88">BS_Greek("PUT","RHO",$A88,$B$1,$B$2,$B$3,M$6)</f>
        <v>-2.6442743352052371</v>
      </c>
      <c r="N88" s="14" cm="1">
        <f t="array" ref="N88">BS_Greek("PUT","RHO",$A88,$B$1,$B$2,$B$3,N$6)</f>
        <v>-3.3834919661091258</v>
      </c>
      <c r="O88" s="23" cm="1">
        <f t="array" ref="O88">BS_Greek("PUT","RHO",$A88,$B$1,$B$2,$B$3,O$6)</f>
        <v>-4.0847066211875553</v>
      </c>
      <c r="P88" s="5"/>
      <c r="Q88" s="12">
        <v>65</v>
      </c>
      <c r="R88" s="22" cm="1">
        <f t="array" ref="R88">BS_Greek("PUT","RHO",$Q88,$B$1,$B$2,$R$3,R$6)</f>
        <v>-9.9899815209394227E-2</v>
      </c>
      <c r="S88" s="14" cm="1">
        <f t="array" ref="S88">BS_Greek("PUT","RHO",$Q88,$B$1,$B$2,$R$3,S$6)</f>
        <v>-0.19949039646523603</v>
      </c>
      <c r="T88" s="14" cm="1">
        <f t="array" ref="T88">BS_Greek("PUT","RHO",$Q88,$B$1,$B$2,$R$3,T$6)</f>
        <v>-0.29801848402060011</v>
      </c>
      <c r="U88" s="14" cm="1">
        <f t="array" ref="U88">BS_Greek("PUT","RHO",$Q88,$B$1,$B$2,$R$3,U$6)</f>
        <v>-0.39460495109785848</v>
      </c>
      <c r="V88" s="14" cm="1">
        <f t="array" ref="V88">BS_Greek("PUT","RHO",$Q88,$B$1,$B$2,$R$3,V$6)</f>
        <v>-0.48890399982000055</v>
      </c>
      <c r="W88" s="14" cm="1">
        <f t="array" ref="W88">BS_Greek("PUT","RHO",$Q88,$B$1,$B$2,$R$3,W$6)</f>
        <v>-0.58094117623133856</v>
      </c>
      <c r="X88" s="14" cm="1">
        <f t="array" ref="X88">BS_Greek("PUT","RHO",$Q88,$B$1,$B$2,$R$3,X$6)</f>
        <v>-0.67089416355798892</v>
      </c>
      <c r="Y88" s="14" cm="1">
        <f t="array" ref="Y88">BS_Greek("PUT","RHO",$Q88,$B$1,$B$2,$R$3,Y$6)</f>
        <v>-0.75898139189468816</v>
      </c>
      <c r="Z88" s="14" cm="1">
        <f t="array" ref="Z88">BS_Greek("PUT","RHO",$Q88,$B$1,$B$2,$R$3,Z$6)</f>
        <v>-0.84541627587568702</v>
      </c>
      <c r="AA88" s="14" cm="1">
        <f t="array" ref="AA88">BS_Greek("PUT","RHO",$Q88,$B$1,$B$2,$R$3,AA$6)</f>
        <v>-0.93039121185323026</v>
      </c>
      <c r="AB88" s="14" cm="1">
        <f t="array" ref="AB88">BS_Greek("PUT","RHO",$Q88,$B$1,$B$2,$R$3,AB$6)</f>
        <v>-1.7272488638506938</v>
      </c>
      <c r="AC88" s="14" cm="1">
        <f t="array" ref="AC88">BS_Greek("PUT","RHO",$Q88,$B$1,$B$2,$R$3,AC$6)</f>
        <v>-2.4710158142886693</v>
      </c>
      <c r="AD88" s="14" cm="1">
        <f t="array" ref="AD88">BS_Greek("PUT","RHO",$Q88,$B$1,$B$2,$R$3,AD$6)</f>
        <v>-3.1870353394131872</v>
      </c>
      <c r="AE88" s="23" cm="1">
        <f t="array" ref="AE88">BS_Greek("PUT","RHO",$Q88,$B$1,$B$2,$R$3,AE$6)</f>
        <v>-3.8845819777009787</v>
      </c>
      <c r="AF88" s="5"/>
      <c r="AG88" s="12">
        <v>65</v>
      </c>
      <c r="AH88" s="22" cm="1">
        <f t="array" ref="AH88">BS_Greek("PUT","RHO",$AG88,$B$1,$B$2,$AH$3,AH$86)</f>
        <v>-9.9900049983337513E-2</v>
      </c>
      <c r="AI88" s="14" cm="1">
        <f t="array" ref="AI88">BS_Greek("PUT","RHO",$AG88,$B$1,$B$2,$AH$3,AI$86)</f>
        <v>-0.1996003997334666</v>
      </c>
      <c r="AJ88" s="14" cm="1">
        <f t="array" ref="AJ88">BS_Greek("PUT","RHO",$AG88,$B$1,$B$2,$AH$3,AJ$86)</f>
        <v>-0.29910134865101123</v>
      </c>
      <c r="AK88" s="14" cm="1">
        <f t="array" ref="AK88">BS_Greek("PUT","RHO",$AG88,$B$1,$B$2,$AH$3,AK$86)</f>
        <v>-0.39840319573519695</v>
      </c>
      <c r="AL88" s="14" cm="1">
        <f t="array" ref="AL88">BS_Greek("PUT","RHO",$AG88,$B$1,$B$2,$AH$3,AL$86)</f>
        <v>-0.49750623925100773</v>
      </c>
      <c r="AM88" s="14" cm="1">
        <f t="array" ref="AM88">BS_Greek("PUT","RHO",$AG88,$B$1,$B$2,$AH$3,AM$86)</f>
        <v>-0.59641076847476215</v>
      </c>
      <c r="AN88" s="14" cm="1">
        <f t="array" ref="AN88">BS_Greek("PUT","RHO",$AG88,$B$1,$B$2,$AH$3,AN$86)</f>
        <v>-0.69511699629717838</v>
      </c>
      <c r="AO88" s="14" cm="1">
        <f t="array" ref="AO88">BS_Greek("PUT","RHO",$AG88,$B$1,$B$2,$AH$3,AO$86)</f>
        <v>-0.79362480654308254</v>
      </c>
      <c r="AP88" s="14" cm="1">
        <f t="array" ref="AP88">BS_Greek("PUT","RHO",$AG88,$B$1,$B$2,$AH$3,AP$86)</f>
        <v>-0.89193321512612056</v>
      </c>
      <c r="AQ88" s="14" cm="1">
        <f t="array" ref="AQ88">BS_Greek("PUT","RHO",$AG88,$B$1,$B$2,$AH$3,AQ$86)</f>
        <v>-0.99003961536586416</v>
      </c>
      <c r="AR88" s="14" cm="1">
        <f t="array" ref="AR88">BS_Greek("PUT","RHO",$AG88,$B$1,$B$2,$AH$3,AR$86)</f>
        <v>-1.957529074674156</v>
      </c>
      <c r="AS88" s="14" cm="1">
        <f t="array" ref="AS88">BS_Greek("PUT","RHO",$AG88,$B$1,$B$2,$AH$3,AS$86)</f>
        <v>-2.8875049425784916</v>
      </c>
      <c r="AT88" s="14" cm="1">
        <f t="array" ref="AT88">BS_Greek("PUT","RHO",$AG88,$B$1,$B$2,$AH$3,AT$86)</f>
        <v>-3.76632542383236</v>
      </c>
      <c r="AU88" s="23" cm="1">
        <f t="array" ref="AU88">BS_Greek("PUT","RHO",$AG88,$B$1,$B$2,$AH$3,AU$86)</f>
        <v>-4.5907104705252273</v>
      </c>
      <c r="AV88" s="5"/>
      <c r="AW88" s="5"/>
      <c r="AX88" s="5"/>
      <c r="AY88" s="5"/>
      <c r="AZ88" s="5"/>
      <c r="BA88" s="5"/>
      <c r="BB88" s="5"/>
    </row>
    <row r="89" spans="1:54" x14ac:dyDescent="0.2">
      <c r="A89" s="12">
        <v>70</v>
      </c>
      <c r="B89" s="22" cm="1">
        <f t="array" ref="B89">BS_Greek("PUT","RHO",$A89,$B$1,$B$2,$B$3,B$6)</f>
        <v>-9.9900049206412836E-2</v>
      </c>
      <c r="C89" s="14" cm="1">
        <f t="array" ref="C89">BS_Greek("PUT","RHO",$A89,$B$1,$B$2,$B$3,C$6)</f>
        <v>-0.19959434275580995</v>
      </c>
      <c r="D89" s="14" cm="1">
        <f t="array" ref="D89">BS_Greek("PUT","RHO",$A89,$B$1,$B$2,$B$3,D$6)</f>
        <v>-0.29894794754297283</v>
      </c>
      <c r="E89" s="14" cm="1">
        <f t="array" ref="E89">BS_Greek("PUT","RHO",$A89,$B$1,$B$2,$B$3,E$6)</f>
        <v>-0.39753608871221141</v>
      </c>
      <c r="F89" s="14" cm="1">
        <f t="array" ref="F89">BS_Greek("PUT","RHO",$A89,$B$1,$B$2,$B$3,F$6)</f>
        <v>-0.49488315365673735</v>
      </c>
      <c r="G89" s="14" cm="1">
        <f t="array" ref="G89">BS_Greek("PUT","RHO",$A89,$B$1,$B$2,$B$3,G$6)</f>
        <v>-0.59067651342831906</v>
      </c>
      <c r="H89" s="14" cm="1">
        <f t="array" ref="H89">BS_Greek("PUT","RHO",$A89,$B$1,$B$2,$B$3,H$6)</f>
        <v>-0.68477647194821667</v>
      </c>
      <c r="I89" s="14" cm="1">
        <f t="array" ref="I89">BS_Greek("PUT","RHO",$A89,$B$1,$B$2,$B$3,I$6)</f>
        <v>-0.77716158229035659</v>
      </c>
      <c r="J89" s="14" cm="1">
        <f t="array" ref="J89">BS_Greek("PUT","RHO",$A89,$B$1,$B$2,$B$3,J$6)</f>
        <v>-0.86787848942993051</v>
      </c>
      <c r="K89" s="14" cm="1">
        <f t="array" ref="K89">BS_Greek("PUT","RHO",$A89,$B$1,$B$2,$B$3,K$6)</f>
        <v>-0.95700847271534695</v>
      </c>
      <c r="L89" s="14" cm="1">
        <f t="array" ref="L89">BS_Greek("PUT","RHO",$A89,$B$1,$B$2,$B$3,L$6)</f>
        <v>-1.7810765397615398</v>
      </c>
      <c r="M89" s="14" cm="1">
        <f t="array" ref="M89">BS_Greek("PUT","RHO",$A89,$B$1,$B$2,$B$3,M$6)</f>
        <v>-2.5265717253150868</v>
      </c>
      <c r="N89" s="14" cm="1">
        <f t="array" ref="N89">BS_Greek("PUT","RHO",$A89,$B$1,$B$2,$B$3,N$6)</f>
        <v>-3.2256582707604919</v>
      </c>
      <c r="O89" s="23" cm="1">
        <f t="array" ref="O89">BS_Greek("PUT","RHO",$A89,$B$1,$B$2,$B$3,O$6)</f>
        <v>-3.8925166110455165</v>
      </c>
      <c r="P89" s="5"/>
      <c r="Q89" s="12">
        <v>70</v>
      </c>
      <c r="R89" s="22" cm="1">
        <f t="array" ref="R89">BS_Greek("PUT","RHO",$Q89,$B$1,$B$2,$R$3,R$6)</f>
        <v>-9.9892721932446804E-2</v>
      </c>
      <c r="S89" s="14" cm="1">
        <f t="array" ref="S89">BS_Greek("PUT","RHO",$Q89,$B$1,$B$2,$R$3,S$6)</f>
        <v>-0.19893027320196222</v>
      </c>
      <c r="T89" s="14" cm="1">
        <f t="array" ref="T89">BS_Greek("PUT","RHO",$Q89,$B$1,$B$2,$R$3,T$6)</f>
        <v>-0.29529580115074583</v>
      </c>
      <c r="U89" s="14" cm="1">
        <f t="array" ref="U89">BS_Greek("PUT","RHO",$Q89,$B$1,$B$2,$R$3,U$6)</f>
        <v>-0.38829467704337567</v>
      </c>
      <c r="V89" s="14" cm="1">
        <f t="array" ref="V89">BS_Greek("PUT","RHO",$Q89,$B$1,$B$2,$R$3,V$6)</f>
        <v>-0.47816504058929121</v>
      </c>
      <c r="W89" s="14" cm="1">
        <f t="array" ref="W89">BS_Greek("PUT","RHO",$Q89,$B$1,$B$2,$R$3,W$6)</f>
        <v>-0.56536508987617062</v>
      </c>
      <c r="X89" s="14" cm="1">
        <f t="array" ref="X89">BS_Greek("PUT","RHO",$Q89,$B$1,$B$2,$R$3,X$6)</f>
        <v>-0.65033286603069063</v>
      </c>
      <c r="Y89" s="14" cm="1">
        <f t="array" ref="Y89">BS_Greek("PUT","RHO",$Q89,$B$1,$B$2,$R$3,Y$6)</f>
        <v>-0.73343428698687674</v>
      </c>
      <c r="Z89" s="14" cm="1">
        <f t="array" ref="Z89">BS_Greek("PUT","RHO",$Q89,$B$1,$B$2,$R$3,Z$6)</f>
        <v>-0.81496374700015894</v>
      </c>
      <c r="AA89" s="14" cm="1">
        <f t="array" ref="AA89">BS_Greek("PUT","RHO",$Q89,$B$1,$B$2,$R$3,AA$6)</f>
        <v>-0.89515635172001196</v>
      </c>
      <c r="AB89" s="14" cm="1">
        <f t="array" ref="AB89">BS_Greek("PUT","RHO",$Q89,$B$1,$B$2,$R$3,AB$6)</f>
        <v>-1.6520578868565337</v>
      </c>
      <c r="AC89" s="14" cm="1">
        <f t="array" ref="AC89">BS_Greek("PUT","RHO",$Q89,$B$1,$B$2,$R$3,AC$6)</f>
        <v>-2.3665161061527402</v>
      </c>
      <c r="AD89" s="14" cm="1">
        <f t="array" ref="AD89">BS_Greek("PUT","RHO",$Q89,$B$1,$B$2,$R$3,AD$6)</f>
        <v>-3.0595598963054811</v>
      </c>
      <c r="AE89" s="23" cm="1">
        <f t="array" ref="AE89">BS_Greek("PUT","RHO",$Q89,$B$1,$B$2,$R$3,AE$6)</f>
        <v>-3.7382699537451458</v>
      </c>
      <c r="AF89" s="5"/>
      <c r="AG89" s="12">
        <v>70</v>
      </c>
      <c r="AH89" s="22" cm="1">
        <f t="array" ref="AH89">BS_Greek("PUT","RHO",$AG89,$B$1,$B$2,$AH$3,AH$86)</f>
        <v>-9.9900049983337513E-2</v>
      </c>
      <c r="AI89" s="14" cm="1">
        <f t="array" ref="AI89">BS_Greek("PUT","RHO",$AG89,$B$1,$B$2,$AH$3,AI$86)</f>
        <v>-0.19960039973346644</v>
      </c>
      <c r="AJ89" s="14" cm="1">
        <f t="array" ref="AJ89">BS_Greek("PUT","RHO",$AG89,$B$1,$B$2,$AH$3,AJ$86)</f>
        <v>-0.29910134863770482</v>
      </c>
      <c r="AK89" s="14" cm="1">
        <f t="array" ref="AK89">BS_Greek("PUT","RHO",$AG89,$B$1,$B$2,$AH$3,AK$86)</f>
        <v>-0.39840319165809851</v>
      </c>
      <c r="AL89" s="14" cm="1">
        <f t="array" ref="AL89">BS_Greek("PUT","RHO",$AG89,$B$1,$B$2,$AH$3,AL$86)</f>
        <v>-0.49750610334612155</v>
      </c>
      <c r="AM89" s="14" cm="1">
        <f t="array" ref="AM89">BS_Greek("PUT","RHO",$AG89,$B$1,$B$2,$AH$3,AM$86)</f>
        <v>-0.59640929545940025</v>
      </c>
      <c r="AN89" s="14" cm="1">
        <f t="array" ref="AN89">BS_Greek("PUT","RHO",$AG89,$B$1,$B$2,$AH$3,AN$86)</f>
        <v>-0.69510866599683718</v>
      </c>
      <c r="AO89" s="14" cm="1">
        <f t="array" ref="AO89">BS_Greek("PUT","RHO",$AG89,$B$1,$B$2,$AH$3,AO$86)</f>
        <v>-0.7935936043085654</v>
      </c>
      <c r="AP89" s="14" cm="1">
        <f t="array" ref="AP89">BS_Greek("PUT","RHO",$AG89,$B$1,$B$2,$AH$3,AP$86)</f>
        <v>-0.89184472786438262</v>
      </c>
      <c r="AQ89" s="14" cm="1">
        <f t="array" ref="AQ89">BS_Greek("PUT","RHO",$AG89,$B$1,$B$2,$AH$3,AQ$86)</f>
        <v>-0.98983357421253249</v>
      </c>
      <c r="AR89" s="14" cm="1">
        <f t="array" ref="AR89">BS_Greek("PUT","RHO",$AG89,$B$1,$B$2,$AH$3,AR$86)</f>
        <v>-1.9464474795042801</v>
      </c>
      <c r="AS89" s="14" cm="1">
        <f t="array" ref="AS89">BS_Greek("PUT","RHO",$AG89,$B$1,$B$2,$AH$3,AS$86)</f>
        <v>-2.8406869415859761</v>
      </c>
      <c r="AT89" s="14" cm="1">
        <f t="array" ref="AT89">BS_Greek("PUT","RHO",$AG89,$B$1,$B$2,$AH$3,AT$86)</f>
        <v>-3.6657910800281894</v>
      </c>
      <c r="AU89" s="23" cm="1">
        <f t="array" ref="AU89">BS_Greek("PUT","RHO",$AG89,$B$1,$B$2,$AH$3,AU$86)</f>
        <v>-4.4279826431888436</v>
      </c>
      <c r="AV89" s="5"/>
      <c r="AW89" s="5"/>
      <c r="AX89" s="5"/>
      <c r="AY89" s="5"/>
      <c r="AZ89" s="5"/>
      <c r="BA89" s="5"/>
      <c r="BB89" s="5"/>
    </row>
    <row r="90" spans="1:54" x14ac:dyDescent="0.2">
      <c r="A90" s="12">
        <v>75</v>
      </c>
      <c r="B90" s="22" cm="1">
        <f t="array" ref="B90">BS_Greek("PUT","RHO",$A90,$B$1,$B$2,$B$3,B$6)</f>
        <v>-9.9899799847947279E-2</v>
      </c>
      <c r="C90" s="14" cm="1">
        <f t="array" ref="C90">BS_Greek("PUT","RHO",$A90,$B$1,$B$2,$B$3,C$6)</f>
        <v>-0.19948058234037419</v>
      </c>
      <c r="D90" s="14" cm="1">
        <f t="array" ref="D90">BS_Greek("PUT","RHO",$A90,$B$1,$B$2,$B$3,D$6)</f>
        <v>-0.29791018552939919</v>
      </c>
      <c r="E90" s="14" cm="1">
        <f t="array" ref="E90">BS_Greek("PUT","RHO",$A90,$B$1,$B$2,$B$3,E$6)</f>
        <v>-0.39419735917183091</v>
      </c>
      <c r="F90" s="14" cm="1">
        <f t="array" ref="F90">BS_Greek("PUT","RHO",$A90,$B$1,$B$2,$B$3,F$6)</f>
        <v>-0.48793118931720997</v>
      </c>
      <c r="G90" s="14" cm="1">
        <f t="array" ref="G90">BS_Greek("PUT","RHO",$A90,$B$1,$B$2,$B$3,G$6)</f>
        <v>-0.57911532755875661</v>
      </c>
      <c r="H90" s="14" cm="1">
        <f t="array" ref="H90">BS_Greek("PUT","RHO",$A90,$B$1,$B$2,$B$3,H$6)</f>
        <v>-0.66792834360049613</v>
      </c>
      <c r="I90" s="14" cm="1">
        <f t="array" ref="I90">BS_Greek("PUT","RHO",$A90,$B$1,$B$2,$B$3,I$6)</f>
        <v>-0.75459956615962387</v>
      </c>
      <c r="J90" s="14" cm="1">
        <f t="array" ref="J90">BS_Greek("PUT","RHO",$A90,$B$1,$B$2,$B$3,J$6)</f>
        <v>-0.83935697944585197</v>
      </c>
      <c r="K90" s="14" cm="1">
        <f t="array" ref="K90">BS_Greek("PUT","RHO",$A90,$B$1,$B$2,$B$3,K$6)</f>
        <v>-0.92240828981620471</v>
      </c>
      <c r="L90" s="14" cm="1">
        <f t="array" ref="L90">BS_Greek("PUT","RHO",$A90,$B$1,$B$2,$B$3,L$6)</f>
        <v>-1.6892014647187603</v>
      </c>
      <c r="M90" s="14" cm="1">
        <f t="array" ref="M90">BS_Greek("PUT","RHO",$A90,$B$1,$B$2,$B$3,M$6)</f>
        <v>-2.3885967896533566</v>
      </c>
      <c r="N90" s="14" cm="1">
        <f t="array" ref="N90">BS_Greek("PUT","RHO",$A90,$B$1,$B$2,$B$3,N$6)</f>
        <v>-3.050181031930387</v>
      </c>
      <c r="O90" s="23" cm="1">
        <f t="array" ref="O90">BS_Greek("PUT","RHO",$A90,$B$1,$B$2,$B$3,O$6)</f>
        <v>-3.6855361666166671</v>
      </c>
      <c r="P90" s="5"/>
      <c r="Q90" s="12">
        <v>75</v>
      </c>
      <c r="R90" s="22" cm="1">
        <f t="array" ref="R90">BS_Greek("PUT","RHO",$Q90,$B$1,$B$2,$R$3,R$6)</f>
        <v>-9.9792886943120107E-2</v>
      </c>
      <c r="S90" s="14" cm="1">
        <f t="array" ref="S90">BS_Greek("PUT","RHO",$Q90,$B$1,$B$2,$R$3,S$6)</f>
        <v>-0.19679989179304896</v>
      </c>
      <c r="T90" s="14" cm="1">
        <f t="array" ref="T90">BS_Greek("PUT","RHO",$Q90,$B$1,$B$2,$R$3,T$6)</f>
        <v>-0.28869660557168264</v>
      </c>
      <c r="U90" s="14" cm="1">
        <f t="array" ref="U90">BS_Greek("PUT","RHO",$Q90,$B$1,$B$2,$R$3,U$6)</f>
        <v>-0.37612570933400946</v>
      </c>
      <c r="V90" s="14" cm="1">
        <f t="array" ref="V90">BS_Greek("PUT","RHO",$Q90,$B$1,$B$2,$R$3,V$6)</f>
        <v>-0.46013059686234931</v>
      </c>
      <c r="W90" s="14" cm="1">
        <f t="array" ref="W90">BS_Greek("PUT","RHO",$Q90,$B$1,$B$2,$R$3,W$6)</f>
        <v>-0.54152295085709456</v>
      </c>
      <c r="X90" s="14" cm="1">
        <f t="array" ref="X90">BS_Greek("PUT","RHO",$Q90,$B$1,$B$2,$R$3,X$6)</f>
        <v>-0.6208832088027616</v>
      </c>
      <c r="Y90" s="14" cm="1">
        <f t="array" ref="Y90">BS_Greek("PUT","RHO",$Q90,$B$1,$B$2,$R$3,Y$6)</f>
        <v>-0.69862694084171661</v>
      </c>
      <c r="Z90" s="14" cm="1">
        <f t="array" ref="Z90">BS_Greek("PUT","RHO",$Q90,$B$1,$B$2,$R$3,Z$6)</f>
        <v>-0.77505757645217743</v>
      </c>
      <c r="AA90" s="14" cm="1">
        <f t="array" ref="AA90">BS_Greek("PUT","RHO",$Q90,$B$1,$B$2,$R$3,AA$6)</f>
        <v>-0.85040177182801158</v>
      </c>
      <c r="AB90" s="14" cm="1">
        <f t="array" ref="AB90">BS_Greek("PUT","RHO",$Q90,$B$1,$B$2,$R$3,AB$6)</f>
        <v>-1.5691096395405173</v>
      </c>
      <c r="AC90" s="14" cm="1">
        <f t="array" ref="AC90">BS_Greek("PUT","RHO",$Q90,$B$1,$B$2,$R$3,AC$6)</f>
        <v>-2.2565495032723408</v>
      </c>
      <c r="AD90" s="14" cm="1">
        <f t="array" ref="AD90">BS_Greek("PUT","RHO",$Q90,$B$1,$B$2,$R$3,AD$6)</f>
        <v>-2.9285488771785357</v>
      </c>
      <c r="AE90" s="23" cm="1">
        <f t="array" ref="AE90">BS_Greek("PUT","RHO",$Q90,$B$1,$B$2,$R$3,AE$6)</f>
        <v>-3.5900190517536212</v>
      </c>
      <c r="AF90" s="5"/>
      <c r="AG90" s="12">
        <v>75</v>
      </c>
      <c r="AH90" s="22" cm="1">
        <f t="array" ref="AH90">BS_Greek("PUT","RHO",$AG90,$B$1,$B$2,$AH$3,AH$86)</f>
        <v>-9.9900049983337513E-2</v>
      </c>
      <c r="AI90" s="14" cm="1">
        <f t="array" ref="AI90">BS_Greek("PUT","RHO",$AG90,$B$1,$B$2,$AH$3,AI$86)</f>
        <v>-0.19960039971898233</v>
      </c>
      <c r="AJ90" s="14" cm="1">
        <f t="array" ref="AJ90">BS_Greek("PUT","RHO",$AG90,$B$1,$B$2,$AH$3,AJ$86)</f>
        <v>-0.29910132259838007</v>
      </c>
      <c r="AK90" s="14" cm="1">
        <f t="array" ref="AK90">BS_Greek("PUT","RHO",$AG90,$B$1,$B$2,$AH$3,AK$86)</f>
        <v>-0.39840194648520055</v>
      </c>
      <c r="AL90" s="14" cm="1">
        <f t="array" ref="AL90">BS_Greek("PUT","RHO",$AG90,$B$1,$B$2,$AH$3,AL$86)</f>
        <v>-0.49749254581248642</v>
      </c>
      <c r="AM90" s="14" cm="1">
        <f t="array" ref="AM90">BS_Greek("PUT","RHO",$AG90,$B$1,$B$2,$AH$3,AM$86)</f>
        <v>-0.59633991425530075</v>
      </c>
      <c r="AN90" s="14" cm="1">
        <f t="array" ref="AN90">BS_Greek("PUT","RHO",$AG90,$B$1,$B$2,$AH$3,AN$86)</f>
        <v>-0.69487999767534281</v>
      </c>
      <c r="AO90" s="14" cm="1">
        <f t="array" ref="AO90">BS_Greek("PUT","RHO",$AG90,$B$1,$B$2,$AH$3,AO$86)</f>
        <v>-0.79302408550228254</v>
      </c>
      <c r="AP90" s="14" cm="1">
        <f t="array" ref="AP90">BS_Greek("PUT","RHO",$AG90,$B$1,$B$2,$AH$3,AP$86)</f>
        <v>-0.89067167653905843</v>
      </c>
      <c r="AQ90" s="14" cm="1">
        <f t="array" ref="AQ90">BS_Greek("PUT","RHO",$AG90,$B$1,$B$2,$AH$3,AQ$86)</f>
        <v>-0.98772259095825921</v>
      </c>
      <c r="AR90" s="14" cm="1">
        <f t="array" ref="AR90">BS_Greek("PUT","RHO",$AG90,$B$1,$B$2,$AH$3,AR$86)</f>
        <v>-1.9117921496304344</v>
      </c>
      <c r="AS90" s="14" cm="1">
        <f t="array" ref="AS90">BS_Greek("PUT","RHO",$AG90,$B$1,$B$2,$AH$3,AS$86)</f>
        <v>-2.7433364363860733</v>
      </c>
      <c r="AT90" s="14" cm="1">
        <f t="array" ref="AT90">BS_Greek("PUT","RHO",$AG90,$B$1,$B$2,$AH$3,AT$86)</f>
        <v>-3.4958079648603313</v>
      </c>
      <c r="AU90" s="23" cm="1">
        <f t="array" ref="AU90">BS_Greek("PUT","RHO",$AG90,$B$1,$B$2,$AH$3,AU$86)</f>
        <v>-4.1851840910857252</v>
      </c>
      <c r="AV90" s="5"/>
      <c r="AW90" s="5"/>
      <c r="AX90" s="5"/>
      <c r="AY90" s="5"/>
      <c r="AZ90" s="5"/>
      <c r="BA90" s="5"/>
      <c r="BB90" s="5"/>
    </row>
    <row r="91" spans="1:54" x14ac:dyDescent="0.2">
      <c r="A91" s="12">
        <v>80</v>
      </c>
      <c r="B91" s="22" cm="1">
        <f t="array" ref="B91">BS_Greek("PUT","RHO",$A91,$B$1,$B$2,$B$3,B$6)</f>
        <v>-9.9880365963861059E-2</v>
      </c>
      <c r="C91" s="14" cm="1">
        <f t="array" ref="C91">BS_Greek("PUT","RHO",$A91,$B$1,$B$2,$B$3,C$6)</f>
        <v>-0.19841978436548494</v>
      </c>
      <c r="D91" s="14" cm="1">
        <f t="array" ref="D91">BS_Greek("PUT","RHO",$A91,$B$1,$B$2,$B$3,D$6)</f>
        <v>-0.29327187442853186</v>
      </c>
      <c r="E91" s="14" cm="1">
        <f t="array" ref="E91">BS_Greek("PUT","RHO",$A91,$B$1,$B$2,$B$3,E$6)</f>
        <v>-0.38395353517001563</v>
      </c>
      <c r="F91" s="14" cm="1">
        <f t="array" ref="F91">BS_Greek("PUT","RHO",$A91,$B$1,$B$2,$B$3,F$6)</f>
        <v>-0.47096501783520422</v>
      </c>
      <c r="G91" s="14" cm="1">
        <f t="array" ref="G91">BS_Greek("PUT","RHO",$A91,$B$1,$B$2,$B$3,G$6)</f>
        <v>-0.55492757242980628</v>
      </c>
      <c r="H91" s="14" cm="1">
        <f t="array" ref="H91">BS_Greek("PUT","RHO",$A91,$B$1,$B$2,$B$3,H$6)</f>
        <v>-0.636373971929034</v>
      </c>
      <c r="I91" s="14" cm="1">
        <f t="array" ref="I91">BS_Greek("PUT","RHO",$A91,$B$1,$B$2,$B$3,I$6)</f>
        <v>-0.71572661144250871</v>
      </c>
      <c r="J91" s="14" cm="1">
        <f t="array" ref="J91">BS_Greek("PUT","RHO",$A91,$B$1,$B$2,$B$3,J$6)</f>
        <v>-0.7933152003374272</v>
      </c>
      <c r="K91" s="14" cm="1">
        <f t="array" ref="K91">BS_Greek("PUT","RHO",$A91,$B$1,$B$2,$B$3,K$6)</f>
        <v>-0.86939811441071069</v>
      </c>
      <c r="L91" s="14" cm="1">
        <f t="array" ref="L91">BS_Greek("PUT","RHO",$A91,$B$1,$B$2,$B$3,L$6)</f>
        <v>-1.5781333252461023</v>
      </c>
      <c r="M91" s="14" cm="1">
        <f t="array" ref="M91">BS_Greek("PUT","RHO",$A91,$B$1,$B$2,$B$3,M$6)</f>
        <v>-2.2345611221477659</v>
      </c>
      <c r="N91" s="14" cm="1">
        <f t="array" ref="N91">BS_Greek("PUT","RHO",$A91,$B$1,$B$2,$B$3,N$6)</f>
        <v>-2.8619442081618183</v>
      </c>
      <c r="O91" s="23" cm="1">
        <f t="array" ref="O91">BS_Greek("PUT","RHO",$A91,$B$1,$B$2,$B$3,O$6)</f>
        <v>-3.4687687242801872</v>
      </c>
      <c r="P91" s="5"/>
      <c r="Q91" s="12">
        <v>80</v>
      </c>
      <c r="R91" s="22" cm="1">
        <f t="array" ref="R91">BS_Greek("PUT","RHO",$Q91,$B$1,$B$2,$R$3,R$6)</f>
        <v>-9.9056254487734433E-2</v>
      </c>
      <c r="S91" s="14" cm="1">
        <f t="array" ref="S91">BS_Greek("PUT","RHO",$Q91,$B$1,$B$2,$R$3,S$6)</f>
        <v>-0.190990239643789</v>
      </c>
      <c r="T91" s="14" cm="1">
        <f t="array" ref="T91">BS_Greek("PUT","RHO",$Q91,$B$1,$B$2,$R$3,T$6)</f>
        <v>-0.27591313342368479</v>
      </c>
      <c r="U91" s="14" cm="1">
        <f t="array" ref="U91">BS_Greek("PUT","RHO",$Q91,$B$1,$B$2,$R$3,U$6)</f>
        <v>-0.35630152749774363</v>
      </c>
      <c r="V91" s="14" cm="1">
        <f t="array" ref="V91">BS_Greek("PUT","RHO",$Q91,$B$1,$B$2,$R$3,V$6)</f>
        <v>-0.43367000036610237</v>
      </c>
      <c r="W91" s="14" cm="1">
        <f t="array" ref="W91">BS_Greek("PUT","RHO",$Q91,$B$1,$B$2,$R$3,W$6)</f>
        <v>-0.50890833069967689</v>
      </c>
      <c r="X91" s="14" cm="1">
        <f t="array" ref="X91">BS_Greek("PUT","RHO",$Q91,$B$1,$B$2,$R$3,X$6)</f>
        <v>-0.58257023016842246</v>
      </c>
      <c r="Y91" s="14" cm="1">
        <f t="array" ref="Y91">BS_Greek("PUT","RHO",$Q91,$B$1,$B$2,$R$3,Y$6)</f>
        <v>-0.65502063668732957</v>
      </c>
      <c r="Z91" s="14" cm="1">
        <f t="array" ref="Z91">BS_Greek("PUT","RHO",$Q91,$B$1,$B$2,$R$3,Z$6)</f>
        <v>-0.72651182904195077</v>
      </c>
      <c r="AA91" s="14" cm="1">
        <f t="array" ref="AA91">BS_Greek("PUT","RHO",$Q91,$B$1,$B$2,$R$3,AA$6)</f>
        <v>-0.79722509078333059</v>
      </c>
      <c r="AB91" s="14" cm="1">
        <f t="array" ref="AB91">BS_Greek("PUT","RHO",$Q91,$B$1,$B$2,$R$3,AB$6)</f>
        <v>-1.4804925745616107</v>
      </c>
      <c r="AC91" s="14" cm="1">
        <f t="array" ref="AC91">BS_Greek("PUT","RHO",$Q91,$B$1,$B$2,$R$3,AC$6)</f>
        <v>-2.1431725195190499</v>
      </c>
      <c r="AD91" s="14" cm="1">
        <f t="array" ref="AD91">BS_Greek("PUT","RHO",$Q91,$B$1,$B$2,$R$3,AD$6)</f>
        <v>-2.795858762583689</v>
      </c>
      <c r="AE91" s="23" cm="1">
        <f t="array" ref="AE91">BS_Greek("PUT","RHO",$Q91,$B$1,$B$2,$R$3,AE$6)</f>
        <v>-3.4414649060133029</v>
      </c>
      <c r="AF91" s="5"/>
      <c r="AG91" s="12">
        <v>80</v>
      </c>
      <c r="AH91" s="22" cm="1">
        <f t="array" ref="AH91">BS_Greek("PUT","RHO",$AG91,$B$1,$B$2,$AH$3,AH$86)</f>
        <v>-9.9900049983241909E-2</v>
      </c>
      <c r="AI91" s="14" cm="1">
        <f t="array" ref="AI91">BS_Greek("PUT","RHO",$AG91,$B$1,$B$2,$AH$3,AI$86)</f>
        <v>-0.19960033197089469</v>
      </c>
      <c r="AJ91" s="14" cm="1">
        <f t="array" ref="AJ91">BS_Greek("PUT","RHO",$AG91,$B$1,$B$2,$AH$3,AJ$86)</f>
        <v>-0.29909357825878446</v>
      </c>
      <c r="AK91" s="14" cm="1">
        <f t="array" ref="AK91">BS_Greek("PUT","RHO",$AG91,$B$1,$B$2,$AH$3,AK$86)</f>
        <v>-0.39830932167047478</v>
      </c>
      <c r="AL91" s="14" cm="1">
        <f t="array" ref="AL91">BS_Greek("PUT","RHO",$AG91,$B$1,$B$2,$AH$3,AL$86)</f>
        <v>-0.49705693331611978</v>
      </c>
      <c r="AM91" s="14" cm="1">
        <f t="array" ref="AM91">BS_Greek("PUT","RHO",$AG91,$B$1,$B$2,$AH$3,AM$86)</f>
        <v>-0.59507405122365842</v>
      </c>
      <c r="AN91" s="14" cm="1">
        <f t="array" ref="AN91">BS_Greek("PUT","RHO",$AG91,$B$1,$B$2,$AH$3,AN$86)</f>
        <v>-0.69210769581279652</v>
      </c>
      <c r="AO91" s="14" cm="1">
        <f t="array" ref="AO91">BS_Greek("PUT","RHO",$AG91,$B$1,$B$2,$AH$3,AO$86)</f>
        <v>-0.78795837941602986</v>
      </c>
      <c r="AP91" s="14" cm="1">
        <f t="array" ref="AP91">BS_Greek("PUT","RHO",$AG91,$B$1,$B$2,$AH$3,AP$86)</f>
        <v>-0.88248936205981077</v>
      </c>
      <c r="AQ91" s="14" cm="1">
        <f t="array" ref="AQ91">BS_Greek("PUT","RHO",$AG91,$B$1,$B$2,$AH$3,AQ$86)</f>
        <v>-0.97561925382655401</v>
      </c>
      <c r="AR91" s="14" cm="1">
        <f t="array" ref="AR91">BS_Greek("PUT","RHO",$AG91,$B$1,$B$2,$AH$3,AR$86)</f>
        <v>-1.8312350274293627</v>
      </c>
      <c r="AS91" s="14" cm="1">
        <f t="array" ref="AS91">BS_Greek("PUT","RHO",$AG91,$B$1,$B$2,$AH$3,AS$86)</f>
        <v>-2.5772999483671151</v>
      </c>
      <c r="AT91" s="14" cm="1">
        <f t="array" ref="AT91">BS_Greek("PUT","RHO",$AG91,$B$1,$B$2,$AH$3,AT$86)</f>
        <v>-3.2479221622975727</v>
      </c>
      <c r="AU91" s="23" cm="1">
        <f t="array" ref="AU91">BS_Greek("PUT","RHO",$AG91,$B$1,$B$2,$AH$3,AU$86)</f>
        <v>-3.863061057732152</v>
      </c>
      <c r="AV91" s="5"/>
      <c r="AW91" s="5"/>
      <c r="AX91" s="5"/>
      <c r="AY91" s="5"/>
      <c r="AZ91" s="5"/>
      <c r="BA91" s="5"/>
      <c r="BB91" s="5"/>
    </row>
    <row r="92" spans="1:54" x14ac:dyDescent="0.2">
      <c r="A92" s="12">
        <v>85</v>
      </c>
      <c r="B92" s="22" cm="1">
        <f t="array" ref="B92">BS_Greek("PUT","RHO",$A92,$B$1,$B$2,$B$3,B$6)</f>
        <v>-9.9414292021761066E-2</v>
      </c>
      <c r="C92" s="14" cm="1">
        <f t="array" ref="C92">BS_Greek("PUT","RHO",$A92,$B$1,$B$2,$B$3,C$6)</f>
        <v>-0.1930275911203656</v>
      </c>
      <c r="D92" s="14" cm="1">
        <f t="array" ref="D92">BS_Greek("PUT","RHO",$A92,$B$1,$B$2,$B$3,D$6)</f>
        <v>-0.27954086416817797</v>
      </c>
      <c r="E92" s="14" cm="1">
        <f t="array" ref="E92">BS_Greek("PUT","RHO",$A92,$B$1,$B$2,$B$3,E$6)</f>
        <v>-0.36094855187459551</v>
      </c>
      <c r="F92" s="14" cm="1">
        <f t="array" ref="F92">BS_Greek("PUT","RHO",$A92,$B$1,$B$2,$B$3,F$6)</f>
        <v>-0.43875068358505365</v>
      </c>
      <c r="G92" s="14" cm="1">
        <f t="array" ref="G92">BS_Greek("PUT","RHO",$A92,$B$1,$B$2,$B$3,G$6)</f>
        <v>-0.51390032109866024</v>
      </c>
      <c r="H92" s="14" cm="1">
        <f t="array" ref="H92">BS_Greek("PUT","RHO",$A92,$B$1,$B$2,$B$3,H$6)</f>
        <v>-0.58701700610865215</v>
      </c>
      <c r="I92" s="14" cm="1">
        <f t="array" ref="I92">BS_Greek("PUT","RHO",$A92,$B$1,$B$2,$B$3,I$6)</f>
        <v>-0.65852123968914777</v>
      </c>
      <c r="J92" s="14" cm="1">
        <f t="array" ref="J92">BS_Greek("PUT","RHO",$A92,$B$1,$B$2,$B$3,J$6)</f>
        <v>-0.72871028885159717</v>
      </c>
      <c r="K92" s="14" cm="1">
        <f t="array" ref="K92">BS_Greek("PUT","RHO",$A92,$B$1,$B$2,$B$3,K$6)</f>
        <v>-0.79780177175508082</v>
      </c>
      <c r="L92" s="14" cm="1">
        <f t="array" ref="L92">BS_Greek("PUT","RHO",$A92,$B$1,$B$2,$B$3,L$6)</f>
        <v>-1.4519373350091147</v>
      </c>
      <c r="M92" s="14" cm="1">
        <f t="array" ref="M92">BS_Greek("PUT","RHO",$A92,$B$1,$B$2,$B$3,M$6)</f>
        <v>-2.0694088502785393</v>
      </c>
      <c r="N92" s="14" cm="1">
        <f t="array" ref="N92">BS_Greek("PUT","RHO",$A92,$B$1,$B$2,$B$3,N$6)</f>
        <v>-2.665906412411668</v>
      </c>
      <c r="O92" s="23" cm="1">
        <f t="array" ref="O92">BS_Greek("PUT","RHO",$A92,$B$1,$B$2,$B$3,O$6)</f>
        <v>-3.2469274685521823</v>
      </c>
      <c r="P92" s="5"/>
      <c r="Q92" s="12">
        <v>85</v>
      </c>
      <c r="R92" s="22" cm="1">
        <f t="array" ref="R92">BS_Greek("PUT","RHO",$Q92,$B$1,$B$2,$R$3,R$6)</f>
        <v>-9.5898079367803174E-2</v>
      </c>
      <c r="S92" s="14" cm="1">
        <f t="array" ref="S92">BS_Greek("PUT","RHO",$Q92,$B$1,$B$2,$R$3,S$6)</f>
        <v>-0.17900138464702653</v>
      </c>
      <c r="T92" s="14" cm="1">
        <f t="array" ref="T92">BS_Greek("PUT","RHO",$Q92,$B$1,$B$2,$R$3,T$6)</f>
        <v>-0.25537879201417174</v>
      </c>
      <c r="U92" s="14" cm="1">
        <f t="array" ref="U92">BS_Greek("PUT","RHO",$Q92,$B$1,$B$2,$R$3,U$6)</f>
        <v>-0.32824500784124311</v>
      </c>
      <c r="V92" s="14" cm="1">
        <f t="array" ref="V92">BS_Greek("PUT","RHO",$Q92,$B$1,$B$2,$R$3,V$6)</f>
        <v>-0.3989765623363617</v>
      </c>
      <c r="W92" s="14" cm="1">
        <f t="array" ref="W92">BS_Greek("PUT","RHO",$Q92,$B$1,$B$2,$R$3,W$6)</f>
        <v>-0.46827795145290696</v>
      </c>
      <c r="X92" s="14" cm="1">
        <f t="array" ref="X92">BS_Greek("PUT","RHO",$Q92,$B$1,$B$2,$R$3,X$6)</f>
        <v>-0.5365572432015524</v>
      </c>
      <c r="Y92" s="14" cm="1">
        <f t="array" ref="Y92">BS_Greek("PUT","RHO",$Q92,$B$1,$B$2,$R$3,Y$6)</f>
        <v>-0.60407187755530889</v>
      </c>
      <c r="Z92" s="14" cm="1">
        <f t="array" ref="Z92">BS_Greek("PUT","RHO",$Q92,$B$1,$B$2,$R$3,Z$6)</f>
        <v>-0.67099459943799789</v>
      </c>
      <c r="AA92" s="14" cm="1">
        <f t="array" ref="AA92">BS_Greek("PUT","RHO",$Q92,$B$1,$B$2,$R$3,AA$6)</f>
        <v>-0.73744682235929238</v>
      </c>
      <c r="AB92" s="14" cm="1">
        <f t="array" ref="AB92">BS_Greek("PUT","RHO",$Q92,$B$1,$B$2,$R$3,AB$6)</f>
        <v>-1.3882985664860106</v>
      </c>
      <c r="AC92" s="14" cm="1">
        <f t="array" ref="AC92">BS_Greek("PUT","RHO",$Q92,$B$1,$B$2,$R$3,AC$6)</f>
        <v>-2.0282342641574003</v>
      </c>
      <c r="AD92" s="14" cm="1">
        <f t="array" ref="AD92">BS_Greek("PUT","RHO",$Q92,$B$1,$B$2,$R$3,AD$6)</f>
        <v>-2.6630737119348513</v>
      </c>
      <c r="AE92" s="23" cm="1">
        <f t="array" ref="AE92">BS_Greek("PUT","RHO",$Q92,$B$1,$B$2,$R$3,AE$6)</f>
        <v>-3.2939567853055052</v>
      </c>
      <c r="AF92" s="5"/>
      <c r="AG92" s="12">
        <v>85</v>
      </c>
      <c r="AH92" s="22" cm="1">
        <f t="array" ref="AH92">BS_Greek("PUT","RHO",$AG92,$B$1,$B$2,$AH$3,AH$86)</f>
        <v>-9.9900035001622409E-2</v>
      </c>
      <c r="AI92" s="14" cm="1">
        <f t="array" ref="AI92">BS_Greek("PUT","RHO",$AG92,$B$1,$B$2,$AH$3,AI$86)</f>
        <v>-0.1995700377223957</v>
      </c>
      <c r="AJ92" s="14" cm="1">
        <f t="array" ref="AJ92">BS_Greek("PUT","RHO",$AG92,$B$1,$B$2,$AH$3,AJ$86)</f>
        <v>-0.29861017224298619</v>
      </c>
      <c r="AK92" s="14" cm="1">
        <f t="array" ref="AK92">BS_Greek("PUT","RHO",$AG92,$B$1,$B$2,$AH$3,AK$86)</f>
        <v>-0.3961825093921294</v>
      </c>
      <c r="AL92" s="14" cm="1">
        <f t="array" ref="AL92">BS_Greek("PUT","RHO",$AG92,$B$1,$B$2,$AH$3,AL$86)</f>
        <v>-0.49162693233839572</v>
      </c>
      <c r="AM92" s="14" cm="1">
        <f t="array" ref="AM92">BS_Greek("PUT","RHO",$AG92,$B$1,$B$2,$AH$3,AM$86)</f>
        <v>-0.58464424984096153</v>
      </c>
      <c r="AN92" s="14" cm="1">
        <f t="array" ref="AN92">BS_Greek("PUT","RHO",$AG92,$B$1,$B$2,$AH$3,AN$86)</f>
        <v>-0.67518489921089664</v>
      </c>
      <c r="AO92" s="14" cm="1">
        <f t="array" ref="AO92">BS_Greek("PUT","RHO",$AG92,$B$1,$B$2,$AH$3,AO$86)</f>
        <v>-0.76333065645166864</v>
      </c>
      <c r="AP92" s="14" cm="1">
        <f t="array" ref="AP92">BS_Greek("PUT","RHO",$AG92,$B$1,$B$2,$AH$3,AP$86)</f>
        <v>-0.84922150791862006</v>
      </c>
      <c r="AQ92" s="14" cm="1">
        <f t="array" ref="AQ92">BS_Greek("PUT","RHO",$AG92,$B$1,$B$2,$AH$3,AQ$86)</f>
        <v>-0.93301664808441942</v>
      </c>
      <c r="AR92" s="14" cm="1">
        <f t="array" ref="AR92">BS_Greek("PUT","RHO",$AG92,$B$1,$B$2,$AH$3,AR$86)</f>
        <v>-1.6851347130193406</v>
      </c>
      <c r="AS92" s="14" cm="1">
        <f t="array" ref="AS92">BS_Greek("PUT","RHO",$AG92,$B$1,$B$2,$AH$3,AS$86)</f>
        <v>-2.3372499898052825</v>
      </c>
      <c r="AT92" s="14" cm="1">
        <f t="array" ref="AT92">BS_Greek("PUT","RHO",$AG92,$B$1,$B$2,$AH$3,AT$86)</f>
        <v>-2.9283005382871439</v>
      </c>
      <c r="AU92" s="23" cm="1">
        <f t="array" ref="AU92">BS_Greek("PUT","RHO",$AG92,$B$1,$B$2,$AH$3,AU$86)</f>
        <v>-3.4754296402903977</v>
      </c>
      <c r="AV92" s="5"/>
      <c r="AW92" s="5"/>
      <c r="AX92" s="5"/>
      <c r="AY92" s="5"/>
      <c r="AZ92" s="5"/>
      <c r="BA92" s="5"/>
      <c r="BB92" s="5"/>
    </row>
    <row r="93" spans="1:54" x14ac:dyDescent="0.2">
      <c r="A93" s="12">
        <v>90</v>
      </c>
      <c r="B93" s="22" cm="1">
        <f t="array" ref="B93">BS_Greek("PUT","RHO",$A93,$B$1,$B$2,$B$3,B$6)</f>
        <v>-9.5273399454231758E-2</v>
      </c>
      <c r="C93" s="14" cm="1">
        <f t="array" ref="C93">BS_Greek("PUT","RHO",$A93,$B$1,$B$2,$B$3,C$6)</f>
        <v>-0.17664512161955695</v>
      </c>
      <c r="D93" s="14" cm="1">
        <f t="array" ref="D93">BS_Greek("PUT","RHO",$A93,$B$1,$B$2,$B$3,D$6)</f>
        <v>-0.25086087962514603</v>
      </c>
      <c r="E93" s="14" cm="1">
        <f t="array" ref="E93">BS_Greek("PUT","RHO",$A93,$B$1,$B$2,$B$3,E$6)</f>
        <v>-0.32125751421305249</v>
      </c>
      <c r="F93" s="14" cm="1">
        <f t="array" ref="F93">BS_Greek("PUT","RHO",$A93,$B$1,$B$2,$B$3,F$6)</f>
        <v>-0.38925508361484984</v>
      </c>
      <c r="G93" s="14" cm="1">
        <f t="array" ref="G93">BS_Greek("PUT","RHO",$A93,$B$1,$B$2,$B$3,G$6)</f>
        <v>-0.45558439750236135</v>
      </c>
      <c r="H93" s="14" cm="1">
        <f t="array" ref="H93">BS_Greek("PUT","RHO",$A93,$B$1,$B$2,$B$3,H$6)</f>
        <v>-0.52067288526246513</v>
      </c>
      <c r="I93" s="14" cm="1">
        <f t="array" ref="I93">BS_Greek("PUT","RHO",$A93,$B$1,$B$2,$B$3,I$6)</f>
        <v>-0.58479342652948607</v>
      </c>
      <c r="J93" s="14" cm="1">
        <f t="array" ref="J93">BS_Greek("PUT","RHO",$A93,$B$1,$B$2,$B$3,J$6)</f>
        <v>-0.64813159334649983</v>
      </c>
      <c r="K93" s="14" cm="1">
        <f t="array" ref="K93">BS_Greek("PUT","RHO",$A93,$B$1,$B$2,$B$3,K$6)</f>
        <v>-0.71081972912872315</v>
      </c>
      <c r="L93" s="14" cm="1">
        <f t="array" ref="L93">BS_Greek("PUT","RHO",$A93,$B$1,$B$2,$B$3,L$6)</f>
        <v>-1.3158096309700396</v>
      </c>
      <c r="M93" s="14" cm="1">
        <f t="array" ref="M93">BS_Greek("PUT","RHO",$A93,$B$1,$B$2,$B$3,M$6)</f>
        <v>-1.8982199268452462</v>
      </c>
      <c r="N93" s="14" cm="1">
        <f t="array" ref="N93">BS_Greek("PUT","RHO",$A93,$B$1,$B$2,$B$3,N$6)</f>
        <v>-2.4667209312610381</v>
      </c>
      <c r="O93" s="23" cm="1">
        <f t="array" ref="O93">BS_Greek("PUT","RHO",$A93,$B$1,$B$2,$B$3,O$6)</f>
        <v>-3.024212005593808</v>
      </c>
      <c r="P93" s="5"/>
      <c r="Q93" s="12">
        <v>90</v>
      </c>
      <c r="R93" s="22" cm="1">
        <f t="array" ref="R93">BS_Greek("PUT","RHO",$Q93,$B$1,$B$2,$R$3,R$6)</f>
        <v>-8.7353656633138807E-2</v>
      </c>
      <c r="S93" s="14" cm="1">
        <f t="array" ref="S93">BS_Greek("PUT","RHO",$Q93,$B$1,$B$2,$R$3,S$6)</f>
        <v>-0.15944882974268876</v>
      </c>
      <c r="T93" s="14" cm="1">
        <f t="array" ref="T93">BS_Greek("PUT","RHO",$Q93,$B$1,$B$2,$R$3,T$6)</f>
        <v>-0.22720559225843823</v>
      </c>
      <c r="U93" s="14" cm="1">
        <f t="array" ref="U93">BS_Greek("PUT","RHO",$Q93,$B$1,$B$2,$R$3,U$6)</f>
        <v>-0.29296712274180509</v>
      </c>
      <c r="V93" s="14" cm="1">
        <f t="array" ref="V93">BS_Greek("PUT","RHO",$Q93,$B$1,$B$2,$R$3,V$6)</f>
        <v>-0.35758896429098663</v>
      </c>
      <c r="W93" s="14" cm="1">
        <f t="array" ref="W93">BS_Greek("PUT","RHO",$Q93,$B$1,$B$2,$R$3,W$6)</f>
        <v>-0.42148338138168451</v>
      </c>
      <c r="X93" s="14" cm="1">
        <f t="array" ref="X93">BS_Greek("PUT","RHO",$Q93,$B$1,$B$2,$R$3,X$6)</f>
        <v>-0.48488129083332399</v>
      </c>
      <c r="Y93" s="14" cm="1">
        <f t="array" ref="Y93">BS_Greek("PUT","RHO",$Q93,$B$1,$B$2,$R$3,Y$6)</f>
        <v>-0.54792489416524293</v>
      </c>
      <c r="Z93" s="14" cm="1">
        <f t="array" ref="Z93">BS_Greek("PUT","RHO",$Q93,$B$1,$B$2,$R$3,Z$6)</f>
        <v>-0.61070764584295278</v>
      </c>
      <c r="AA93" s="14" cm="1">
        <f t="array" ref="AA93">BS_Greek("PUT","RHO",$Q93,$B$1,$B$2,$R$3,AA$6)</f>
        <v>-0.67329392708837998</v>
      </c>
      <c r="AB93" s="14" cm="1">
        <f t="array" ref="AB93">BS_Greek("PUT","RHO",$Q93,$B$1,$B$2,$R$3,AB$6)</f>
        <v>-1.2944838850232225</v>
      </c>
      <c r="AC93" s="14" cm="1">
        <f t="array" ref="AC93">BS_Greek("PUT","RHO",$Q93,$B$1,$B$2,$R$3,AC$6)</f>
        <v>-1.9133364425328785</v>
      </c>
      <c r="AD93" s="14" cm="1">
        <f t="array" ref="AD93">BS_Greek("PUT","RHO",$Q93,$B$1,$B$2,$R$3,AD$6)</f>
        <v>-2.5315111590315631</v>
      </c>
      <c r="AE93" s="23" cm="1">
        <f t="array" ref="AE93">BS_Greek("PUT","RHO",$Q93,$B$1,$B$2,$R$3,AE$6)</f>
        <v>-3.1485852336066733</v>
      </c>
      <c r="AF93" s="5"/>
      <c r="AG93" s="12">
        <v>90</v>
      </c>
      <c r="AH93" s="22" cm="1">
        <f t="array" ref="AH93">BS_Greek("PUT","RHO",$AG93,$B$1,$B$2,$AH$3,AH$86)</f>
        <v>-9.985443454753605E-2</v>
      </c>
      <c r="AI93" s="14" cm="1">
        <f t="array" ref="AI93">BS_Greek("PUT","RHO",$AG93,$B$1,$B$2,$AH$3,AI$86)</f>
        <v>-0.19764250540073472</v>
      </c>
      <c r="AJ93" s="14" cm="1">
        <f t="array" ref="AJ93">BS_Greek("PUT","RHO",$AG93,$B$1,$B$2,$AH$3,AJ$86)</f>
        <v>-0.29043783160633652</v>
      </c>
      <c r="AK93" s="14" cm="1">
        <f t="array" ref="AK93">BS_Greek("PUT","RHO",$AG93,$B$1,$B$2,$AH$3,AK$86)</f>
        <v>-0.37804449596512057</v>
      </c>
      <c r="AL93" s="14" cm="1">
        <f t="array" ref="AL93">BS_Greek("PUT","RHO",$AG93,$B$1,$B$2,$AH$3,AL$86)</f>
        <v>-0.46124764352636227</v>
      </c>
      <c r="AM93" s="14" cm="1">
        <f t="array" ref="AM93">BS_Greek("PUT","RHO",$AG93,$B$1,$B$2,$AH$3,AM$86)</f>
        <v>-0.54084164328407514</v>
      </c>
      <c r="AN93" s="14" cm="1">
        <f t="array" ref="AN93">BS_Greek("PUT","RHO",$AG93,$B$1,$B$2,$AH$3,AN$86)</f>
        <v>-0.61746316022743408</v>
      </c>
      <c r="AO93" s="14" cm="1">
        <f t="array" ref="AO93">BS_Greek("PUT","RHO",$AG93,$B$1,$B$2,$AH$3,AO$86)</f>
        <v>-0.69160045612128529</v>
      </c>
      <c r="AP93" s="14" cm="1">
        <f t="array" ref="AP93">BS_Greek("PUT","RHO",$AG93,$B$1,$B$2,$AH$3,AP$86)</f>
        <v>-0.76362775076181977</v>
      </c>
      <c r="AQ93" s="14" cm="1">
        <f t="array" ref="AQ93">BS_Greek("PUT","RHO",$AG93,$B$1,$B$2,$AH$3,AQ$86)</f>
        <v>-0.83383533155302392</v>
      </c>
      <c r="AR93" s="14" cm="1">
        <f t="array" ref="AR93">BS_Greek("PUT","RHO",$AG93,$B$1,$B$2,$AH$3,AR$86)</f>
        <v>-1.470180213210559</v>
      </c>
      <c r="AS93" s="14" cm="1">
        <f t="array" ref="AS93">BS_Greek("PUT","RHO",$AG93,$B$1,$B$2,$AH$3,AS$86)</f>
        <v>-2.035196727627282</v>
      </c>
      <c r="AT93" s="14" cm="1">
        <f t="array" ref="AT93">BS_Greek("PUT","RHO",$AG93,$B$1,$B$2,$AH$3,AT$86)</f>
        <v>-2.5566162545287616</v>
      </c>
      <c r="AU93" s="23" cm="1">
        <f t="array" ref="AU93">BS_Greek("PUT","RHO",$AG93,$B$1,$B$2,$AH$3,AU$86)</f>
        <v>-3.0455786504962981</v>
      </c>
      <c r="AV93" s="5"/>
      <c r="AW93" s="5"/>
      <c r="AX93" s="5"/>
      <c r="AY93" s="5"/>
      <c r="AZ93" s="5"/>
      <c r="BA93" s="5"/>
      <c r="BB93" s="5"/>
    </row>
    <row r="94" spans="1:54" x14ac:dyDescent="0.2">
      <c r="A94" s="12">
        <v>95</v>
      </c>
      <c r="B94" s="22" cm="1">
        <f t="array" ref="B94">BS_Greek("PUT","RHO",$A94,$B$1,$B$2,$B$3,B$6)</f>
        <v>-7.950377346604158E-2</v>
      </c>
      <c r="C94" s="14" cm="1">
        <f t="array" ref="C94">BS_Greek("PUT","RHO",$A94,$B$1,$B$2,$B$3,C$6)</f>
        <v>-0.14458214370301659</v>
      </c>
      <c r="D94" s="14" cm="1">
        <f t="array" ref="D94">BS_Greek("PUT","RHO",$A94,$B$1,$B$2,$B$3,D$6)</f>
        <v>-0.2063564353985079</v>
      </c>
      <c r="E94" s="14" cm="1">
        <f t="array" ref="E94">BS_Greek("PUT","RHO",$A94,$B$1,$B$2,$B$3,E$6)</f>
        <v>-0.26652860795022787</v>
      </c>
      <c r="F94" s="14" cm="1">
        <f t="array" ref="F94">BS_Greek("PUT","RHO",$A94,$B$1,$B$2,$B$3,F$6)</f>
        <v>-0.32571967311131311</v>
      </c>
      <c r="G94" s="14" cm="1">
        <f t="array" ref="G94">BS_Greek("PUT","RHO",$A94,$B$1,$B$2,$B$3,G$6)</f>
        <v>-0.38423416226145973</v>
      </c>
      <c r="H94" s="14" cm="1">
        <f t="array" ref="H94">BS_Greek("PUT","RHO",$A94,$B$1,$B$2,$B$3,H$6)</f>
        <v>-0.44224635428979558</v>
      </c>
      <c r="I94" s="14" cm="1">
        <f t="array" ref="I94">BS_Greek("PUT","RHO",$A94,$B$1,$B$2,$B$3,I$6)</f>
        <v>-0.49986608952017575</v>
      </c>
      <c r="J94" s="14" cm="1">
        <f t="array" ref="J94">BS_Greek("PUT","RHO",$A94,$B$1,$B$2,$B$3,J$6)</f>
        <v>-0.55716734327099038</v>
      </c>
      <c r="K94" s="14" cm="1">
        <f t="array" ref="K94">BS_Greek("PUT","RHO",$A94,$B$1,$B$2,$B$3,K$6)</f>
        <v>-0.6142024111484663</v>
      </c>
      <c r="L94" s="14" cm="1">
        <f t="array" ref="L94">BS_Greek("PUT","RHO",$A94,$B$1,$B$2,$B$3,L$6)</f>
        <v>-1.1752633104385721</v>
      </c>
      <c r="M94" s="14" cm="1">
        <f t="array" ref="M94">BS_Greek("PUT","RHO",$A94,$B$1,$B$2,$B$3,M$6)</f>
        <v>-1.7257498868906034</v>
      </c>
      <c r="N94" s="14" cm="1">
        <f t="array" ref="N94">BS_Greek("PUT","RHO",$A94,$B$1,$B$2,$B$3,N$6)</f>
        <v>-2.2684912659159515</v>
      </c>
      <c r="O94" s="23" cm="1">
        <f t="array" ref="O94">BS_Greek("PUT","RHO",$A94,$B$1,$B$2,$B$3,O$6)</f>
        <v>-2.804192057514328</v>
      </c>
      <c r="P94" s="5"/>
      <c r="Q94" s="12">
        <v>95</v>
      </c>
      <c r="R94" s="22" cm="1">
        <f t="array" ref="R94">BS_Greek("PUT","RHO",$Q94,$B$1,$B$2,$R$3,R$6)</f>
        <v>-7.1750558994645955E-2</v>
      </c>
      <c r="S94" s="14" cm="1">
        <f t="array" ref="S94">BS_Greek("PUT","RHO",$Q94,$B$1,$B$2,$R$3,S$6)</f>
        <v>-0.13333997377192361</v>
      </c>
      <c r="T94" s="14" cm="1">
        <f t="array" ref="T94">BS_Greek("PUT","RHO",$Q94,$B$1,$B$2,$R$3,T$6)</f>
        <v>-0.19338834480645484</v>
      </c>
      <c r="U94" s="14" cm="1">
        <f t="array" ref="U94">BS_Greek("PUT","RHO",$Q94,$B$1,$B$2,$R$3,U$6)</f>
        <v>-0.25283630479182273</v>
      </c>
      <c r="V94" s="14" cm="1">
        <f t="array" ref="V94">BS_Greek("PUT","RHO",$Q94,$B$1,$B$2,$R$3,V$6)</f>
        <v>-0.31200732377082807</v>
      </c>
      <c r="W94" s="14" cm="1">
        <f t="array" ref="W94">BS_Greek("PUT","RHO",$Q94,$B$1,$B$2,$R$3,W$6)</f>
        <v>-0.37104981227197859</v>
      </c>
      <c r="X94" s="14" cm="1">
        <f t="array" ref="X94">BS_Greek("PUT","RHO",$Q94,$B$1,$B$2,$R$3,X$6)</f>
        <v>-0.43004230654885539</v>
      </c>
      <c r="Y94" s="14" cm="1">
        <f t="array" ref="Y94">BS_Greek("PUT","RHO",$Q94,$B$1,$B$2,$R$3,Y$6)</f>
        <v>-0.48902993481693968</v>
      </c>
      <c r="Z94" s="14" cm="1">
        <f t="array" ref="Z94">BS_Greek("PUT","RHO",$Q94,$B$1,$B$2,$R$3,Z$6)</f>
        <v>-0.54803992710897975</v>
      </c>
      <c r="AA94" s="14" cm="1">
        <f t="array" ref="AA94">BS_Greek("PUT","RHO",$Q94,$B$1,$B$2,$R$3,AA$6)</f>
        <v>-0.60708914287474702</v>
      </c>
      <c r="AB94" s="14" cm="1">
        <f t="array" ref="AB94">BS_Greek("PUT","RHO",$Q94,$B$1,$B$2,$R$3,AB$6)</f>
        <v>-1.200781034883954</v>
      </c>
      <c r="AC94" s="14" cm="1">
        <f t="array" ref="AC94">BS_Greek("PUT","RHO",$Q94,$B$1,$B$2,$R$3,AC$6)</f>
        <v>-1.7998214198901894</v>
      </c>
      <c r="AD94" s="14" cm="1">
        <f t="array" ref="AD94">BS_Greek("PUT","RHO",$Q94,$B$1,$B$2,$R$3,AD$6)</f>
        <v>-2.4022399761725204</v>
      </c>
      <c r="AE94" s="23" cm="1">
        <f t="array" ref="AE94">BS_Greek("PUT","RHO",$Q94,$B$1,$B$2,$R$3,AE$6)</f>
        <v>-3.0062131035960546</v>
      </c>
      <c r="AF94" s="5"/>
      <c r="AG94" s="12">
        <v>95</v>
      </c>
      <c r="AH94" s="22" cm="1">
        <f t="array" ref="AH94">BS_Greek("PUT","RHO",$AG94,$B$1,$B$2,$AH$3,AH$86)</f>
        <v>-9.4494234402450236E-2</v>
      </c>
      <c r="AI94" s="14" cm="1">
        <f t="array" ref="AI94">BS_Greek("PUT","RHO",$AG94,$B$1,$B$2,$AH$3,AI$86)</f>
        <v>-0.17357631408340379</v>
      </c>
      <c r="AJ94" s="14" cm="1">
        <f t="array" ref="AJ94">BS_Greek("PUT","RHO",$AG94,$B$1,$B$2,$AH$3,AJ$86)</f>
        <v>-0.2447697507234966</v>
      </c>
      <c r="AK94" s="14" cm="1">
        <f t="array" ref="AK94">BS_Greek("PUT","RHO",$AG94,$B$1,$B$2,$AH$3,AK$86)</f>
        <v>-0.31160173252766638</v>
      </c>
      <c r="AL94" s="14" cm="1">
        <f t="array" ref="AL94">BS_Greek("PUT","RHO",$AG94,$B$1,$B$2,$AH$3,AL$86)</f>
        <v>-0.37557538029528148</v>
      </c>
      <c r="AM94" s="14" cm="1">
        <f t="array" ref="AM94">BS_Greek("PUT","RHO",$AG94,$B$1,$B$2,$AH$3,AM$86)</f>
        <v>-0.43747332474639966</v>
      </c>
      <c r="AN94" s="14" cm="1">
        <f t="array" ref="AN94">BS_Greek("PUT","RHO",$AG94,$B$1,$B$2,$AH$3,AN$86)</f>
        <v>-0.49776030881182398</v>
      </c>
      <c r="AO94" s="14" cm="1">
        <f t="array" ref="AO94">BS_Greek("PUT","RHO",$AG94,$B$1,$B$2,$AH$3,AO$86)</f>
        <v>-0.55673809412580411</v>
      </c>
      <c r="AP94" s="14" cm="1">
        <f t="array" ref="AP94">BS_Greek("PUT","RHO",$AG94,$B$1,$B$2,$AH$3,AP$86)</f>
        <v>-0.61461560731262421</v>
      </c>
      <c r="AQ94" s="14" cm="1">
        <f t="array" ref="AQ94">BS_Greek("PUT","RHO",$AG94,$B$1,$B$2,$AH$3,AQ$86)</f>
        <v>-0.67154464766556188</v>
      </c>
      <c r="AR94" s="14" cm="1">
        <f t="array" ref="AR94">BS_Greek("PUT","RHO",$AG94,$B$1,$B$2,$AH$3,AR$86)</f>
        <v>-1.2053541901517708</v>
      </c>
      <c r="AS94" s="14" cm="1">
        <f t="array" ref="AS94">BS_Greek("PUT","RHO",$AG94,$B$1,$B$2,$AH$3,AS$86)</f>
        <v>-1.6972697086452215</v>
      </c>
      <c r="AT94" s="14" cm="1">
        <f t="array" ref="AT94">BS_Greek("PUT","RHO",$AG94,$B$1,$B$2,$AH$3,AT$86)</f>
        <v>-2.1604977247507242</v>
      </c>
      <c r="AU94" s="23" cm="1">
        <f t="array" ref="AU94">BS_Greek("PUT","RHO",$AG94,$B$1,$B$2,$AH$3,AU$86)</f>
        <v>-2.6006737133094067</v>
      </c>
      <c r="AV94" s="5"/>
      <c r="AW94" s="5"/>
      <c r="AX94" s="5"/>
      <c r="AY94" s="5"/>
      <c r="AZ94" s="5"/>
      <c r="BA94" s="5"/>
      <c r="BB94" s="5"/>
    </row>
    <row r="95" spans="1:54" x14ac:dyDescent="0.2">
      <c r="A95" s="12">
        <v>100</v>
      </c>
      <c r="B95" s="22" cm="1">
        <f t="array" ref="B95">BS_Greek("PUT","RHO",$A95,$B$1,$B$2,$B$3,B$6)</f>
        <v>-5.0580151398953388E-2</v>
      </c>
      <c r="C95" s="14" cm="1">
        <f t="array" ref="C95">BS_Greek("PUT","RHO",$A95,$B$1,$B$2,$B$3,C$6)</f>
        <v>-0.10158061093169937</v>
      </c>
      <c r="D95" s="14" cm="1">
        <f t="array" ref="D95">BS_Greek("PUT","RHO",$A95,$B$1,$B$2,$B$3,D$6)</f>
        <v>-0.15281809298363572</v>
      </c>
      <c r="E95" s="14" cm="1">
        <f t="array" ref="E95">BS_Greek("PUT","RHO",$A95,$B$1,$B$2,$B$3,E$6)</f>
        <v>-0.20422688060793109</v>
      </c>
      <c r="F95" s="14" cm="1">
        <f t="array" ref="F95">BS_Greek("PUT","RHO",$A95,$B$1,$B$2,$B$3,F$6)</f>
        <v>-0.25576885410967221</v>
      </c>
      <c r="G95" s="14" cm="1">
        <f t="array" ref="G95">BS_Greek("PUT","RHO",$A95,$B$1,$B$2,$B$3,G$6)</f>
        <v>-0.3074182098541432</v>
      </c>
      <c r="H95" s="14" cm="1">
        <f t="array" ref="H95">BS_Greek("PUT","RHO",$A95,$B$1,$B$2,$B$3,H$6)</f>
        <v>-0.35915594909590864</v>
      </c>
      <c r="I95" s="14" cm="1">
        <f t="array" ref="I95">BS_Greek("PUT","RHO",$A95,$B$1,$B$2,$B$3,I$6)</f>
        <v>-0.41096731210161042</v>
      </c>
      <c r="J95" s="14" cm="1">
        <f t="array" ref="J95">BS_Greek("PUT","RHO",$A95,$B$1,$B$2,$B$3,J$6)</f>
        <v>-0.46284039504608737</v>
      </c>
      <c r="K95" s="14" cm="1">
        <f t="array" ref="K95">BS_Greek("PUT","RHO",$A95,$B$1,$B$2,$B$3,K$6)</f>
        <v>-0.51476532828002164</v>
      </c>
      <c r="L95" s="14" cm="1">
        <f t="array" ref="L95">BS_Greek("PUT","RHO",$A95,$B$1,$B$2,$B$3,L$6)</f>
        <v>-1.0354544111550688</v>
      </c>
      <c r="M95" s="14" cm="1">
        <f t="array" ref="M95">BS_Greek("PUT","RHO",$A95,$B$1,$B$2,$B$3,M$6)</f>
        <v>-1.5561276866903311</v>
      </c>
      <c r="N95" s="14" cm="1">
        <f t="array" ref="N95">BS_Greek("PUT","RHO",$A95,$B$1,$B$2,$B$3,N$6)</f>
        <v>-2.0746435400648329</v>
      </c>
      <c r="O95" s="23" cm="1">
        <f t="array" ref="O95">BS_Greek("PUT","RHO",$A95,$B$1,$B$2,$B$3,O$6)</f>
        <v>-2.5897713521361756</v>
      </c>
      <c r="P95" s="5"/>
      <c r="Q95" s="12">
        <v>100</v>
      </c>
      <c r="R95" s="22" cm="1">
        <f t="array" ref="R95">BS_Greek("PUT","RHO",$Q95,$B$1,$B$2,$R$3,R$6)</f>
        <v>-5.1420047719604012E-2</v>
      </c>
      <c r="S95" s="14" cm="1">
        <f t="array" ref="S95">BS_Greek("PUT","RHO",$Q95,$B$1,$B$2,$R$3,S$6)</f>
        <v>-0.10395295434007169</v>
      </c>
      <c r="T95" s="14" cm="1">
        <f t="array" ref="T95">BS_Greek("PUT","RHO",$Q95,$B$1,$B$2,$R$3,T$6)</f>
        <v>-0.15717041819193842</v>
      </c>
      <c r="U95" s="14" cm="1">
        <f t="array" ref="U95">BS_Greek("PUT","RHO",$Q95,$B$1,$B$2,$R$3,U$6)</f>
        <v>-0.21091857886389079</v>
      </c>
      <c r="V95" s="14" cm="1">
        <f t="array" ref="V95">BS_Greek("PUT","RHO",$Q95,$B$1,$B$2,$R$3,V$6)</f>
        <v>-0.26510802422028062</v>
      </c>
      <c r="W95" s="14" cm="1">
        <f t="array" ref="W95">BS_Greek("PUT","RHO",$Q95,$B$1,$B$2,$R$3,W$6)</f>
        <v>-0.31967811425022302</v>
      </c>
      <c r="X95" s="14" cm="1">
        <f t="array" ref="X95">BS_Greek("PUT","RHO",$Q95,$B$1,$B$2,$R$3,X$6)</f>
        <v>-0.37458411170844058</v>
      </c>
      <c r="Y95" s="14" cm="1">
        <f t="array" ref="Y95">BS_Greek("PUT","RHO",$Q95,$B$1,$B$2,$R$3,Y$6)</f>
        <v>-0.42979118922043491</v>
      </c>
      <c r="Z95" s="14" cm="1">
        <f t="array" ref="Z95">BS_Greek("PUT","RHO",$Q95,$B$1,$B$2,$R$3,Z$6)</f>
        <v>-0.48527119824799547</v>
      </c>
      <c r="AA95" s="14" cm="1">
        <f t="array" ref="AA95">BS_Greek("PUT","RHO",$Q95,$B$1,$B$2,$R$3,AA$6)</f>
        <v>-0.54100074908396822</v>
      </c>
      <c r="AB95" s="14" cm="1">
        <f t="array" ref="AB95">BS_Greek("PUT","RHO",$Q95,$B$1,$B$2,$R$3,AB$6)</f>
        <v>-1.1086531138504709</v>
      </c>
      <c r="AC95" s="14" cm="1">
        <f t="array" ref="AC95">BS_Greek("PUT","RHO",$Q95,$B$1,$B$2,$R$3,AC$6)</f>
        <v>-1.6887790619090959</v>
      </c>
      <c r="AD95" s="14" cm="1">
        <f t="array" ref="AD95">BS_Greek("PUT","RHO",$Q95,$B$1,$B$2,$R$3,AD$6)</f>
        <v>-2.2761052302236475</v>
      </c>
      <c r="AE95" s="23" cm="1">
        <f t="array" ref="AE95">BS_Greek("PUT","RHO",$Q95,$B$1,$B$2,$R$3,AE$6)</f>
        <v>-2.8675067475462073</v>
      </c>
      <c r="AF95" s="5"/>
      <c r="AG95" s="12">
        <v>100</v>
      </c>
      <c r="AH95" s="22" cm="1">
        <f t="array" ref="AH95">BS_Greek("PUT","RHO",$AG95,$B$1,$B$2,$AH$3,AH$86)</f>
        <v>-4.9319898584384118E-2</v>
      </c>
      <c r="AI95" s="14" cm="1">
        <f t="array" ref="AI95">BS_Greek("PUT","RHO",$AG95,$B$1,$B$2,$AH$3,AI$86)</f>
        <v>-9.8019788801767233E-2</v>
      </c>
      <c r="AJ95" s="14" cm="1">
        <f t="array" ref="AJ95">BS_Greek("PUT","RHO",$AG95,$B$1,$B$2,$AH$3,AJ$86)</f>
        <v>-0.14628325566737618</v>
      </c>
      <c r="AK95" s="14" cm="1">
        <f t="array" ref="AK95">BS_Greek("PUT","RHO",$AG95,$B$1,$B$2,$AH$3,AK$86)</f>
        <v>-0.19417631512966549</v>
      </c>
      <c r="AL95" s="14" cm="1">
        <f t="array" ref="AL95">BS_Greek("PUT","RHO",$AG95,$B$1,$B$2,$AH$3,AL$86)</f>
        <v>-0.24173738548666901</v>
      </c>
      <c r="AM95" s="14" cm="1">
        <f t="array" ref="AM95">BS_Greek("PUT","RHO",$AG95,$B$1,$B$2,$AH$3,AM$86)</f>
        <v>-0.28899256857821803</v>
      </c>
      <c r="AN95" s="14" cm="1">
        <f t="array" ref="AN95">BS_Greek("PUT","RHO",$AG95,$B$1,$B$2,$AH$3,AN$86)</f>
        <v>-0.33596116095735595</v>
      </c>
      <c r="AO95" s="14" cm="1">
        <f t="array" ref="AO95">BS_Greek("PUT","RHO",$AG95,$B$1,$B$2,$AH$3,AO$86)</f>
        <v>-0.38265821976803804</v>
      </c>
      <c r="AP95" s="14" cm="1">
        <f t="array" ref="AP95">BS_Greek("PUT","RHO",$AG95,$B$1,$B$2,$AH$3,AP$86)</f>
        <v>-0.42909594584950783</v>
      </c>
      <c r="AQ95" s="14" cm="1">
        <f t="array" ref="AQ95">BS_Greek("PUT","RHO",$AG95,$B$1,$B$2,$AH$3,AQ$86)</f>
        <v>-0.47528450546914641</v>
      </c>
      <c r="AR95" s="14" cm="1">
        <f t="array" ref="AR95">BS_Greek("PUT","RHO",$AG95,$B$1,$B$2,$AH$3,AR$86)</f>
        <v>-0.92494293545844175</v>
      </c>
      <c r="AS95" s="14" cm="1">
        <f t="array" ref="AS95">BS_Greek("PUT","RHO",$AG95,$B$1,$B$2,$AH$3,AS$86)</f>
        <v>-1.3552089139551933</v>
      </c>
      <c r="AT95" s="14" cm="1">
        <f t="array" ref="AT95">BS_Greek("PUT","RHO",$AG95,$B$1,$B$2,$AH$3,AT$86)</f>
        <v>-1.7685142165444596</v>
      </c>
      <c r="AU95" s="23" cm="1">
        <f t="array" ref="AU95">BS_Greek("PUT","RHO",$AG95,$B$1,$B$2,$AH$3,AU$86)</f>
        <v>-2.1663757703673947</v>
      </c>
      <c r="AV95" s="5"/>
      <c r="AW95" s="5"/>
      <c r="AX95" s="5"/>
      <c r="AY95" s="5"/>
      <c r="AZ95" s="5"/>
      <c r="BA95" s="5"/>
      <c r="BB95" s="5"/>
    </row>
    <row r="96" spans="1:54" x14ac:dyDescent="0.2">
      <c r="A96" s="12">
        <v>105</v>
      </c>
      <c r="B96" s="22" cm="1">
        <f t="array" ref="B96">BS_Greek("PUT","RHO",$A96,$B$1,$B$2,$B$3,B$6)</f>
        <v>-2.2471105555124316E-2</v>
      </c>
      <c r="C96" s="14" cm="1">
        <f t="array" ref="C96">BS_Greek("PUT","RHO",$A96,$B$1,$B$2,$B$3,C$6)</f>
        <v>-5.9968326579861737E-2</v>
      </c>
      <c r="D96" s="14" cm="1">
        <f t="array" ref="D96">BS_Greek("PUT","RHO",$A96,$B$1,$B$2,$B$3,D$6)</f>
        <v>-0.10108778985951709</v>
      </c>
      <c r="E96" s="14" cm="1">
        <f t="array" ref="E96">BS_Greek("PUT","RHO",$A96,$B$1,$B$2,$B$3,E$6)</f>
        <v>-0.14407573020157957</v>
      </c>
      <c r="F96" s="14" cm="1">
        <f t="array" ref="F96">BS_Greek("PUT","RHO",$A96,$B$1,$B$2,$B$3,F$6)</f>
        <v>-0.18826439216165011</v>
      </c>
      <c r="G96" s="14" cm="1">
        <f t="array" ref="G96">BS_Greek("PUT","RHO",$A96,$B$1,$B$2,$B$3,G$6)</f>
        <v>-0.23331210863230878</v>
      </c>
      <c r="H96" s="14" cm="1">
        <f t="array" ref="H96">BS_Greek("PUT","RHO",$A96,$B$1,$B$2,$B$3,H$6)</f>
        <v>-0.27901490922210387</v>
      </c>
      <c r="I96" s="14" cm="1">
        <f t="array" ref="I96">BS_Greek("PUT","RHO",$A96,$B$1,$B$2,$B$3,I$6)</f>
        <v>-0.3252387036151238</v>
      </c>
      <c r="J96" s="14" cm="1">
        <f t="array" ref="J96">BS_Greek("PUT","RHO",$A96,$B$1,$B$2,$B$3,J$6)</f>
        <v>-0.37188929290105371</v>
      </c>
      <c r="K96" s="14" cm="1">
        <f t="array" ref="K96">BS_Greek("PUT","RHO",$A96,$B$1,$B$2,$B$3,K$6)</f>
        <v>-0.41889720800495206</v>
      </c>
      <c r="L96" s="14" cm="1">
        <f t="array" ref="L96">BS_Greek("PUT","RHO",$A96,$B$1,$B$2,$B$3,L$6)</f>
        <v>-0.90072854957655835</v>
      </c>
      <c r="M96" s="14" cm="1">
        <f t="array" ref="M96">BS_Greek("PUT","RHO",$A96,$B$1,$B$2,$B$3,M$6)</f>
        <v>-1.3926989065749853</v>
      </c>
      <c r="N96" s="14" cm="1">
        <f t="array" ref="N96">BS_Greek("PUT","RHO",$A96,$B$1,$B$2,$B$3,N$6)</f>
        <v>-1.8878889319767538</v>
      </c>
      <c r="O96" s="23" cm="1">
        <f t="array" ref="O96">BS_Greek("PUT","RHO",$A96,$B$1,$B$2,$B$3,O$6)</f>
        <v>-2.3832066203088487</v>
      </c>
      <c r="P96" s="5"/>
      <c r="Q96" s="12">
        <v>105</v>
      </c>
      <c r="R96" s="22" cm="1">
        <f t="array" ref="R96">BS_Greek("PUT","RHO",$Q96,$B$1,$B$2,$R$3,R$6)</f>
        <v>-3.1622218849540334E-2</v>
      </c>
      <c r="S96" s="14" cm="1">
        <f t="array" ref="S96">BS_Greek("PUT","RHO",$Q96,$B$1,$B$2,$R$3,S$6)</f>
        <v>-7.5392221644094551E-2</v>
      </c>
      <c r="T96" s="14" cm="1">
        <f t="array" ref="T96">BS_Greek("PUT","RHO",$Q96,$B$1,$B$2,$R$3,T$6)</f>
        <v>-0.12199458879506278</v>
      </c>
      <c r="U96" s="14" cm="1">
        <f t="array" ref="U96">BS_Greek("PUT","RHO",$Q96,$B$1,$B$2,$R$3,U$6)</f>
        <v>-0.17022082337465494</v>
      </c>
      <c r="V96" s="14" cm="1">
        <f t="array" ref="V96">BS_Greek("PUT","RHO",$Q96,$B$1,$B$2,$R$3,V$6)</f>
        <v>-0.21958303940413393</v>
      </c>
      <c r="W96" s="14" cm="1">
        <f t="array" ref="W96">BS_Greek("PUT","RHO",$Q96,$B$1,$B$2,$R$3,W$6)</f>
        <v>-0.26981864563056945</v>
      </c>
      <c r="X96" s="14" cm="1">
        <f t="array" ref="X96">BS_Greek("PUT","RHO",$Q96,$B$1,$B$2,$R$3,X$6)</f>
        <v>-0.32076374008132219</v>
      </c>
      <c r="Y96" s="14" cm="1">
        <f t="array" ref="Y96">BS_Greek("PUT","RHO",$Q96,$B$1,$B$2,$R$3,Y$6)</f>
        <v>-0.37230616861503457</v>
      </c>
      <c r="Z96" s="14" cm="1">
        <f t="array" ref="Z96">BS_Greek("PUT","RHO",$Q96,$B$1,$B$2,$R$3,Z$6)</f>
        <v>-0.42436420601664421</v>
      </c>
      <c r="AA96" s="14" cm="1">
        <f t="array" ref="AA96">BS_Greek("PUT","RHO",$Q96,$B$1,$B$2,$R$3,AA$6)</f>
        <v>-0.4768755123193788</v>
      </c>
      <c r="AB96" s="14" cm="1">
        <f t="array" ref="AB96">BS_Greek("PUT","RHO",$Q96,$B$1,$B$2,$R$3,AB$6)</f>
        <v>-1.0192804553013126</v>
      </c>
      <c r="AC96" s="14" cm="1">
        <f t="array" ref="AC96">BS_Greek("PUT","RHO",$Q96,$B$1,$B$2,$R$3,AC$6)</f>
        <v>-1.5810651312244379</v>
      </c>
      <c r="AD96" s="14" cm="1">
        <f t="array" ref="AD96">BS_Greek("PUT","RHO",$Q96,$B$1,$B$2,$R$3,AD$6)</f>
        <v>-2.1537555560688664</v>
      </c>
      <c r="AE96" s="23" cm="1">
        <f t="array" ref="AE96">BS_Greek("PUT","RHO",$Q96,$B$1,$B$2,$R$3,AE$6)</f>
        <v>-2.7329655259278365</v>
      </c>
      <c r="AF96" s="5"/>
      <c r="AG96" s="12">
        <v>105</v>
      </c>
      <c r="AH96" s="22" cm="1">
        <f t="array" ref="AH96">BS_Greek("PUT","RHO",$AG96,$B$1,$B$2,$AH$3,AH$86)</f>
        <v>-5.9475160906577321E-3</v>
      </c>
      <c r="AI96" s="14" cm="1">
        <f t="array" ref="AI96">BS_Greek("PUT","RHO",$AG96,$B$1,$B$2,$AH$3,AI$86)</f>
        <v>-2.6503101786800834E-2</v>
      </c>
      <c r="AJ96" s="14" cm="1">
        <f t="array" ref="AJ96">BS_Greek("PUT","RHO",$AG96,$B$1,$B$2,$AH$3,AJ$86)</f>
        <v>-5.3618495455553881E-2</v>
      </c>
      <c r="AK96" s="14" cm="1">
        <f t="array" ref="AK96">BS_Greek("PUT","RHO",$AG96,$B$1,$B$2,$AH$3,AK$86)</f>
        <v>-8.405078707790245E-2</v>
      </c>
      <c r="AL96" s="14" cm="1">
        <f t="array" ref="AL96">BS_Greek("PUT","RHO",$AG96,$B$1,$B$2,$AH$3,AL$86)</f>
        <v>-0.11647512386205332</v>
      </c>
      <c r="AM96" s="14" cm="1">
        <f t="array" ref="AM96">BS_Greek("PUT","RHO",$AG96,$B$1,$B$2,$AH$3,AM$86)</f>
        <v>-0.15021961569853937</v>
      </c>
      <c r="AN96" s="14" cm="1">
        <f t="array" ref="AN96">BS_Greek("PUT","RHO",$AG96,$B$1,$B$2,$AH$3,AN$86)</f>
        <v>-0.18489405725331287</v>
      </c>
      <c r="AO96" s="14" cm="1">
        <f t="array" ref="AO96">BS_Greek("PUT","RHO",$AG96,$B$1,$B$2,$AH$3,AO$86)</f>
        <v>-0.22025034744081634</v>
      </c>
      <c r="AP96" s="14" cm="1">
        <f t="array" ref="AP96">BS_Greek("PUT","RHO",$AG96,$B$1,$B$2,$AH$3,AP$86)</f>
        <v>-0.25612022988471977</v>
      </c>
      <c r="AQ96" s="14" cm="1">
        <f t="array" ref="AQ96">BS_Greek("PUT","RHO",$AG96,$B$1,$B$2,$AH$3,AQ$86)</f>
        <v>-0.29238396974088876</v>
      </c>
      <c r="AR96" s="14" cm="1">
        <f t="array" ref="AR96">BS_Greek("PUT","RHO",$AG96,$B$1,$B$2,$AH$3,AR$86)</f>
        <v>-0.66420495083359443</v>
      </c>
      <c r="AS96" s="14" cm="1">
        <f t="array" ref="AS96">BS_Greek("PUT","RHO",$AG96,$B$1,$B$2,$AH$3,AS$86)</f>
        <v>-1.037389302277212</v>
      </c>
      <c r="AT96" s="14" cm="1">
        <f t="array" ref="AT96">BS_Greek("PUT","RHO",$AG96,$B$1,$B$2,$AH$3,AT$86)</f>
        <v>-1.4044498566974726</v>
      </c>
      <c r="AU96" s="23" cm="1">
        <f t="array" ref="AU96">BS_Greek("PUT","RHO",$AG96,$B$1,$B$2,$AH$3,AU$86)</f>
        <v>-1.7631042837691091</v>
      </c>
      <c r="AV96" s="5"/>
      <c r="AW96" s="5"/>
      <c r="AX96" s="5"/>
      <c r="AY96" s="5"/>
      <c r="AZ96" s="5"/>
      <c r="BA96" s="5"/>
      <c r="BB96" s="5"/>
    </row>
    <row r="97" spans="1:54" x14ac:dyDescent="0.2">
      <c r="A97" s="12">
        <v>110</v>
      </c>
      <c r="B97" s="22" cm="1">
        <f t="array" ref="B97">BS_Greek("PUT","RHO",$A97,$B$1,$B$2,$B$3,B$6)</f>
        <v>-6.7889870502825913E-3</v>
      </c>
      <c r="C97" s="14" cm="1">
        <f t="array" ref="C97">BS_Greek("PUT","RHO",$A97,$B$1,$B$2,$B$3,C$6)</f>
        <v>-2.9624429034828422E-2</v>
      </c>
      <c r="D97" s="14" cm="1">
        <f t="array" ref="D97">BS_Greek("PUT","RHO",$A97,$B$1,$B$2,$B$3,D$6)</f>
        <v>-5.9732254020951656E-2</v>
      </c>
      <c r="E97" s="14" cm="1">
        <f t="array" ref="E97">BS_Greek("PUT","RHO",$A97,$B$1,$B$2,$B$3,E$6)</f>
        <v>-9.3699290121329118E-2</v>
      </c>
      <c r="F97" s="14" cm="1">
        <f t="array" ref="F97">BS_Greek("PUT","RHO",$A97,$B$1,$B$2,$B$3,F$6)</f>
        <v>-0.13012028815236007</v>
      </c>
      <c r="G97" s="14" cm="1">
        <f t="array" ref="G97">BS_Greek("PUT","RHO",$A97,$B$1,$B$2,$B$3,G$6)</f>
        <v>-0.16827158447361534</v>
      </c>
      <c r="H97" s="14" cm="1">
        <f t="array" ref="H97">BS_Greek("PUT","RHO",$A97,$B$1,$B$2,$B$3,H$6)</f>
        <v>-0.20772528778888064</v>
      </c>
      <c r="I97" s="14" cm="1">
        <f t="array" ref="I97">BS_Greek("PUT","RHO",$A97,$B$1,$B$2,$B$3,I$6)</f>
        <v>-0.24820403087334708</v>
      </c>
      <c r="J97" s="14" cm="1">
        <f t="array" ref="J97">BS_Greek("PUT","RHO",$A97,$B$1,$B$2,$B$3,J$6)</f>
        <v>-0.28951588055875793</v>
      </c>
      <c r="K97" s="14" cm="1">
        <f t="array" ref="K97">BS_Greek("PUT","RHO",$A97,$B$1,$B$2,$B$3,K$6)</f>
        <v>-0.33152138842643397</v>
      </c>
      <c r="L97" s="14" cm="1">
        <f t="array" ref="L97">BS_Greek("PUT","RHO",$A97,$B$1,$B$2,$B$3,L$6)</f>
        <v>-0.77439387810982707</v>
      </c>
      <c r="M97" s="14" cm="1">
        <f t="array" ref="M97">BS_Greek("PUT","RHO",$A97,$B$1,$B$2,$B$3,M$6)</f>
        <v>-1.2379845616845604</v>
      </c>
      <c r="N97" s="14" cm="1">
        <f t="array" ref="N97">BS_Greek("PUT","RHO",$A97,$B$1,$B$2,$B$3,N$6)</f>
        <v>-1.7102488744895856</v>
      </c>
      <c r="O97" s="23" cm="1">
        <f t="array" ref="O97">BS_Greek("PUT","RHO",$A97,$B$1,$B$2,$B$3,O$6)</f>
        <v>-2.1861608980880685</v>
      </c>
      <c r="P97" s="5"/>
      <c r="Q97" s="12">
        <v>110</v>
      </c>
      <c r="R97" s="22" cm="1">
        <f t="array" ref="R97">BS_Greek("PUT","RHO",$Q97,$B$1,$B$2,$R$3,R$6)</f>
        <v>-1.6641455853283124E-2</v>
      </c>
      <c r="S97" s="14" cm="1">
        <f t="array" ref="S97">BS_Greek("PUT","RHO",$Q97,$B$1,$B$2,$R$3,S$6)</f>
        <v>-5.0937365645645355E-2</v>
      </c>
      <c r="T97" s="14" cm="1">
        <f t="array" ref="T97">BS_Greek("PUT","RHO",$Q97,$B$1,$B$2,$R$3,T$6)</f>
        <v>-9.0591488575332876E-2</v>
      </c>
      <c r="U97" s="14" cm="1">
        <f t="array" ref="U97">BS_Greek("PUT","RHO",$Q97,$B$1,$B$2,$R$3,U$6)</f>
        <v>-0.13311773507029775</v>
      </c>
      <c r="V97" s="14" cm="1">
        <f t="array" ref="V97">BS_Greek("PUT","RHO",$Q97,$B$1,$B$2,$R$3,V$6)</f>
        <v>-0.17755193759705695</v>
      </c>
      <c r="W97" s="14" cm="1">
        <f t="array" ref="W97">BS_Greek("PUT","RHO",$Q97,$B$1,$B$2,$R$3,W$6)</f>
        <v>-0.22339610469459534</v>
      </c>
      <c r="X97" s="14" cm="1">
        <f t="array" ref="X97">BS_Greek("PUT","RHO",$Q97,$B$1,$B$2,$R$3,X$6)</f>
        <v>-0.27035040597686349</v>
      </c>
      <c r="Y97" s="14" cm="1">
        <f t="array" ref="Y97">BS_Greek("PUT","RHO",$Q97,$B$1,$B$2,$R$3,Y$6)</f>
        <v>-0.3182160238522494</v>
      </c>
      <c r="Z97" s="14" cm="1">
        <f t="array" ref="Z97">BS_Greek("PUT","RHO",$Q97,$B$1,$B$2,$R$3,Z$6)</f>
        <v>-0.36685204488746515</v>
      </c>
      <c r="AA97" s="14" cm="1">
        <f t="array" ref="AA97">BS_Greek("PUT","RHO",$Q97,$B$1,$B$2,$R$3,AA$6)</f>
        <v>-0.41615360732585693</v>
      </c>
      <c r="AB97" s="14" cm="1">
        <f t="array" ref="AB97">BS_Greek("PUT","RHO",$Q97,$B$1,$B$2,$R$3,AB$6)</f>
        <v>-0.93356972634263125</v>
      </c>
      <c r="AC97" s="14" cm="1">
        <f t="array" ref="AC97">BS_Greek("PUT","RHO",$Q97,$B$1,$B$2,$R$3,AC$6)</f>
        <v>-1.4773259413933513</v>
      </c>
      <c r="AD97" s="14" cm="1">
        <f t="array" ref="AD97">BS_Greek("PUT","RHO",$Q97,$B$1,$B$2,$R$3,AD$6)</f>
        <v>-2.0356706241422411</v>
      </c>
      <c r="AE97" s="23" cm="1">
        <f t="array" ref="AE97">BS_Greek("PUT","RHO",$Q97,$B$1,$B$2,$R$3,AE$6)</f>
        <v>-2.602948690108625</v>
      </c>
      <c r="AF97" s="5"/>
      <c r="AG97" s="12">
        <v>110</v>
      </c>
      <c r="AH97" s="22" cm="1">
        <f t="array" ref="AH97">BS_Greek("PUT","RHO",$AG97,$B$1,$B$2,$AH$3,AH$86)</f>
        <v>-1.2224207973859986E-4</v>
      </c>
      <c r="AI97" s="14" cm="1">
        <f t="array" ref="AI97">BS_Greek("PUT","RHO",$AG97,$B$1,$B$2,$AH$3,AI$86)</f>
        <v>-3.1212121757166287E-3</v>
      </c>
      <c r="AJ97" s="14" cm="1">
        <f t="array" ref="AJ97">BS_Greek("PUT","RHO",$AG97,$B$1,$B$2,$AH$3,AJ$86)</f>
        <v>-1.1536916845379724E-2</v>
      </c>
      <c r="AK97" s="14" cm="1">
        <f t="array" ref="AK97">BS_Greek("PUT","RHO",$AG97,$B$1,$B$2,$AH$3,AK$86)</f>
        <v>-2.4681032286023107E-2</v>
      </c>
      <c r="AL97" s="14" cm="1">
        <f t="array" ref="AL97">BS_Greek("PUT","RHO",$AG97,$B$1,$B$2,$AH$3,AL$86)</f>
        <v>-4.1439734620382689E-2</v>
      </c>
      <c r="AM97" s="14" cm="1">
        <f t="array" ref="AM97">BS_Greek("PUT","RHO",$AG97,$B$1,$B$2,$AH$3,AM$86)</f>
        <v>-6.094639500904122E-2</v>
      </c>
      <c r="AN97" s="14" cm="1">
        <f t="array" ref="AN97">BS_Greek("PUT","RHO",$AG97,$B$1,$B$2,$AH$3,AN$86)</f>
        <v>-8.2579818420475584E-2</v>
      </c>
      <c r="AO97" s="14" cm="1">
        <f t="array" ref="AO97">BS_Greek("PUT","RHO",$AG97,$B$1,$B$2,$AH$3,AO$86)</f>
        <v>-0.10589364670422442</v>
      </c>
      <c r="AP97" s="14" cm="1">
        <f t="array" ref="AP97">BS_Greek("PUT","RHO",$AG97,$B$1,$B$2,$AH$3,AP$86)</f>
        <v>-0.13056052320905745</v>
      </c>
      <c r="AQ97" s="14" cm="1">
        <f t="array" ref="AQ97">BS_Greek("PUT","RHO",$AG97,$B$1,$B$2,$AH$3,AQ$86)</f>
        <v>-0.15633468393362243</v>
      </c>
      <c r="AR97" s="14" cm="1">
        <f t="array" ref="AR97">BS_Greek("PUT","RHO",$AG97,$B$1,$B$2,$AH$3,AR$86)</f>
        <v>-0.44744114329833884</v>
      </c>
      <c r="AS97" s="14" cm="1">
        <f t="array" ref="AS97">BS_Greek("PUT","RHO",$AG97,$B$1,$B$2,$AH$3,AS$86)</f>
        <v>-0.76306938538913072</v>
      </c>
      <c r="AT97" s="14" cm="1">
        <f t="array" ref="AT97">BS_Greek("PUT","RHO",$AG97,$B$1,$B$2,$AH$3,AT$86)</f>
        <v>-1.0842371938523891</v>
      </c>
      <c r="AU97" s="23" cm="1">
        <f t="array" ref="AU97">BS_Greek("PUT","RHO",$AG97,$B$1,$B$2,$AH$3,AU$86)</f>
        <v>-1.4043642802347476</v>
      </c>
      <c r="AV97" s="5"/>
      <c r="AW97" s="5"/>
      <c r="AX97" s="5"/>
      <c r="AY97" s="5"/>
      <c r="AZ97" s="5"/>
      <c r="BA97" s="5"/>
      <c r="BB97" s="5"/>
    </row>
    <row r="98" spans="1:54" x14ac:dyDescent="0.2">
      <c r="A98" s="12">
        <v>115</v>
      </c>
      <c r="B98" s="22" cm="1">
        <f t="array" ref="B98">BS_Greek("PUT","RHO",$A98,$B$1,$B$2,$B$3,B$6)</f>
        <v>-1.4102913577582119E-3</v>
      </c>
      <c r="C98" s="14" cm="1">
        <f t="array" ref="C98">BS_Greek("PUT","RHO",$A98,$B$1,$B$2,$B$3,C$6)</f>
        <v>-1.2325867132738103E-2</v>
      </c>
      <c r="D98" s="14" cm="1">
        <f t="array" ref="D98">BS_Greek("PUT","RHO",$A98,$B$1,$B$2,$B$3,D$6)</f>
        <v>-3.1684201115692673E-2</v>
      </c>
      <c r="E98" s="14" cm="1">
        <f t="array" ref="E98">BS_Greek("PUT","RHO",$A98,$B$1,$B$2,$B$3,E$6)</f>
        <v>-5.6401929841114556E-2</v>
      </c>
      <c r="F98" s="14" cm="1">
        <f t="array" ref="F98">BS_Greek("PUT","RHO",$A98,$B$1,$B$2,$B$3,F$6)</f>
        <v>-8.4734081361611577E-2</v>
      </c>
      <c r="G98" s="14" cm="1">
        <f t="array" ref="G98">BS_Greek("PUT","RHO",$A98,$B$1,$B$2,$B$3,G$6)</f>
        <v>-0.11567425721491943</v>
      </c>
      <c r="H98" s="14" cm="1">
        <f t="array" ref="H98">BS_Greek("PUT","RHO",$A98,$B$1,$B$2,$B$3,H$6)</f>
        <v>-0.14859597428160154</v>
      </c>
      <c r="I98" s="14" cm="1">
        <f t="array" ref="I98">BS_Greek("PUT","RHO",$A98,$B$1,$B$2,$B$3,I$6)</f>
        <v>-0.1830826169894551</v>
      </c>
      <c r="J98" s="14" cm="1">
        <f t="array" ref="J98">BS_Greek("PUT","RHO",$A98,$B$1,$B$2,$B$3,J$6)</f>
        <v>-0.21884217828463348</v>
      </c>
      <c r="K98" s="14" cm="1">
        <f t="array" ref="K98">BS_Greek("PUT","RHO",$A98,$B$1,$B$2,$B$3,K$6)</f>
        <v>-0.25566125133901574</v>
      </c>
      <c r="L98" s="14" cm="1">
        <f t="array" ref="L98">BS_Greek("PUT","RHO",$A98,$B$1,$B$2,$B$3,L$6)</f>
        <v>-0.65868086279061144</v>
      </c>
      <c r="M98" s="14" cm="1">
        <f t="array" ref="M98">BS_Greek("PUT","RHO",$A98,$B$1,$B$2,$B$3,M$6)</f>
        <v>-1.0937211792786214</v>
      </c>
      <c r="N98" s="14" cm="1">
        <f t="array" ref="N98">BS_Greek("PUT","RHO",$A98,$B$1,$B$2,$B$3,N$6)</f>
        <v>-1.5431193627647783</v>
      </c>
      <c r="O98" s="23" cm="1">
        <f t="array" ref="O98">BS_Greek("PUT","RHO",$A98,$B$1,$B$2,$B$3,O$6)</f>
        <v>-1.9997752423204442</v>
      </c>
      <c r="P98" s="5"/>
      <c r="Q98" s="12">
        <v>115</v>
      </c>
      <c r="R98" s="22" cm="1">
        <f t="array" ref="R98">BS_Greek("PUT","RHO",$Q98,$B$1,$B$2,$R$3,R$6)</f>
        <v>-7.5379242114053903E-3</v>
      </c>
      <c r="S98" s="14" cm="1">
        <f t="array" ref="S98">BS_Greek("PUT","RHO",$Q98,$B$1,$B$2,$R$3,S$6)</f>
        <v>-3.2175041796380512E-2</v>
      </c>
      <c r="T98" s="14" cm="1">
        <f t="array" ref="T98">BS_Greek("PUT","RHO",$Q98,$B$1,$B$2,$R$3,T$6)</f>
        <v>-6.4527989326634033E-2</v>
      </c>
      <c r="U98" s="14" cm="1">
        <f t="array" ref="U98">BS_Greek("PUT","RHO",$Q98,$B$1,$B$2,$R$3,U$6)</f>
        <v>-0.10108355896176427</v>
      </c>
      <c r="V98" s="14" cm="1">
        <f t="array" ref="V98">BS_Greek("PUT","RHO",$Q98,$B$1,$B$2,$R$3,V$6)</f>
        <v>-0.14039122756068323</v>
      </c>
      <c r="W98" s="14" cm="1">
        <f t="array" ref="W98">BS_Greek("PUT","RHO",$Q98,$B$1,$B$2,$R$3,W$6)</f>
        <v>-0.18169714673388679</v>
      </c>
      <c r="X98" s="14" cm="1">
        <f t="array" ref="X98">BS_Greek("PUT","RHO",$Q98,$B$1,$B$2,$R$3,X$6)</f>
        <v>-0.22455066198211746</v>
      </c>
      <c r="Y98" s="14" cm="1">
        <f t="array" ref="Y98">BS_Greek("PUT","RHO",$Q98,$B$1,$B$2,$R$3,Y$6)</f>
        <v>-0.26865623644703923</v>
      </c>
      <c r="Z98" s="14" cm="1">
        <f t="array" ref="Z98">BS_Greek("PUT","RHO",$Q98,$B$1,$B$2,$R$3,Z$6)</f>
        <v>-0.31380692898533175</v>
      </c>
      <c r="AA98" s="14" cm="1">
        <f t="array" ref="AA98">BS_Greek("PUT","RHO",$Q98,$B$1,$B$2,$R$3,AA$6)</f>
        <v>-0.3598505943007374</v>
      </c>
      <c r="AB98" s="14" cm="1">
        <f t="array" ref="AB98">BS_Greek("PUT","RHO",$Q98,$B$1,$B$2,$R$3,AB$6)</f>
        <v>-0.85217715397490357</v>
      </c>
      <c r="AC98" s="14" cm="1">
        <f t="array" ref="AC98">BS_Greek("PUT","RHO",$Q98,$B$1,$B$2,$R$3,AC$6)</f>
        <v>-1.3780255722579831</v>
      </c>
      <c r="AD98" s="14" cm="1">
        <f t="array" ref="AD98">BS_Greek("PUT","RHO",$Q98,$B$1,$B$2,$R$3,AD$6)</f>
        <v>-1.9221871941265309</v>
      </c>
      <c r="AE98" s="23" cm="1">
        <f t="array" ref="AE98">BS_Greek("PUT","RHO",$Q98,$B$1,$B$2,$R$3,AE$6)</f>
        <v>-2.4776992545780532</v>
      </c>
      <c r="AF98" s="5"/>
      <c r="AG98" s="12">
        <v>115</v>
      </c>
      <c r="AH98" s="22" cm="1">
        <f t="array" ref="AH98">BS_Greek("PUT","RHO",$AG98,$B$1,$B$2,$AH$3,AH$86)</f>
        <v>-4.5889459193277288E-7</v>
      </c>
      <c r="AI98" s="14" cm="1">
        <f t="array" ref="AI98">BS_Greek("PUT","RHO",$AG98,$B$1,$B$2,$AH$3,AI$86)</f>
        <v>-1.6432569767061539E-4</v>
      </c>
      <c r="AJ98" s="14" cm="1">
        <f t="array" ref="AJ98">BS_Greek("PUT","RHO",$AG98,$B$1,$B$2,$AH$3,AJ$86)</f>
        <v>-1.4815132448374984E-3</v>
      </c>
      <c r="AK98" s="14" cm="1">
        <f t="array" ref="AK98">BS_Greek("PUT","RHO",$AG98,$B$1,$B$2,$AH$3,AK$86)</f>
        <v>-4.9793903766825612E-3</v>
      </c>
      <c r="AL98" s="14" cm="1">
        <f t="array" ref="AL98">BS_Greek("PUT","RHO",$AG98,$B$1,$B$2,$AH$3,AL$86)</f>
        <v>-1.1002792784816784E-2</v>
      </c>
      <c r="AM98" s="14" cm="1">
        <f t="array" ref="AM98">BS_Greek("PUT","RHO",$AG98,$B$1,$B$2,$AH$3,AM$86)</f>
        <v>-1.9479340505072655E-2</v>
      </c>
      <c r="AN98" s="14" cm="1">
        <f t="array" ref="AN98">BS_Greek("PUT","RHO",$AG98,$B$1,$B$2,$AH$3,AN$86)</f>
        <v>-3.0181976038431837E-2</v>
      </c>
      <c r="AO98" s="14" cm="1">
        <f t="array" ref="AO98">BS_Greek("PUT","RHO",$AG98,$B$1,$B$2,$AH$3,AO$86)</f>
        <v>-4.2850602886025962E-2</v>
      </c>
      <c r="AP98" s="14" cm="1">
        <f t="array" ref="AP98">BS_Greek("PUT","RHO",$AG98,$B$1,$B$2,$AH$3,AP$86)</f>
        <v>-5.7238493731413029E-2</v>
      </c>
      <c r="AQ98" s="14" cm="1">
        <f t="array" ref="AQ98">BS_Greek("PUT","RHO",$AG98,$B$1,$B$2,$AH$3,AQ$86)</f>
        <v>-7.3126821154321592E-2</v>
      </c>
      <c r="AR98" s="14" cm="1">
        <f t="array" ref="AR98">BS_Greek("PUT","RHO",$AG98,$B$1,$B$2,$AH$3,AR$86)</f>
        <v>-0.28387565416432975</v>
      </c>
      <c r="AS98" s="14" cm="1">
        <f t="array" ref="AS98">BS_Greek("PUT","RHO",$AG98,$B$1,$B$2,$AH$3,AS$86)</f>
        <v>-0.54089660745686818</v>
      </c>
      <c r="AT98" s="14" cm="1">
        <f t="array" ref="AT98">BS_Greek("PUT","RHO",$AG98,$B$1,$B$2,$AH$3,AT$86)</f>
        <v>-0.81551953305242586</v>
      </c>
      <c r="AU98" s="23" cm="1">
        <f t="array" ref="AU98">BS_Greek("PUT","RHO",$AG98,$B$1,$B$2,$AH$3,AU$86)</f>
        <v>-1.0968174400128405</v>
      </c>
      <c r="AV98" s="5"/>
      <c r="AW98" s="5"/>
      <c r="AX98" s="5"/>
      <c r="AY98" s="5"/>
      <c r="AZ98" s="5"/>
      <c r="BA98" s="5"/>
      <c r="BB98" s="5"/>
    </row>
    <row r="99" spans="1:54" x14ac:dyDescent="0.2">
      <c r="A99" s="12">
        <v>120</v>
      </c>
      <c r="B99" s="22" cm="1">
        <f t="array" ref="B99">BS_Greek("PUT","RHO",$A99,$B$1,$B$2,$B$3,B$6)</f>
        <v>-2.0702003804964561E-4</v>
      </c>
      <c r="C99" s="14" cm="1">
        <f t="array" ref="C99">BS_Greek("PUT","RHO",$A99,$B$1,$B$2,$B$3,C$6)</f>
        <v>-4.370658893365356E-3</v>
      </c>
      <c r="D99" s="14" cm="1">
        <f t="array" ref="D99">BS_Greek("PUT","RHO",$A99,$B$1,$B$2,$B$3,D$6)</f>
        <v>-1.519970642083421E-2</v>
      </c>
      <c r="E99" s="14" cm="1">
        <f t="array" ref="E99">BS_Greek("PUT","RHO",$A99,$B$1,$B$2,$B$3,E$6)</f>
        <v>-3.1595730956826724E-2</v>
      </c>
      <c r="F99" s="14" cm="1">
        <f t="array" ref="F99">BS_Greek("PUT","RHO",$A99,$B$1,$B$2,$B$3,F$6)</f>
        <v>-5.2212168137941772E-2</v>
      </c>
      <c r="G99" s="14" cm="1">
        <f t="array" ref="G99">BS_Greek("PUT","RHO",$A99,$B$1,$B$2,$B$3,G$6)</f>
        <v>-7.605953226893282E-2</v>
      </c>
      <c r="H99" s="14" cm="1">
        <f t="array" ref="H99">BS_Greek("PUT","RHO",$A99,$B$1,$B$2,$B$3,H$6)</f>
        <v>-0.10244473451937504</v>
      </c>
      <c r="I99" s="14" cm="1">
        <f t="array" ref="I99">BS_Greek("PUT","RHO",$A99,$B$1,$B$2,$B$3,I$6)</f>
        <v>-0.13087469431094345</v>
      </c>
      <c r="J99" s="14" cm="1">
        <f t="array" ref="J99">BS_Greek("PUT","RHO",$A99,$B$1,$B$2,$B$3,J$6)</f>
        <v>-0.16098898756528113</v>
      </c>
      <c r="K99" s="14" cm="1">
        <f t="array" ref="K99">BS_Greek("PUT","RHO",$A99,$B$1,$B$2,$B$3,K$6)</f>
        <v>-0.19251686638792745</v>
      </c>
      <c r="L99" s="14" cm="1">
        <f t="array" ref="L99">BS_Greek("PUT","RHO",$A99,$B$1,$B$2,$B$3,L$6)</f>
        <v>-0.55483161920358526</v>
      </c>
      <c r="M99" s="14" cm="1">
        <f t="array" ref="M99">BS_Greek("PUT","RHO",$A99,$B$1,$B$2,$B$3,M$6)</f>
        <v>-0.96095059103296121</v>
      </c>
      <c r="N99" s="14" cm="1">
        <f t="array" ref="N99">BS_Greek("PUT","RHO",$A99,$B$1,$B$2,$B$3,N$6)</f>
        <v>-1.3873558039573215</v>
      </c>
      <c r="O99" s="23" cm="1">
        <f t="array" ref="O99">BS_Greek("PUT","RHO",$A99,$B$1,$B$2,$B$3,O$6)</f>
        <v>-1.8247475153256765</v>
      </c>
      <c r="P99" s="5"/>
      <c r="Q99" s="12">
        <v>120</v>
      </c>
      <c r="R99" s="22" cm="1">
        <f t="array" ref="R99">BS_Greek("PUT","RHO",$Q99,$B$1,$B$2,$R$3,R$6)</f>
        <v>-2.9688947395648652E-3</v>
      </c>
      <c r="S99" s="14" cm="1">
        <f t="array" ref="S99">BS_Greek("PUT","RHO",$Q99,$B$1,$B$2,$R$3,S$6)</f>
        <v>-1.9090872906448647E-2</v>
      </c>
      <c r="T99" s="14" cm="1">
        <f t="array" ref="T99">BS_Greek("PUT","RHO",$Q99,$B$1,$B$2,$R$3,T$6)</f>
        <v>-4.4223954983262016E-2</v>
      </c>
      <c r="U99" s="14" cm="1">
        <f t="array" ref="U99">BS_Greek("PUT","RHO",$Q99,$B$1,$B$2,$R$3,U$6)</f>
        <v>-7.4702107031297343E-2</v>
      </c>
      <c r="V99" s="14" cm="1">
        <f t="array" ref="V99">BS_Greek("PUT","RHO",$Q99,$B$1,$B$2,$R$3,V$6)</f>
        <v>-0.10874809064143809</v>
      </c>
      <c r="W99" s="14" cm="1">
        <f t="array" ref="W99">BS_Greek("PUT","RHO",$Q99,$B$1,$B$2,$R$3,W$6)</f>
        <v>-0.14538880066773127</v>
      </c>
      <c r="X99" s="14" cm="1">
        <f t="array" ref="X99">BS_Greek("PUT","RHO",$Q99,$B$1,$B$2,$R$3,X$6)</f>
        <v>-0.18403073516187138</v>
      </c>
      <c r="Y99" s="14" cm="1">
        <f t="array" ref="Y99">BS_Greek("PUT","RHO",$Q99,$B$1,$B$2,$R$3,Y$6)</f>
        <v>-0.2242819330001953</v>
      </c>
      <c r="Z99" s="14" cm="1">
        <f t="array" ref="Z99">BS_Greek("PUT","RHO",$Q99,$B$1,$B$2,$R$3,Z$6)</f>
        <v>-0.26586768500550539</v>
      </c>
      <c r="AA99" s="14" cm="1">
        <f t="array" ref="AA99">BS_Greek("PUT","RHO",$Q99,$B$1,$B$2,$R$3,AA$6)</f>
        <v>-0.30858646759735264</v>
      </c>
      <c r="AB99" s="14" cm="1">
        <f t="array" ref="AB99">BS_Greek("PUT","RHO",$Q99,$B$1,$B$2,$R$3,AB$6)</f>
        <v>-0.77553939892221235</v>
      </c>
      <c r="AC99" s="14" cm="1">
        <f t="array" ref="AC99">BS_Greek("PUT","RHO",$Q99,$B$1,$B$2,$R$3,AC$6)</f>
        <v>-1.2834731996842192</v>
      </c>
      <c r="AD99" s="14" cm="1">
        <f t="array" ref="AD99">BS_Greek("PUT","RHO",$Q99,$B$1,$B$2,$R$3,AD$6)</f>
        <v>-1.8135229356803777</v>
      </c>
      <c r="AE99" s="23" cm="1">
        <f t="array" ref="AE99">BS_Greek("PUT","RHO",$Q99,$B$1,$B$2,$R$3,AE$6)</f>
        <v>-2.3573648104321254</v>
      </c>
      <c r="AF99" s="5"/>
      <c r="AG99" s="12">
        <v>120</v>
      </c>
      <c r="AH99" s="22" cm="1">
        <f t="array" ref="AH99">BS_Greek("PUT","RHO",$AG99,$B$1,$B$2,$AH$3,AH$86)</f>
        <v>-3.7020182591963375E-10</v>
      </c>
      <c r="AI99" s="14" cm="1">
        <f t="array" ref="AI99">BS_Greek("PUT","RHO",$AG99,$B$1,$B$2,$AH$3,AI$86)</f>
        <v>-4.1376194053933257E-6</v>
      </c>
      <c r="AJ99" s="14" cm="1">
        <f t="array" ref="AJ99">BS_Greek("PUT","RHO",$AG99,$B$1,$B$2,$AH$3,AJ$86)</f>
        <v>-1.1821674012054746E-4</v>
      </c>
      <c r="AK99" s="14" cm="1">
        <f t="array" ref="AK99">BS_Greek("PUT","RHO",$AG99,$B$1,$B$2,$AH$3,AK$86)</f>
        <v>-7.0994678821790255E-4</v>
      </c>
      <c r="AL99" s="14" cm="1">
        <f t="array" ref="AL99">BS_Greek("PUT","RHO",$AG99,$B$1,$B$2,$AH$3,AL$86)</f>
        <v>-2.2275567745076927E-3</v>
      </c>
      <c r="AM99" s="14" cm="1">
        <f t="array" ref="AM99">BS_Greek("PUT","RHO",$AG99,$B$1,$B$2,$AH$3,AM$86)</f>
        <v>-4.9902996063027252E-3</v>
      </c>
      <c r="AN99" s="14" cm="1">
        <f t="array" ref="AN99">BS_Greek("PUT","RHO",$AG99,$B$1,$B$2,$AH$3,AN$86)</f>
        <v>-9.1586807596606805E-3</v>
      </c>
      <c r="AO99" s="14" cm="1">
        <f t="array" ref="AO99">BS_Greek("PUT","RHO",$AG99,$B$1,$B$2,$AH$3,AO$86)</f>
        <v>-1.4776758266337857E-2</v>
      </c>
      <c r="AP99" s="14" cm="1">
        <f t="array" ref="AP99">BS_Greek("PUT","RHO",$AG99,$B$1,$B$2,$AH$3,AP$86)</f>
        <v>-2.1817588452681832E-2</v>
      </c>
      <c r="AQ99" s="14" cm="1">
        <f t="array" ref="AQ99">BS_Greek("PUT","RHO",$AG99,$B$1,$B$2,$AH$3,AQ$86)</f>
        <v>-3.0215639479525973E-2</v>
      </c>
      <c r="AR99" s="14" cm="1">
        <f t="array" ref="AR99">BS_Greek("PUT","RHO",$AG99,$B$1,$B$2,$AH$3,AR$86)</f>
        <v>-0.17041305844647878</v>
      </c>
      <c r="AS99" s="14" cm="1">
        <f t="array" ref="AS99">BS_Greek("PUT","RHO",$AG99,$B$1,$B$2,$AH$3,AS$86)</f>
        <v>-0.37061971310998387</v>
      </c>
      <c r="AT99" s="14" cm="1">
        <f t="array" ref="AT99">BS_Greek("PUT","RHO",$AG99,$B$1,$B$2,$AH$3,AT$86)</f>
        <v>-0.59900537227292028</v>
      </c>
      <c r="AU99" s="23" cm="1">
        <f t="array" ref="AU99">BS_Greek("PUT","RHO",$AG99,$B$1,$B$2,$AH$3,AU$86)</f>
        <v>-0.84145321734060696</v>
      </c>
      <c r="AV99" s="5"/>
      <c r="AW99" s="5"/>
      <c r="AX99" s="5"/>
      <c r="AY99" s="5"/>
      <c r="AZ99" s="5"/>
      <c r="BA99" s="5"/>
      <c r="BB99" s="5"/>
    </row>
    <row r="100" spans="1:54" x14ac:dyDescent="0.2">
      <c r="A100" s="12">
        <v>125</v>
      </c>
      <c r="B100" s="22" cm="1">
        <f t="array" ref="B100">BS_Greek("PUT","RHO",$A100,$B$1,$B$2,$B$3,B$6)</f>
        <v>-2.2181932695997458E-5</v>
      </c>
      <c r="C100" s="14" cm="1">
        <f t="array" ref="C100">BS_Greek("PUT","RHO",$A100,$B$1,$B$2,$B$3,C$6)</f>
        <v>-1.3391859871546535E-3</v>
      </c>
      <c r="D100" s="14" cm="1">
        <f t="array" ref="D100">BS_Greek("PUT","RHO",$A100,$B$1,$B$2,$B$3,D$6)</f>
        <v>-6.650628590542741E-3</v>
      </c>
      <c r="E100" s="14" cm="1">
        <f t="array" ref="E100">BS_Greek("PUT","RHO",$A100,$B$1,$B$2,$B$3,E$6)</f>
        <v>-1.6571142382086755E-2</v>
      </c>
      <c r="F100" s="14" cm="1">
        <f t="array" ref="F100">BS_Greek("PUT","RHO",$A100,$B$1,$B$2,$B$3,F$6)</f>
        <v>-3.0584254106562819E-2</v>
      </c>
      <c r="G100" s="14" cm="1">
        <f t="array" ref="G100">BS_Greek("PUT","RHO",$A100,$B$1,$B$2,$B$3,G$6)</f>
        <v>-4.8016470024207891E-2</v>
      </c>
      <c r="H100" s="14" cm="1">
        <f t="array" ref="H100">BS_Greek("PUT","RHO",$A100,$B$1,$B$2,$B$3,H$6)</f>
        <v>-6.8281145547908484E-2</v>
      </c>
      <c r="I100" s="14" cm="1">
        <f t="array" ref="I100">BS_Greek("PUT","RHO",$A100,$B$1,$B$2,$B$3,I$6)</f>
        <v>-9.0908489929242109E-2</v>
      </c>
      <c r="J100" s="14" cm="1">
        <f t="array" ref="J100">BS_Greek("PUT","RHO",$A100,$B$1,$B$2,$B$3,J$6)</f>
        <v>-0.1155287594332393</v>
      </c>
      <c r="K100" s="14" cm="1">
        <f t="array" ref="K100">BS_Greek("PUT","RHO",$A100,$B$1,$B$2,$B$3,K$6)</f>
        <v>-0.14185000790281932</v>
      </c>
      <c r="L100" s="14" cm="1">
        <f t="array" ref="L100">BS_Greek("PUT","RHO",$A100,$B$1,$B$2,$B$3,L$6)</f>
        <v>-0.46326256041769343</v>
      </c>
      <c r="M100" s="14" cm="1">
        <f t="array" ref="M100">BS_Greek("PUT","RHO",$A100,$B$1,$B$2,$B$3,M$6)</f>
        <v>-0.84013408061792316</v>
      </c>
      <c r="N100" s="14" cm="1">
        <f t="array" ref="N100">BS_Greek("PUT","RHO",$A100,$B$1,$B$2,$B$3,N$6)</f>
        <v>-1.2433649767000055</v>
      </c>
      <c r="O100" s="23" cm="1">
        <f t="array" ref="O100">BS_Greek("PUT","RHO",$A100,$B$1,$B$2,$B$3,O$6)</f>
        <v>-1.6614106664413504</v>
      </c>
      <c r="P100" s="5"/>
      <c r="Q100" s="12">
        <v>125</v>
      </c>
      <c r="R100" s="22" cm="1">
        <f t="array" ref="R100">BS_Greek("PUT","RHO",$Q100,$B$1,$B$2,$R$3,R$6)</f>
        <v>-1.0289433281621698E-3</v>
      </c>
      <c r="S100" s="14" cm="1">
        <f t="array" ref="S100">BS_Greek("PUT","RHO",$Q100,$B$1,$B$2,$R$3,S$6)</f>
        <v>-1.0695711321091927E-2</v>
      </c>
      <c r="T100" s="14" cm="1">
        <f t="array" ref="T100">BS_Greek("PUT","RHO",$Q100,$B$1,$B$2,$R$3,T$6)</f>
        <v>-2.9256345887026747E-2</v>
      </c>
      <c r="U100" s="14" cm="1">
        <f t="array" ref="U100">BS_Greek("PUT","RHO",$Q100,$B$1,$B$2,$R$3,U$6)</f>
        <v>-5.3851866590454225E-2</v>
      </c>
      <c r="V100" s="14" cm="1">
        <f t="array" ref="V100">BS_Greek("PUT","RHO",$Q100,$B$1,$B$2,$R$3,V$6)</f>
        <v>-8.2670405339206499E-2</v>
      </c>
      <c r="W100" s="14" cm="1">
        <f t="array" ref="W100">BS_Greek("PUT","RHO",$Q100,$B$1,$B$2,$R$3,W$6)</f>
        <v>-0.11461881193040137</v>
      </c>
      <c r="X100" s="14" cm="1">
        <f t="array" ref="X100">BS_Greek("PUT","RHO",$Q100,$B$1,$B$2,$R$3,X$6)</f>
        <v>-0.1489990288780266</v>
      </c>
      <c r="Y100" s="14" cm="1">
        <f t="array" ref="Y100">BS_Greek("PUT","RHO",$Q100,$B$1,$B$2,$R$3,Y$6)</f>
        <v>-0.18533873828520891</v>
      </c>
      <c r="Z100" s="14" cm="1">
        <f t="array" ref="Z100">BS_Greek("PUT","RHO",$Q100,$B$1,$B$2,$R$3,Z$6)</f>
        <v>-0.22330249044173475</v>
      </c>
      <c r="AA100" s="14" cm="1">
        <f t="array" ref="AA100">BS_Greek("PUT","RHO",$Q100,$B$1,$B$2,$R$3,AA$6)</f>
        <v>-0.26264243948021648</v>
      </c>
      <c r="AB100" s="14" cm="1">
        <f t="array" ref="AB100">BS_Greek("PUT","RHO",$Q100,$B$1,$B$2,$R$3,AB$6)</f>
        <v>-0.7039073749068705</v>
      </c>
      <c r="AC100" s="14" cm="1">
        <f t="array" ref="AC100">BS_Greek("PUT","RHO",$Q100,$B$1,$B$2,$R$3,AC$6)</f>
        <v>-1.1938490201379492</v>
      </c>
      <c r="AD100" s="14" cm="1">
        <f t="array" ref="AD100">BS_Greek("PUT","RHO",$Q100,$B$1,$B$2,$R$3,AD$6)</f>
        <v>-1.7097976498941947</v>
      </c>
      <c r="AE100" s="23" cm="1">
        <f t="array" ref="AE100">BS_Greek("PUT","RHO",$Q100,$B$1,$B$2,$R$3,AE$6)</f>
        <v>-2.2420154235855061</v>
      </c>
      <c r="AF100" s="5"/>
      <c r="AG100" s="12">
        <v>125</v>
      </c>
      <c r="AH100" s="22" cm="1">
        <f t="array" ref="AH100">BS_Greek("PUT","RHO",$AG100,$B$1,$B$2,$AH$3,AH$86)</f>
        <v>-7.6155492043541037E-14</v>
      </c>
      <c r="AI100" s="14" cm="1">
        <f t="array" ref="AI100">BS_Greek("PUT","RHO",$AG100,$B$1,$B$2,$AH$3,AI$86)</f>
        <v>-5.3758969650157475E-8</v>
      </c>
      <c r="AJ100" s="14" cm="1">
        <f t="array" ref="AJ100">BS_Greek("PUT","RHO",$AG100,$B$1,$B$2,$AH$3,AJ$86)</f>
        <v>-6.1411164212453242E-6</v>
      </c>
      <c r="AK100" s="14" cm="1">
        <f t="array" ref="AK100">BS_Greek("PUT","RHO",$AG100,$B$1,$B$2,$AH$3,AK$86)</f>
        <v>-7.3922110985878773E-5</v>
      </c>
      <c r="AL100" s="14" cm="1">
        <f t="array" ref="AL100">BS_Greek("PUT","RHO",$AG100,$B$1,$B$2,$AH$3,AL$86)</f>
        <v>-3.5258563277928013E-4</v>
      </c>
      <c r="AM100" s="14" cm="1">
        <f t="array" ref="AM100">BS_Greek("PUT","RHO",$AG100,$B$1,$B$2,$AH$3,AM$86)</f>
        <v>-1.0454860691588219E-3</v>
      </c>
      <c r="AN100" s="14" cm="1">
        <f t="array" ref="AN100">BS_Greek("PUT","RHO",$AG100,$B$1,$B$2,$AH$3,AN$86)</f>
        <v>-2.3461919494972084E-3</v>
      </c>
      <c r="AO100" s="14" cm="1">
        <f t="array" ref="AO100">BS_Greek("PUT","RHO",$AG100,$B$1,$B$2,$AH$3,AO$86)</f>
        <v>-4.4045297688068445E-3</v>
      </c>
      <c r="AP100" s="14" cm="1">
        <f t="array" ref="AP100">BS_Greek("PUT","RHO",$AG100,$B$1,$B$2,$AH$3,AP$86)</f>
        <v>-7.3201992281897478E-3</v>
      </c>
      <c r="AQ100" s="14" cm="1">
        <f t="array" ref="AQ100">BS_Greek("PUT","RHO",$AG100,$B$1,$B$2,$AH$3,AQ$86)</f>
        <v>-1.1149292047401196E-2</v>
      </c>
      <c r="AR100" s="14" cm="1">
        <f t="array" ref="AR100">BS_Greek("PUT","RHO",$AG100,$B$1,$B$2,$AH$3,AR$86)</f>
        <v>-9.7269983363962156E-2</v>
      </c>
      <c r="AS100" s="14" cm="1">
        <f t="array" ref="AS100">BS_Greek("PUT","RHO",$AG100,$B$1,$B$2,$AH$3,AS$86)</f>
        <v>-0.24623428923447238</v>
      </c>
      <c r="AT100" s="14" cm="1">
        <f t="array" ref="AT100">BS_Greek("PUT","RHO",$AG100,$B$1,$B$2,$AH$3,AT$86)</f>
        <v>-0.43061133337451024</v>
      </c>
      <c r="AU100" s="23" cm="1">
        <f t="array" ref="AU100">BS_Greek("PUT","RHO",$AG100,$B$1,$B$2,$AH$3,AU$86)</f>
        <v>-0.63521830954418723</v>
      </c>
      <c r="AV100" s="5"/>
      <c r="AW100" s="5"/>
      <c r="AX100" s="5"/>
      <c r="AY100" s="5"/>
      <c r="AZ100" s="5"/>
      <c r="BA100" s="5"/>
      <c r="BB100" s="5"/>
    </row>
    <row r="101" spans="1:54" x14ac:dyDescent="0.2">
      <c r="A101" s="12">
        <v>130</v>
      </c>
      <c r="B101" s="22" cm="1">
        <f t="array" ref="B101">BS_Greek("PUT","RHO",$A101,$B$1,$B$2,$B$3,B$6)</f>
        <v>-1.7921519198907078E-6</v>
      </c>
      <c r="C101" s="14" cm="1">
        <f t="array" ref="C101">BS_Greek("PUT","RHO",$A101,$B$1,$B$2,$B$3,C$6)</f>
        <v>-3.5959910459001758E-4</v>
      </c>
      <c r="D101" s="14" cm="1">
        <f t="array" ref="D101">BS_Greek("PUT","RHO",$A101,$B$1,$B$2,$B$3,D$6)</f>
        <v>-2.6770963052206043E-3</v>
      </c>
      <c r="E101" s="14" cm="1">
        <f t="array" ref="E101">BS_Greek("PUT","RHO",$A101,$B$1,$B$2,$B$3,E$6)</f>
        <v>-8.1866116809250749E-3</v>
      </c>
      <c r="F101" s="14" cm="1">
        <f t="array" ref="F101">BS_Greek("PUT","RHO",$A101,$B$1,$B$2,$B$3,F$6)</f>
        <v>-1.7110072638825885E-2</v>
      </c>
      <c r="G101" s="14" cm="1">
        <f t="array" ref="G101">BS_Greek("PUT","RHO",$A101,$B$1,$B$2,$B$3,G$6)</f>
        <v>-2.921224801710362E-2</v>
      </c>
      <c r="H101" s="14" cm="1">
        <f t="array" ref="H101">BS_Greek("PUT","RHO",$A101,$B$1,$B$2,$B$3,H$6)</f>
        <v>-4.4135283421453939E-2</v>
      </c>
      <c r="I101" s="14" cm="1">
        <f t="array" ref="I101">BS_Greek("PUT","RHO",$A101,$B$1,$B$2,$B$3,I$6)</f>
        <v>-6.1523368978177173E-2</v>
      </c>
      <c r="J101" s="14" cm="1">
        <f t="array" ref="J101">BS_Greek("PUT","RHO",$A101,$B$1,$B$2,$B$3,J$6)</f>
        <v>-8.1060435850244819E-2</v>
      </c>
      <c r="K101" s="14" cm="1">
        <f t="array" ref="K101">BS_Greek("PUT","RHO",$A101,$B$1,$B$2,$B$3,K$6)</f>
        <v>-0.10247663661348418</v>
      </c>
      <c r="L101" s="14" cm="1">
        <f t="array" ref="L101">BS_Greek("PUT","RHO",$A101,$B$1,$B$2,$B$3,L$6)</f>
        <v>-0.38375493287931833</v>
      </c>
      <c r="M101" s="14" cm="1">
        <f t="array" ref="M101">BS_Greek("PUT","RHO",$A101,$B$1,$B$2,$B$3,M$6)</f>
        <v>-0.73127252314863256</v>
      </c>
      <c r="N101" s="14" cm="1">
        <f t="array" ref="N101">BS_Greek("PUT","RHO",$A101,$B$1,$B$2,$B$3,N$6)</f>
        <v>-1.1111951260614403</v>
      </c>
      <c r="O101" s="23" cm="1">
        <f t="array" ref="O101">BS_Greek("PUT","RHO",$A101,$B$1,$B$2,$B$3,O$6)</f>
        <v>-1.5098058483276642</v>
      </c>
      <c r="P101" s="5"/>
      <c r="Q101" s="12">
        <v>130</v>
      </c>
      <c r="R101" s="22" cm="1">
        <f t="array" ref="R101">BS_Greek("PUT","RHO",$Q101,$B$1,$B$2,$R$3,R$6)</f>
        <v>-3.1763475348564358E-4</v>
      </c>
      <c r="S101" s="14" cm="1">
        <f t="array" ref="S101">BS_Greek("PUT","RHO",$Q101,$B$1,$B$2,$R$3,S$6)</f>
        <v>-5.6878041459199743E-3</v>
      </c>
      <c r="T101" s="14" cm="1">
        <f t="array" ref="T101">BS_Greek("PUT","RHO",$Q101,$B$1,$B$2,$R$3,T$6)</f>
        <v>-1.8742566154243002E-2</v>
      </c>
      <c r="U101" s="14" cm="1">
        <f t="array" ref="U101">BS_Greek("PUT","RHO",$Q101,$B$1,$B$2,$R$3,U$6)</f>
        <v>-3.7955110917255099E-2</v>
      </c>
      <c r="V101" s="14" cm="1">
        <f t="array" ref="V101">BS_Greek("PUT","RHO",$Q101,$B$1,$B$2,$R$3,V$6)</f>
        <v>-6.1784478908191637E-2</v>
      </c>
      <c r="W101" s="14" cm="1">
        <f t="array" ref="W101">BS_Greek("PUT","RHO",$Q101,$B$1,$B$2,$R$3,W$6)</f>
        <v>-8.9151454622707474E-2</v>
      </c>
      <c r="X101" s="14" cm="1">
        <f t="array" ref="X101">BS_Greek("PUT","RHO",$Q101,$B$1,$B$2,$R$3,X$6)</f>
        <v>-0.11931528275867849</v>
      </c>
      <c r="Y101" s="14" cm="1">
        <f t="array" ref="Y101">BS_Greek("PUT","RHO",$Q101,$B$1,$B$2,$R$3,Y$6)</f>
        <v>-0.15175389567661915</v>
      </c>
      <c r="Z101" s="14" cm="1">
        <f t="array" ref="Z101">BS_Greek("PUT","RHO",$Q101,$B$1,$B$2,$R$3,Z$6)</f>
        <v>-0.18608715802051271</v>
      </c>
      <c r="AA101" s="14" cm="1">
        <f t="array" ref="AA101">BS_Greek("PUT","RHO",$Q101,$B$1,$B$2,$R$3,AA$6)</f>
        <v>-0.22202971256615689</v>
      </c>
      <c r="AB101" s="14" cm="1">
        <f t="array" ref="AB101">BS_Greek("PUT","RHO",$Q101,$B$1,$B$2,$R$3,AB$6)</f>
        <v>-0.63737982812093175</v>
      </c>
      <c r="AC101" s="14" cm="1">
        <f t="array" ref="AC101">BS_Greek("PUT","RHO",$Q101,$B$1,$B$2,$R$3,AC$6)</f>
        <v>-1.1092279122342144</v>
      </c>
      <c r="AD101" s="14" cm="1">
        <f t="array" ref="AD101">BS_Greek("PUT","RHO",$Q101,$B$1,$B$2,$R$3,AD$6)</f>
        <v>-1.6110518122145066</v>
      </c>
      <c r="AE101" s="23" cm="1">
        <f t="array" ref="AE101">BS_Greek("PUT","RHO",$Q101,$B$1,$B$2,$R$3,AE$6)</f>
        <v>-2.1316588608881553</v>
      </c>
      <c r="AF101" s="5"/>
      <c r="AG101" s="12">
        <v>130</v>
      </c>
      <c r="AH101" s="22" cm="1">
        <f t="array" ref="AH101">BS_Greek("PUT","RHO",$AG101,$B$1,$B$2,$AH$3,AH$86)</f>
        <v>-4.6807319848133936E-18</v>
      </c>
      <c r="AI101" s="14" cm="1">
        <f t="array" ref="AI101">BS_Greek("PUT","RHO",$AG101,$B$1,$B$2,$AH$3,AI$86)</f>
        <v>-3.8775380325376679E-10</v>
      </c>
      <c r="AJ101" s="14" cm="1">
        <f t="array" ref="AJ101">BS_Greek("PUT","RHO",$AG101,$B$1,$B$2,$AH$3,AJ$86)</f>
        <v>-2.1742039088202344E-7</v>
      </c>
      <c r="AK101" s="14" cm="1">
        <f t="array" ref="AK101">BS_Greek("PUT","RHO",$AG101,$B$1,$B$2,$AH$3,AK$86)</f>
        <v>-5.807775067082551E-6</v>
      </c>
      <c r="AL101" s="14" cm="1">
        <f t="array" ref="AL101">BS_Greek("PUT","RHO",$AG101,$B$1,$B$2,$AH$3,AL$86)</f>
        <v>-4.4740300836920976E-5</v>
      </c>
      <c r="AM101" s="14" cm="1">
        <f t="array" ref="AM101">BS_Greek("PUT","RHO",$AG101,$B$1,$B$2,$AH$3,AM$86)</f>
        <v>-1.8277187067678867E-4</v>
      </c>
      <c r="AN101" s="14" cm="1">
        <f t="array" ref="AN101">BS_Greek("PUT","RHO",$AG101,$B$1,$B$2,$AH$3,AN$86)</f>
        <v>-5.1597000135761924E-4</v>
      </c>
      <c r="AO101" s="14" cm="1">
        <f t="array" ref="AO101">BS_Greek("PUT","RHO",$AG101,$B$1,$B$2,$AH$3,AO$86)</f>
        <v>-1.1511350758450093E-3</v>
      </c>
      <c r="AP101" s="14" cm="1">
        <f t="array" ref="AP101">BS_Greek("PUT","RHO",$AG101,$B$1,$B$2,$AH$3,AP$86)</f>
        <v>-2.1889103353476399E-3</v>
      </c>
      <c r="AQ101" s="14" cm="1">
        <f t="array" ref="AQ101">BS_Greek("PUT","RHO",$AG101,$B$1,$B$2,$AH$3,AQ$86)</f>
        <v>-3.7142887060016444E-3</v>
      </c>
      <c r="AR101" s="14" cm="1">
        <f t="array" ref="AR101">BS_Greek("PUT","RHO",$AG101,$B$1,$B$2,$AH$3,AR$86)</f>
        <v>-5.3044518844668306E-2</v>
      </c>
      <c r="AS101" s="14" cm="1">
        <f t="array" ref="AS101">BS_Greek("PUT","RHO",$AG101,$B$1,$B$2,$AH$3,AS$86)</f>
        <v>-0.15909940709285955</v>
      </c>
      <c r="AT101" s="14" cm="1">
        <f t="array" ref="AT101">BS_Greek("PUT","RHO",$AG101,$B$1,$B$2,$AH$3,AT$86)</f>
        <v>-0.30361441765510089</v>
      </c>
      <c r="AU101" s="23" cm="1">
        <f t="array" ref="AU101">BS_Greek("PUT","RHO",$AG101,$B$1,$B$2,$AH$3,AU$86)</f>
        <v>-0.47263294150338991</v>
      </c>
      <c r="AV101" s="5"/>
      <c r="AW101" s="5"/>
      <c r="AX101" s="5"/>
      <c r="AY101" s="5"/>
      <c r="AZ101" s="5"/>
      <c r="BA101" s="5"/>
      <c r="BB101" s="5"/>
    </row>
    <row r="102" spans="1:54" x14ac:dyDescent="0.2">
      <c r="A102" s="12">
        <v>135</v>
      </c>
      <c r="B102" s="22" cm="1">
        <f t="array" ref="B102">BS_Greek("PUT","RHO",$A102,$B$1,$B$2,$B$3,B$6)</f>
        <v>-1.1255785043335699E-7</v>
      </c>
      <c r="C102" s="14" cm="1">
        <f t="array" ref="C102">BS_Greek("PUT","RHO",$A102,$B$1,$B$2,$B$3,C$6)</f>
        <v>-8.5770819532793706E-5</v>
      </c>
      <c r="D102" s="14" cm="1">
        <f t="array" ref="D102">BS_Greek("PUT","RHO",$A102,$B$1,$B$2,$B$3,D$6)</f>
        <v>-9.9962649464834462E-4</v>
      </c>
      <c r="E102" s="14" cm="1">
        <f t="array" ref="E102">BS_Greek("PUT","RHO",$A102,$B$1,$B$2,$B$3,E$6)</f>
        <v>-3.8319779767900645E-3</v>
      </c>
      <c r="F102" s="14" cm="1">
        <f t="array" ref="F102">BS_Greek("PUT","RHO",$A102,$B$1,$B$2,$B$3,F$6)</f>
        <v>-9.1826832539909885E-3</v>
      </c>
      <c r="G102" s="14" cm="1">
        <f t="array" ref="G102">BS_Greek("PUT","RHO",$A102,$B$1,$B$2,$B$3,G$6)</f>
        <v>-1.718812383669642E-2</v>
      </c>
      <c r="H102" s="14" cm="1">
        <f t="array" ref="H102">BS_Greek("PUT","RHO",$A102,$B$1,$B$2,$B$3,H$6)</f>
        <v>-2.7747891614049069E-2</v>
      </c>
      <c r="I102" s="14" cm="1">
        <f t="array" ref="I102">BS_Greek("PUT","RHO",$A102,$B$1,$B$2,$B$3,I$6)</f>
        <v>-4.0668157638389449E-2</v>
      </c>
      <c r="J102" s="14" cm="1">
        <f t="array" ref="J102">BS_Greek("PUT","RHO",$A102,$B$1,$B$2,$B$3,J$6)</f>
        <v>-5.5731173432878381E-2</v>
      </c>
      <c r="K102" s="14" cm="1">
        <f t="array" ref="K102">BS_Greek("PUT","RHO",$A102,$B$1,$B$2,$B$3,K$6)</f>
        <v>-7.2725467232320332E-2</v>
      </c>
      <c r="L102" s="14" cm="1">
        <f t="array" ref="L102">BS_Greek("PUT","RHO",$A102,$B$1,$B$2,$B$3,L$6)</f>
        <v>-0.31564169863796115</v>
      </c>
      <c r="M102" s="14" cm="1">
        <f t="array" ref="M102">BS_Greek("PUT","RHO",$A102,$B$1,$B$2,$B$3,M$6)</f>
        <v>-0.63402052128096154</v>
      </c>
      <c r="N102" s="14" cm="1">
        <f t="array" ref="N102">BS_Greek("PUT","RHO",$A102,$B$1,$B$2,$B$3,N$6)</f>
        <v>-0.9906187491457612</v>
      </c>
      <c r="O102" s="23" cm="1">
        <f t="array" ref="O102">BS_Greek("PUT","RHO",$A102,$B$1,$B$2,$B$3,O$6)</f>
        <v>-1.3697478270717238</v>
      </c>
      <c r="P102" s="5"/>
      <c r="Q102" s="12">
        <v>135</v>
      </c>
      <c r="R102" s="22" cm="1">
        <f t="array" ref="R102">BS_Greek("PUT","RHO",$Q102,$B$1,$B$2,$R$3,R$6)</f>
        <v>-8.8365776347315101E-5</v>
      </c>
      <c r="S102" s="14" cm="1">
        <f t="array" ref="S102">BS_Greek("PUT","RHO",$Q102,$B$1,$B$2,$R$3,S$6)</f>
        <v>-2.8855089414024297E-3</v>
      </c>
      <c r="T102" s="14" cm="1">
        <f t="array" ref="T102">BS_Greek("PUT","RHO",$Q102,$B$1,$B$2,$R$3,T$6)</f>
        <v>-1.1663257841904265E-2</v>
      </c>
      <c r="U102" s="14" cm="1">
        <f t="array" ref="U102">BS_Greek("PUT","RHO",$Q102,$B$1,$B$2,$R$3,U$6)</f>
        <v>-2.6210787015647562E-2</v>
      </c>
      <c r="V102" s="14" cm="1">
        <f t="array" ref="V102">BS_Greek("PUT","RHO",$Q102,$B$1,$B$2,$R$3,V$6)</f>
        <v>-4.5469811740087032E-2</v>
      </c>
      <c r="W102" s="14" cm="1">
        <f t="array" ref="W102">BS_Greek("PUT","RHO",$Q102,$B$1,$B$2,$R$3,W$6)</f>
        <v>-6.8504379043218835E-2</v>
      </c>
      <c r="X102" s="14" cm="1">
        <f t="array" ref="X102">BS_Greek("PUT","RHO",$Q102,$B$1,$B$2,$R$3,X$6)</f>
        <v>-9.4601690411796863E-2</v>
      </c>
      <c r="Y102" s="14" cm="1">
        <f t="array" ref="Y102">BS_Greek("PUT","RHO",$Q102,$B$1,$B$2,$R$3,Y$6)</f>
        <v>-0.12322920074328624</v>
      </c>
      <c r="Z102" s="14" cm="1">
        <f t="array" ref="Z102">BS_Greek("PUT","RHO",$Q102,$B$1,$B$2,$R$3,Z$6)</f>
        <v>-0.15398474228507225</v>
      </c>
      <c r="AA102" s="14" cm="1">
        <f t="array" ref="AA102">BS_Greek("PUT","RHO",$Q102,$B$1,$B$2,$R$3,AA$6)</f>
        <v>-0.18655900747507156</v>
      </c>
      <c r="AB102" s="14" cm="1">
        <f t="array" ref="AB102">BS_Greek("PUT","RHO",$Q102,$B$1,$B$2,$R$3,AB$6)</f>
        <v>-0.57593468855489771</v>
      </c>
      <c r="AC102" s="14" cm="1">
        <f t="array" ref="AC102">BS_Greek("PUT","RHO",$Q102,$B$1,$B$2,$R$3,AC$6)</f>
        <v>-1.0296004319123742</v>
      </c>
      <c r="AD102" s="14" cm="1">
        <f t="array" ref="AD102">BS_Greek("PUT","RHO",$Q102,$B$1,$B$2,$R$3,AD$6)</f>
        <v>-1.5172625308121352</v>
      </c>
      <c r="AE102" s="23" cm="1">
        <f t="array" ref="AE102">BS_Greek("PUT","RHO",$Q102,$B$1,$B$2,$R$3,AE$6)</f>
        <v>-2.0262534298220105</v>
      </c>
      <c r="AF102" s="5"/>
      <c r="AG102" s="12">
        <v>135</v>
      </c>
      <c r="AH102" s="22" cm="1">
        <f t="array" ref="AH102">BS_Greek("PUT","RHO",$AG102,$B$1,$B$2,$AH$3,AH$86)</f>
        <v>-9.9014289886287907E-23</v>
      </c>
      <c r="AI102" s="14" cm="1">
        <f t="array" ref="AI102">BS_Greek("PUT","RHO",$AG102,$B$1,$B$2,$AH$3,AI$86)</f>
        <v>-1.6597823077329752E-12</v>
      </c>
      <c r="AJ102" s="14" cm="1">
        <f t="array" ref="AJ102">BS_Greek("PUT","RHO",$AG102,$B$1,$B$2,$AH$3,AJ$86)</f>
        <v>-5.4734607299924929E-9</v>
      </c>
      <c r="AK102" s="14" cm="1">
        <f t="array" ref="AK102">BS_Greek("PUT","RHO",$AG102,$B$1,$B$2,$AH$3,AK$86)</f>
        <v>-3.549802325374195E-7</v>
      </c>
      <c r="AL102" s="14" cm="1">
        <f t="array" ref="AL102">BS_Greek("PUT","RHO",$AG102,$B$1,$B$2,$AH$3,AL$86)</f>
        <v>-4.6600046454232701E-6</v>
      </c>
      <c r="AM102" s="14" cm="1">
        <f t="array" ref="AM102">BS_Greek("PUT","RHO",$AG102,$B$1,$B$2,$AH$3,AM$86)</f>
        <v>-2.717622405464722E-5</v>
      </c>
      <c r="AN102" s="14" cm="1">
        <f t="array" ref="AN102">BS_Greek("PUT","RHO",$AG102,$B$1,$B$2,$AH$3,AN$86)</f>
        <v>-9.8976324948288555E-5</v>
      </c>
      <c r="AO102" s="14" cm="1">
        <f t="array" ref="AO102">BS_Greek("PUT","RHO",$AG102,$B$1,$B$2,$AH$3,AO$86)</f>
        <v>-2.6740280174910219E-4</v>
      </c>
      <c r="AP102" s="14" cm="1">
        <f t="array" ref="AP102">BS_Greek("PUT","RHO",$AG102,$B$1,$B$2,$AH$3,AP$86)</f>
        <v>-5.9028090815702071E-4</v>
      </c>
      <c r="AQ102" s="14" cm="1">
        <f t="array" ref="AQ102">BS_Greek("PUT","RHO",$AG102,$B$1,$B$2,$AH$3,AQ$86)</f>
        <v>-1.1288829945233631E-3</v>
      </c>
      <c r="AR102" s="14" cm="1">
        <f t="array" ref="AR102">BS_Greek("PUT","RHO",$AG102,$B$1,$B$2,$AH$3,AR$86)</f>
        <v>-2.7763060015189755E-2</v>
      </c>
      <c r="AS102" s="14" cm="1">
        <f t="array" ref="AS102">BS_Greek("PUT","RHO",$AG102,$B$1,$B$2,$AH$3,AS$86)</f>
        <v>-0.10025507523116202</v>
      </c>
      <c r="AT102" s="14" cm="1">
        <f t="array" ref="AT102">BS_Greek("PUT","RHO",$AG102,$B$1,$B$2,$AH$3,AT$86)</f>
        <v>-0.21037948457823835</v>
      </c>
      <c r="AU102" s="23" cm="1">
        <f t="array" ref="AU102">BS_Greek("PUT","RHO",$AG102,$B$1,$B$2,$AH$3,AU$86)</f>
        <v>-0.34712911679763819</v>
      </c>
      <c r="AV102" s="5"/>
      <c r="AW102" s="5"/>
      <c r="AX102" s="5"/>
      <c r="AY102" s="5"/>
      <c r="AZ102" s="5"/>
      <c r="BA102" s="5"/>
      <c r="BB102" s="5"/>
    </row>
    <row r="103" spans="1:54" x14ac:dyDescent="0.2">
      <c r="A103" s="12">
        <v>140</v>
      </c>
      <c r="B103" s="24" cm="1">
        <f t="array" ref="B103">BS_Greek("PUT","RHO",$A103,$B$1,$B$2,$B$3,B$6)</f>
        <v>-5.6502198506100903E-9</v>
      </c>
      <c r="C103" s="25" cm="1">
        <f t="array" ref="C103">BS_Greek("PUT","RHO",$A103,$B$1,$B$2,$B$3,C$6)</f>
        <v>-1.8400851648056229E-5</v>
      </c>
      <c r="D103" s="25" cm="1">
        <f t="array" ref="D103">BS_Greek("PUT","RHO",$A103,$B$1,$B$2,$B$3,D$6)</f>
        <v>-3.4893521618526097E-4</v>
      </c>
      <c r="E103" s="25" cm="1">
        <f t="array" ref="E103">BS_Greek("PUT","RHO",$A103,$B$1,$B$2,$B$3,E$6)</f>
        <v>-1.7087825312208503E-3</v>
      </c>
      <c r="F103" s="25" cm="1">
        <f t="array" ref="F103">BS_Greek("PUT","RHO",$A103,$B$1,$B$2,$B$3,F$6)</f>
        <v>-4.74750243406392E-3</v>
      </c>
      <c r="G103" s="25" cm="1">
        <f t="array" ref="G103">BS_Greek("PUT","RHO",$A103,$B$1,$B$2,$B$3,G$6)</f>
        <v>-9.8137054815928635E-3</v>
      </c>
      <c r="H103" s="25" cm="1">
        <f t="array" ref="H103">BS_Greek("PUT","RHO",$A103,$B$1,$B$2,$B$3,H$6)</f>
        <v>-1.7015134616637777E-2</v>
      </c>
      <c r="I103" s="25" cm="1">
        <f t="array" ref="I103">BS_Greek("PUT","RHO",$A103,$B$1,$B$2,$B$3,I$6)</f>
        <v>-2.6318913337857793E-2</v>
      </c>
      <c r="J103" s="25" cm="1">
        <f t="array" ref="J103">BS_Greek("PUT","RHO",$A103,$B$1,$B$2,$B$3,J$6)</f>
        <v>-3.7621859416077805E-2</v>
      </c>
      <c r="K103" s="25" cm="1">
        <f t="array" ref="K103">BS_Greek("PUT","RHO",$A103,$B$1,$B$2,$B$3,K$6)</f>
        <v>-5.0791250093462879E-2</v>
      </c>
      <c r="L103" s="25" cm="1">
        <f t="array" ref="L103">BS_Greek("PUT","RHO",$A103,$B$1,$B$2,$B$3,L$6)</f>
        <v>-0.25797213572700128</v>
      </c>
      <c r="M103" s="25" cm="1">
        <f t="array" ref="M103">BS_Greek("PUT","RHO",$A103,$B$1,$B$2,$B$3,M$6)</f>
        <v>-0.54778766781951849</v>
      </c>
      <c r="N103" s="25" cm="1">
        <f t="array" ref="N103">BS_Greek("PUT","RHO",$A103,$B$1,$B$2,$B$3,N$6)</f>
        <v>-0.88120523161914477</v>
      </c>
      <c r="O103" s="26" cm="1">
        <f t="array" ref="O103">BS_Greek("PUT","RHO",$A103,$B$1,$B$2,$B$3,O$6)</f>
        <v>-1.240881613164734</v>
      </c>
      <c r="P103" s="5"/>
      <c r="Q103" s="12">
        <v>140</v>
      </c>
      <c r="R103" s="24" cm="1">
        <f t="array" ref="R103">BS_Greek("PUT","RHO",$Q103,$B$1,$B$2,$R$3,R$6)</f>
        <v>-2.2396787586628026E-5</v>
      </c>
      <c r="S103" s="25" cm="1">
        <f t="array" ref="S103">BS_Greek("PUT","RHO",$Q103,$B$1,$B$2,$R$3,S$6)</f>
        <v>-1.4031351479492518E-3</v>
      </c>
      <c r="T103" s="25" cm="1">
        <f t="array" ref="T103">BS_Greek("PUT","RHO",$Q103,$B$1,$B$2,$R$3,T$6)</f>
        <v>-7.0704134141144296E-3</v>
      </c>
      <c r="U103" s="25" cm="1">
        <f t="array" ref="U103">BS_Greek("PUT","RHO",$Q103,$B$1,$B$2,$R$3,U$6)</f>
        <v>-1.7770843695835294E-2</v>
      </c>
      <c r="V103" s="25" cm="1">
        <f t="array" ref="V103">BS_Greek("PUT","RHO",$Q103,$B$1,$B$2,$R$3,V$6)</f>
        <v>-3.300248120287564E-2</v>
      </c>
      <c r="W103" s="25" cm="1">
        <f t="array" ref="W103">BS_Greek("PUT","RHO",$Q103,$B$1,$B$2,$R$3,W$6)</f>
        <v>-5.2066109365743574E-2</v>
      </c>
      <c r="X103" s="25" cm="1">
        <f t="array" ref="X103">BS_Greek("PUT","RHO",$Q103,$B$1,$B$2,$R$3,X$6)</f>
        <v>-7.4340926919874761E-2</v>
      </c>
      <c r="Y103" s="25" cm="1">
        <f t="array" ref="Y103">BS_Greek("PUT","RHO",$Q103,$B$1,$B$2,$R$3,Y$6)</f>
        <v>-9.932433830893253E-2</v>
      </c>
      <c r="Z103" s="25" cm="1">
        <f t="array" ref="Z103">BS_Greek("PUT","RHO",$Q103,$B$1,$B$2,$R$3,Z$6)</f>
        <v>-0.12661761696303445</v>
      </c>
      <c r="AA103" s="25" cm="1">
        <f t="array" ref="AA103">BS_Greek("PUT","RHO",$Q103,$B$1,$B$2,$R$3,AA$6)</f>
        <v>-0.15590384736980176</v>
      </c>
      <c r="AB103" s="25" cm="1">
        <f t="array" ref="AB103">BS_Greek("PUT","RHO",$Q103,$B$1,$B$2,$R$3,AB$6)</f>
        <v>-0.51945709399191087</v>
      </c>
      <c r="AC103" s="25" cm="1">
        <f t="array" ref="AC103">BS_Greek("PUT","RHO",$Q103,$B$1,$B$2,$R$3,AC$6)</f>
        <v>-0.95489103756833382</v>
      </c>
      <c r="AD103" s="25" cm="1">
        <f t="array" ref="AD103">BS_Greek("PUT","RHO",$Q103,$B$1,$B$2,$R$3,AD$6)</f>
        <v>-1.4283571112354714</v>
      </c>
      <c r="AE103" s="26" cm="1">
        <f t="array" ref="AE103">BS_Greek("PUT","RHO",$Q103,$B$1,$B$2,$R$3,AE$6)</f>
        <v>-1.9257187255069328</v>
      </c>
      <c r="AF103" s="5"/>
      <c r="AG103" s="12">
        <v>140</v>
      </c>
      <c r="AH103" s="24" cm="1">
        <f t="array" ref="AH103">BS_Greek("PUT","RHO",$AG103,$B$1,$B$2,$AH$3,AH$86)</f>
        <v>-8.1659350383028293E-28</v>
      </c>
      <c r="AI103" s="25" cm="1">
        <f t="array" ref="AI103">BS_Greek("PUT","RHO",$AG103,$B$1,$B$2,$AH$3,AI$86)</f>
        <v>-4.4756006533481524E-15</v>
      </c>
      <c r="AJ103" s="25" cm="1">
        <f t="array" ref="AJ103">BS_Greek("PUT","RHO",$AG103,$B$1,$B$2,$AH$3,AJ$86)</f>
        <v>-1.0180530527490383E-10</v>
      </c>
      <c r="AK103" s="25" cm="1">
        <f t="array" ref="AK103">BS_Greek("PUT","RHO",$AG103,$B$1,$B$2,$AH$3,AK$86)</f>
        <v>-1.7355255510596831E-8</v>
      </c>
      <c r="AL103" s="25" cm="1">
        <f t="array" ref="AL103">BS_Greek("PUT","RHO",$AG103,$B$1,$B$2,$AH$3,AL$86)</f>
        <v>-4.0710561486007701E-7</v>
      </c>
      <c r="AM103" s="25" cm="1">
        <f t="array" ref="AM103">BS_Greek("PUT","RHO",$AG103,$B$1,$B$2,$AH$3,AM$86)</f>
        <v>-3.4976118162045719E-6</v>
      </c>
      <c r="AN103" s="25" cm="1">
        <f t="array" ref="AN103">BS_Greek("PUT","RHO",$AG103,$B$1,$B$2,$AH$3,AN$86)</f>
        <v>-1.6805717595808305E-5</v>
      </c>
      <c r="AO103" s="25" cm="1">
        <f t="array" ref="AO103">BS_Greek("PUT","RHO",$AG103,$B$1,$B$2,$AH$3,AO$86)</f>
        <v>-5.5908141161773162E-5</v>
      </c>
      <c r="AP103" s="25" cm="1">
        <f t="array" ref="AP103">BS_Greek("PUT","RHO",$AG103,$B$1,$B$2,$AH$3,AP$86)</f>
        <v>-1.4513415048132041E-4</v>
      </c>
      <c r="AQ103" s="25" cm="1">
        <f t="array" ref="AQ103">BS_Greek("PUT","RHO",$AG103,$B$1,$B$2,$AH$3,AQ$86)</f>
        <v>-3.1605882700215971E-4</v>
      </c>
      <c r="AR103" s="25" cm="1">
        <f t="array" ref="AR103">BS_Greek("PUT","RHO",$AG103,$B$1,$B$2,$AH$3,AR$86)</f>
        <v>-1.4005521022504215E-2</v>
      </c>
      <c r="AS103" s="25" cm="1">
        <f t="array" ref="AS103">BS_Greek("PUT","RHO",$AG103,$B$1,$B$2,$AH$3,AS$86)</f>
        <v>-6.1771701030619901E-2</v>
      </c>
      <c r="AT103" s="25" cm="1">
        <f t="array" ref="AT103">BS_Greek("PUT","RHO",$AG103,$B$1,$B$2,$AH$3,AT$86)</f>
        <v>-0.14352340135387856</v>
      </c>
      <c r="AU103" s="26" cm="1">
        <f t="array" ref="AU103">BS_Greek("PUT","RHO",$AG103,$B$1,$B$2,$AH$3,AU$86)</f>
        <v>-0.25201588710677392</v>
      </c>
      <c r="AV103" s="5"/>
      <c r="AW103" s="5"/>
      <c r="AX103" s="5"/>
      <c r="AY103" s="5"/>
      <c r="AZ103" s="5"/>
      <c r="BA103" s="5"/>
      <c r="BB103" s="5"/>
    </row>
  </sheetData>
  <mergeCells count="15">
    <mergeCell ref="A5:O5"/>
    <mergeCell ref="Q5:AE5"/>
    <mergeCell ref="AG5:AU5"/>
    <mergeCell ref="A25:O25"/>
    <mergeCell ref="Q25:AE25"/>
    <mergeCell ref="AG25:AU25"/>
    <mergeCell ref="A85:O85"/>
    <mergeCell ref="Q85:AE85"/>
    <mergeCell ref="AG85:AU85"/>
    <mergeCell ref="A45:O45"/>
    <mergeCell ref="Q45:AE45"/>
    <mergeCell ref="AG45:AU45"/>
    <mergeCell ref="A65:O65"/>
    <mergeCell ref="Q65:AE65"/>
    <mergeCell ref="AG65:AU6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6228-94FF-3D4D-8D63-30E552A67220}">
  <sheetPr codeName="Sheet3"/>
  <dimension ref="A1"/>
  <sheetViews>
    <sheetView showGridLines="0" topLeftCell="N52" zoomScale="110" zoomScaleNormal="110" workbookViewId="0">
      <selection activeCell="B3" sqref="B3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53061-3663-3045-A2F8-08AB4C78B18C}">
  <sheetPr codeName="Sheet4"/>
  <dimension ref="A1:AA187"/>
  <sheetViews>
    <sheetView tabSelected="1" topLeftCell="A6" zoomScale="80" zoomScaleNormal="80" workbookViewId="0">
      <selection sqref="A1:AA1"/>
    </sheetView>
  </sheetViews>
  <sheetFormatPr baseColWidth="10" defaultRowHeight="16" x14ac:dyDescent="0.2"/>
  <sheetData>
    <row r="1" spans="1:27" ht="20" x14ac:dyDescent="0.2">
      <c r="A1" s="116" t="s">
        <v>44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</row>
    <row r="2" spans="1:27" x14ac:dyDescent="0.2">
      <c r="A2" s="115" t="s">
        <v>27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1:27" x14ac:dyDescent="0.2">
      <c r="A3" s="113" t="s">
        <v>45</v>
      </c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4" t="s">
        <v>46</v>
      </c>
      <c r="P3" s="114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</row>
    <row r="4" spans="1:27" x14ac:dyDescent="0.2">
      <c r="B4" s="110" t="s">
        <v>21</v>
      </c>
      <c r="C4" s="110"/>
      <c r="D4" s="111"/>
      <c r="E4" s="44"/>
      <c r="F4" s="44"/>
      <c r="O4" s="117" t="s">
        <v>21</v>
      </c>
      <c r="P4" s="118"/>
      <c r="Q4" s="119"/>
    </row>
    <row r="5" spans="1:27" x14ac:dyDescent="0.2">
      <c r="A5" s="89" t="s">
        <v>20</v>
      </c>
      <c r="B5" s="96" t="s">
        <v>54</v>
      </c>
      <c r="C5" s="83" t="s">
        <v>51</v>
      </c>
      <c r="D5" s="84" t="s">
        <v>53</v>
      </c>
      <c r="E5" s="10"/>
      <c r="F5" s="44"/>
      <c r="G5" s="36"/>
      <c r="H5" s="36"/>
      <c r="I5" s="36"/>
      <c r="J5" s="36"/>
      <c r="K5" s="36"/>
      <c r="L5" s="36"/>
      <c r="M5" s="36"/>
      <c r="N5" s="36"/>
      <c r="O5" s="86" t="s">
        <v>54</v>
      </c>
      <c r="P5" s="87" t="s">
        <v>51</v>
      </c>
      <c r="Q5" s="88" t="s">
        <v>53</v>
      </c>
      <c r="T5" s="36"/>
    </row>
    <row r="6" spans="1:27" ht="19" x14ac:dyDescent="0.25">
      <c r="A6" s="67">
        <v>520</v>
      </c>
      <c r="B6" s="44">
        <v>73.105000000000004</v>
      </c>
      <c r="C6" s="44">
        <v>63.1586</v>
      </c>
      <c r="D6" s="62">
        <v>58.177300000000002</v>
      </c>
      <c r="E6" s="10"/>
      <c r="F6" s="10"/>
      <c r="G6" s="41"/>
      <c r="H6" s="41"/>
      <c r="I6" s="39"/>
      <c r="K6" s="41"/>
      <c r="L6" s="41"/>
      <c r="M6" s="41"/>
      <c r="N6" s="41"/>
      <c r="O6" s="65">
        <v>104.15179999999999</v>
      </c>
      <c r="P6" s="44">
        <v>60.632300000000001</v>
      </c>
      <c r="Q6" s="62">
        <v>55.903700000000001</v>
      </c>
    </row>
    <row r="7" spans="1:27" ht="19" x14ac:dyDescent="0.25">
      <c r="A7" s="67">
        <v>600</v>
      </c>
      <c r="B7" s="44">
        <v>65.264499999999998</v>
      </c>
      <c r="C7" s="44">
        <v>59.042200000000001</v>
      </c>
      <c r="D7" s="62">
        <v>55.530900000000003</v>
      </c>
      <c r="E7" s="10"/>
      <c r="F7" s="10"/>
      <c r="G7" s="41"/>
      <c r="H7" s="41"/>
      <c r="I7" s="39"/>
      <c r="K7" s="41"/>
      <c r="L7" s="41"/>
      <c r="M7" s="41"/>
      <c r="N7" s="41"/>
      <c r="O7" s="65">
        <v>63.049900000000001</v>
      </c>
      <c r="P7" s="44">
        <v>57.26</v>
      </c>
      <c r="Q7" s="62">
        <v>53.928600000000003</v>
      </c>
    </row>
    <row r="8" spans="1:27" ht="19" x14ac:dyDescent="0.25">
      <c r="A8" s="67">
        <v>640</v>
      </c>
      <c r="B8" s="44">
        <v>62.688899999999997</v>
      </c>
      <c r="C8" s="44">
        <v>57.542299999999997</v>
      </c>
      <c r="D8" s="62">
        <v>54.444699999999997</v>
      </c>
      <c r="E8" s="10"/>
      <c r="F8" s="10"/>
      <c r="G8" s="41"/>
      <c r="H8" s="41"/>
      <c r="I8" s="39"/>
      <c r="K8" s="41"/>
      <c r="L8" s="41"/>
      <c r="M8" s="41"/>
      <c r="N8" s="41"/>
      <c r="O8" s="65">
        <v>61.114800000000002</v>
      </c>
      <c r="P8" s="44">
        <v>56.250500000000002</v>
      </c>
      <c r="Q8" s="62">
        <v>52.935899999999997</v>
      </c>
    </row>
    <row r="9" spans="1:27" ht="19" x14ac:dyDescent="0.25">
      <c r="A9" s="67">
        <v>680</v>
      </c>
      <c r="B9" s="44">
        <v>60.847700000000003</v>
      </c>
      <c r="C9" s="44">
        <v>56.472700000000003</v>
      </c>
      <c r="D9" s="62">
        <v>53.6815</v>
      </c>
      <c r="E9" s="10"/>
      <c r="F9" s="10"/>
      <c r="G9" s="41"/>
      <c r="H9" s="41"/>
      <c r="I9" s="39"/>
      <c r="J9" s="41"/>
      <c r="K9" s="41"/>
      <c r="L9" s="41"/>
      <c r="M9" s="41"/>
      <c r="N9" s="41"/>
      <c r="O9" s="65">
        <v>59.050600000000003</v>
      </c>
      <c r="P9" s="44">
        <v>55.1661</v>
      </c>
      <c r="Q9" s="62">
        <v>52.4131</v>
      </c>
    </row>
    <row r="10" spans="1:27" ht="19" x14ac:dyDescent="0.25">
      <c r="A10" s="67">
        <v>720</v>
      </c>
      <c r="B10" s="44">
        <v>58.430700000000002</v>
      </c>
      <c r="C10" s="44">
        <v>55.155900000000003</v>
      </c>
      <c r="D10" s="62">
        <v>52.619</v>
      </c>
      <c r="E10" s="10"/>
      <c r="F10" s="10"/>
      <c r="G10" s="41"/>
      <c r="H10" s="41"/>
      <c r="I10" s="39"/>
      <c r="J10" s="41"/>
      <c r="K10" s="41"/>
      <c r="L10" s="41"/>
      <c r="M10" s="41"/>
      <c r="N10" s="41"/>
      <c r="O10" s="65">
        <v>57.281199999999998</v>
      </c>
      <c r="P10" s="44">
        <v>54.071199999999997</v>
      </c>
      <c r="Q10" s="62">
        <v>51.398000000000003</v>
      </c>
    </row>
    <row r="11" spans="1:27" ht="19" x14ac:dyDescent="0.25">
      <c r="A11" s="67">
        <v>760</v>
      </c>
      <c r="B11" s="44">
        <v>56.890700000000002</v>
      </c>
      <c r="C11" s="44">
        <v>54.1282</v>
      </c>
      <c r="D11" s="62">
        <v>46.569899999999997</v>
      </c>
      <c r="E11" s="10"/>
      <c r="F11" s="10"/>
      <c r="G11" s="41"/>
      <c r="H11" s="41"/>
      <c r="I11" s="39"/>
      <c r="J11" s="41"/>
      <c r="K11" s="41"/>
      <c r="L11" s="41"/>
      <c r="M11" s="41"/>
      <c r="N11" s="41"/>
      <c r="O11" s="65">
        <v>55.905500000000004</v>
      </c>
      <c r="P11" s="44">
        <v>53.134999999999998</v>
      </c>
      <c r="Q11" s="62">
        <v>51.200299999999999</v>
      </c>
    </row>
    <row r="12" spans="1:27" ht="19" x14ac:dyDescent="0.25">
      <c r="A12" s="67">
        <v>800</v>
      </c>
      <c r="B12" s="44">
        <v>55.754899999999999</v>
      </c>
      <c r="C12" s="44">
        <v>53.0364</v>
      </c>
      <c r="D12" s="62">
        <v>51.084299999999999</v>
      </c>
      <c r="E12" s="10"/>
      <c r="F12" s="10"/>
      <c r="G12" s="41"/>
      <c r="H12" s="41"/>
      <c r="I12" s="39"/>
      <c r="J12" s="41"/>
      <c r="K12" s="41"/>
      <c r="L12" s="41"/>
      <c r="M12" s="41"/>
      <c r="N12" s="41"/>
      <c r="O12" s="65">
        <v>54.820900000000002</v>
      </c>
      <c r="P12" s="44">
        <v>53.620100000000001</v>
      </c>
      <c r="Q12" s="62">
        <v>53.0289</v>
      </c>
    </row>
    <row r="13" spans="1:27" ht="19" x14ac:dyDescent="0.25">
      <c r="A13" s="67">
        <v>840</v>
      </c>
      <c r="B13" s="44">
        <v>53.964300000000001</v>
      </c>
      <c r="C13" s="44">
        <v>52.250100000000003</v>
      </c>
      <c r="D13" s="62">
        <v>50.621899999999997</v>
      </c>
      <c r="E13" s="10"/>
      <c r="F13" s="10"/>
      <c r="G13" s="41"/>
      <c r="H13" s="41"/>
      <c r="I13" s="39"/>
      <c r="J13" s="41"/>
      <c r="K13" s="41"/>
      <c r="L13" s="41"/>
      <c r="M13" s="41"/>
      <c r="N13" s="41"/>
      <c r="O13" s="65">
        <v>53.146500000000003</v>
      </c>
      <c r="P13" s="44">
        <v>51.372500000000002</v>
      </c>
      <c r="Q13" s="62">
        <v>49.617800000000003</v>
      </c>
    </row>
    <row r="14" spans="1:27" ht="19" x14ac:dyDescent="0.25">
      <c r="A14" s="67">
        <v>880</v>
      </c>
      <c r="B14" s="44">
        <v>52.819600000000001</v>
      </c>
      <c r="C14" s="44">
        <v>51.447499999999998</v>
      </c>
      <c r="D14" s="62">
        <v>49.975900000000003</v>
      </c>
      <c r="E14" s="10"/>
      <c r="F14" s="10"/>
      <c r="G14" s="41"/>
      <c r="H14" s="41"/>
      <c r="I14" s="39"/>
      <c r="J14" s="41"/>
      <c r="K14" s="41"/>
      <c r="L14" s="41"/>
      <c r="M14" s="41"/>
      <c r="N14" s="41"/>
      <c r="O14" s="65">
        <v>52.026899999999998</v>
      </c>
      <c r="P14" s="44">
        <v>50.631999999999998</v>
      </c>
      <c r="Q14" s="62">
        <v>49.013399999999997</v>
      </c>
    </row>
    <row r="15" spans="1:27" ht="19" x14ac:dyDescent="0.25">
      <c r="A15" s="67">
        <v>920</v>
      </c>
      <c r="B15" s="44">
        <v>52.315899999999999</v>
      </c>
      <c r="C15" s="44">
        <v>50.829900000000002</v>
      </c>
      <c r="D15" s="62">
        <v>49.2515</v>
      </c>
      <c r="E15" s="10"/>
      <c r="F15" s="10"/>
      <c r="G15" s="41"/>
      <c r="H15" s="41"/>
      <c r="I15" s="39"/>
      <c r="J15" s="41"/>
      <c r="K15" s="41"/>
      <c r="L15" s="41"/>
      <c r="M15" s="41"/>
      <c r="N15" s="41"/>
      <c r="O15" s="65">
        <v>51.465000000000003</v>
      </c>
      <c r="P15" s="44">
        <v>49.964599999999997</v>
      </c>
      <c r="Q15" s="62">
        <v>48.319299999999998</v>
      </c>
    </row>
    <row r="16" spans="1:27" ht="19" x14ac:dyDescent="0.25">
      <c r="A16" s="67">
        <v>960</v>
      </c>
      <c r="B16" s="44">
        <v>51.4512</v>
      </c>
      <c r="C16" s="44">
        <v>50.460599999999999</v>
      </c>
      <c r="D16" s="62">
        <v>49.185200000000002</v>
      </c>
      <c r="E16" s="10"/>
      <c r="F16" s="10"/>
      <c r="G16" s="41"/>
      <c r="H16" s="41"/>
      <c r="I16" s="39"/>
      <c r="J16" s="41"/>
      <c r="K16" s="41"/>
      <c r="L16" s="41"/>
      <c r="M16" s="41"/>
      <c r="N16" s="41"/>
      <c r="O16" s="65">
        <v>50.607599999999998</v>
      </c>
      <c r="P16" s="44">
        <v>49.551699999999997</v>
      </c>
      <c r="Q16" s="62">
        <v>48.238799999999998</v>
      </c>
    </row>
    <row r="17" spans="1:27" ht="19" x14ac:dyDescent="0.25">
      <c r="A17" s="68">
        <v>1000</v>
      </c>
      <c r="B17" s="44">
        <v>48.574599999999997</v>
      </c>
      <c r="C17" s="44">
        <v>48.5809</v>
      </c>
      <c r="D17" s="62">
        <v>48.362499999999997</v>
      </c>
      <c r="E17" s="10"/>
      <c r="F17" s="10"/>
      <c r="G17" s="41"/>
      <c r="H17" s="41"/>
      <c r="I17" s="39"/>
      <c r="J17" s="41"/>
      <c r="K17" s="41"/>
      <c r="L17" s="41"/>
      <c r="M17" s="41"/>
      <c r="N17" s="41"/>
      <c r="O17" s="65">
        <v>50.028799999999997</v>
      </c>
      <c r="P17" s="44">
        <v>49.013500000000001</v>
      </c>
      <c r="Q17" s="62">
        <v>47.358699999999999</v>
      </c>
    </row>
    <row r="18" spans="1:27" ht="19" x14ac:dyDescent="0.25">
      <c r="A18" s="68">
        <v>1040</v>
      </c>
      <c r="B18" s="44">
        <v>51.438299999999998</v>
      </c>
      <c r="C18" s="44">
        <v>50.050699999999999</v>
      </c>
      <c r="D18" s="62">
        <v>47.963500000000003</v>
      </c>
      <c r="E18" s="10"/>
      <c r="F18" s="10"/>
      <c r="G18" s="41"/>
      <c r="H18" s="41"/>
      <c r="I18" s="42"/>
      <c r="J18" s="41"/>
      <c r="K18" s="41"/>
      <c r="L18" s="41"/>
      <c r="M18" s="41"/>
      <c r="N18" s="41"/>
      <c r="O18" s="65">
        <v>50.147399999999998</v>
      </c>
      <c r="P18" s="44">
        <v>49.044499999999999</v>
      </c>
      <c r="Q18" s="62">
        <v>46.997199999999999</v>
      </c>
    </row>
    <row r="19" spans="1:27" ht="19" x14ac:dyDescent="0.25">
      <c r="A19" s="68">
        <v>1080</v>
      </c>
      <c r="B19" s="44">
        <v>51.061399999999999</v>
      </c>
      <c r="C19" s="44">
        <v>48.098999999999997</v>
      </c>
      <c r="D19" s="62">
        <v>47.982399999999998</v>
      </c>
      <c r="E19" s="10"/>
      <c r="F19" s="10"/>
      <c r="G19" s="41"/>
      <c r="H19" s="41"/>
      <c r="I19" s="42"/>
      <c r="J19" s="41"/>
      <c r="K19" s="41"/>
      <c r="L19" s="41"/>
      <c r="M19" s="41"/>
      <c r="N19" s="41"/>
      <c r="O19" s="65">
        <v>49.803600000000003</v>
      </c>
      <c r="P19" s="44">
        <v>48.42</v>
      </c>
      <c r="Q19" s="62">
        <v>46.889200000000002</v>
      </c>
    </row>
    <row r="20" spans="1:27" ht="19" x14ac:dyDescent="0.25">
      <c r="A20" s="68">
        <v>1120</v>
      </c>
      <c r="B20" s="44">
        <v>51.5732</v>
      </c>
      <c r="C20" s="44">
        <v>49.580800000000004</v>
      </c>
      <c r="D20" s="62">
        <v>47.295200000000001</v>
      </c>
      <c r="E20" s="10"/>
      <c r="F20" s="10"/>
      <c r="G20" s="41"/>
      <c r="H20" s="41"/>
      <c r="I20" s="42"/>
      <c r="J20" s="41"/>
      <c r="K20" s="41"/>
      <c r="L20" s="41"/>
      <c r="M20" s="41"/>
      <c r="N20" s="41"/>
      <c r="O20" s="65">
        <v>50.104900000000001</v>
      </c>
      <c r="P20" s="44">
        <v>48.58</v>
      </c>
      <c r="Q20" s="62">
        <v>46.212400000000002</v>
      </c>
    </row>
    <row r="21" spans="1:27" ht="19" x14ac:dyDescent="0.25">
      <c r="A21" s="68">
        <v>1160</v>
      </c>
      <c r="B21" s="44">
        <v>51.827500000000001</v>
      </c>
      <c r="C21" s="44">
        <v>48.017600000000002</v>
      </c>
      <c r="D21" s="62">
        <v>44.383600000000001</v>
      </c>
      <c r="E21" s="10"/>
      <c r="F21" s="10"/>
      <c r="G21" s="41"/>
      <c r="H21" s="41"/>
      <c r="I21" s="42"/>
      <c r="J21" s="41"/>
      <c r="K21" s="41"/>
      <c r="L21" s="41"/>
      <c r="M21" s="41"/>
      <c r="N21" s="41"/>
      <c r="O21" s="65">
        <v>50.426400000000001</v>
      </c>
      <c r="P21" s="44">
        <v>48.254899999999999</v>
      </c>
      <c r="Q21" s="62">
        <v>46.073999999999998</v>
      </c>
    </row>
    <row r="22" spans="1:27" s="54" customFormat="1" ht="20" thickBot="1" x14ac:dyDescent="0.3">
      <c r="A22" s="69">
        <v>1200</v>
      </c>
      <c r="B22" s="63">
        <v>53.203600000000002</v>
      </c>
      <c r="C22" s="63">
        <v>49.456400000000002</v>
      </c>
      <c r="D22" s="64">
        <v>43.992699999999999</v>
      </c>
      <c r="E22" s="51"/>
      <c r="F22" s="51"/>
      <c r="G22" s="52"/>
      <c r="H22" s="52"/>
      <c r="I22" s="53"/>
      <c r="J22" s="52"/>
      <c r="K22" s="52"/>
      <c r="L22" s="52"/>
      <c r="M22" s="52"/>
      <c r="N22" s="52"/>
      <c r="O22" s="66">
        <v>50.542999999999999</v>
      </c>
      <c r="P22" s="63">
        <v>48.261800000000001</v>
      </c>
      <c r="Q22" s="64">
        <v>46.045299999999997</v>
      </c>
    </row>
    <row r="23" spans="1:27" ht="23" thickTop="1" x14ac:dyDescent="0.3">
      <c r="A23" s="112" t="s">
        <v>47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</row>
    <row r="24" spans="1:27" ht="19" customHeight="1" x14ac:dyDescent="0.2"/>
    <row r="25" spans="1:27" ht="19" x14ac:dyDescent="0.25">
      <c r="A25" s="10"/>
      <c r="B25" s="44"/>
      <c r="C25" s="44"/>
      <c r="D25" s="44"/>
      <c r="E25" s="46"/>
      <c r="F25" s="46"/>
      <c r="G25" s="38"/>
      <c r="H25" s="38"/>
      <c r="I25" s="40"/>
      <c r="J25" s="37"/>
      <c r="K25" s="37"/>
      <c r="L25" s="37"/>
      <c r="M25" s="38"/>
      <c r="N25" s="38"/>
      <c r="O25" s="38"/>
      <c r="P25" s="38"/>
      <c r="Q25" s="38"/>
      <c r="R25" s="43"/>
    </row>
    <row r="26" spans="1:27" ht="19" x14ac:dyDescent="0.25">
      <c r="A26" s="10"/>
      <c r="B26" s="44"/>
      <c r="C26" s="44"/>
      <c r="D26" s="44"/>
      <c r="E26" s="38"/>
      <c r="F26" s="38"/>
      <c r="G26" s="38"/>
      <c r="H26" s="38"/>
      <c r="I26" s="40"/>
      <c r="J26" s="37"/>
      <c r="K26" s="37"/>
      <c r="L26" s="37"/>
      <c r="M26" s="38"/>
      <c r="N26" s="38"/>
      <c r="O26" s="38"/>
      <c r="P26" s="38"/>
      <c r="Q26" s="38"/>
      <c r="R26" s="38"/>
    </row>
    <row r="27" spans="1:27" ht="19" x14ac:dyDescent="0.25">
      <c r="A27" s="10"/>
      <c r="B27" s="44"/>
      <c r="C27" s="44"/>
      <c r="D27" s="44"/>
      <c r="F27" s="38"/>
      <c r="G27" s="38"/>
      <c r="H27" s="38"/>
      <c r="I27" s="40"/>
      <c r="J27" s="37"/>
      <c r="K27" s="37"/>
      <c r="L27" s="37"/>
      <c r="M27" s="38"/>
      <c r="N27" s="38"/>
      <c r="O27" s="38"/>
      <c r="P27" s="38"/>
      <c r="Q27" s="38"/>
      <c r="R27" s="38"/>
    </row>
    <row r="28" spans="1:27" ht="19" x14ac:dyDescent="0.25">
      <c r="A28" s="10"/>
      <c r="B28" s="44"/>
      <c r="C28" s="44"/>
      <c r="D28" s="44"/>
      <c r="F28" s="38"/>
      <c r="G28" s="38"/>
      <c r="H28" s="38"/>
      <c r="I28" s="40"/>
      <c r="J28" s="37"/>
      <c r="K28" s="37"/>
      <c r="L28" s="37"/>
      <c r="M28" s="38"/>
      <c r="N28" s="38"/>
      <c r="O28" s="38"/>
      <c r="P28" s="38"/>
      <c r="Q28" s="38"/>
      <c r="R28" s="38"/>
    </row>
    <row r="29" spans="1:27" ht="19" x14ac:dyDescent="0.25">
      <c r="A29" s="10"/>
      <c r="B29" s="44"/>
      <c r="C29" s="44"/>
      <c r="D29" s="44"/>
      <c r="F29" s="38"/>
      <c r="G29" s="38"/>
      <c r="H29" s="38"/>
      <c r="I29" s="40"/>
      <c r="J29" s="37"/>
      <c r="K29" s="37"/>
      <c r="L29" s="37"/>
      <c r="M29" s="38"/>
      <c r="N29" s="38"/>
      <c r="O29" s="38"/>
      <c r="P29" s="38"/>
      <c r="Q29" s="38"/>
      <c r="R29" s="38"/>
    </row>
    <row r="30" spans="1:27" ht="19" x14ac:dyDescent="0.25">
      <c r="A30" s="10"/>
      <c r="B30" s="44"/>
      <c r="C30" s="44"/>
      <c r="D30" s="44"/>
      <c r="F30" s="38"/>
      <c r="G30" s="38"/>
      <c r="H30" s="38"/>
      <c r="I30" s="40"/>
      <c r="J30" s="37"/>
      <c r="K30" s="37"/>
      <c r="L30" s="37"/>
    </row>
    <row r="31" spans="1:27" ht="19" x14ac:dyDescent="0.25">
      <c r="A31" s="10"/>
      <c r="B31" s="44"/>
      <c r="C31" s="44"/>
      <c r="D31" s="44"/>
      <c r="H31" s="39"/>
    </row>
    <row r="32" spans="1:27" x14ac:dyDescent="0.2">
      <c r="A32" s="10"/>
      <c r="B32" s="44"/>
      <c r="C32" s="44"/>
      <c r="D32" s="44"/>
    </row>
    <row r="33" spans="1:25" x14ac:dyDescent="0.2">
      <c r="A33" s="10"/>
      <c r="B33" s="44"/>
      <c r="C33" s="44"/>
      <c r="D33" s="44"/>
    </row>
    <row r="34" spans="1:25" x14ac:dyDescent="0.2">
      <c r="A34" s="10"/>
      <c r="B34" s="44"/>
      <c r="C34" s="44"/>
      <c r="D34" s="44"/>
    </row>
    <row r="35" spans="1:25" x14ac:dyDescent="0.2">
      <c r="A35" s="10"/>
      <c r="B35" s="44"/>
      <c r="C35" s="44"/>
      <c r="D35" s="44"/>
    </row>
    <row r="36" spans="1:25" x14ac:dyDescent="0.2">
      <c r="A36" s="45"/>
      <c r="B36" s="44"/>
      <c r="C36" s="44"/>
      <c r="D36" s="44"/>
    </row>
    <row r="37" spans="1:25" x14ac:dyDescent="0.2">
      <c r="B37" s="109" t="s">
        <v>22</v>
      </c>
      <c r="C37" s="110"/>
      <c r="D37" s="111"/>
      <c r="G37" s="109" t="s">
        <v>26</v>
      </c>
      <c r="H37" s="110"/>
      <c r="I37" s="111"/>
      <c r="M37" s="109" t="s">
        <v>24</v>
      </c>
      <c r="N37" s="110"/>
      <c r="O37" s="111"/>
      <c r="R37" s="109" t="s">
        <v>23</v>
      </c>
      <c r="S37" s="110"/>
      <c r="T37" s="111"/>
      <c r="W37" s="109" t="s">
        <v>25</v>
      </c>
      <c r="X37" s="110"/>
      <c r="Y37" s="111"/>
    </row>
    <row r="38" spans="1:25" x14ac:dyDescent="0.2">
      <c r="A38" s="61" t="s">
        <v>20</v>
      </c>
      <c r="B38" s="96" t="s">
        <v>54</v>
      </c>
      <c r="C38" s="83" t="s">
        <v>51</v>
      </c>
      <c r="D38" s="84" t="s">
        <v>53</v>
      </c>
      <c r="F38" s="79"/>
      <c r="G38" s="96" t="s">
        <v>54</v>
      </c>
      <c r="H38" s="83" t="s">
        <v>51</v>
      </c>
      <c r="I38" s="84" t="s">
        <v>53</v>
      </c>
      <c r="K38" s="79"/>
      <c r="M38" s="96" t="s">
        <v>54</v>
      </c>
      <c r="N38" s="83" t="s">
        <v>51</v>
      </c>
      <c r="O38" s="84" t="s">
        <v>53</v>
      </c>
      <c r="Q38" s="79"/>
      <c r="R38" s="96" t="s">
        <v>54</v>
      </c>
      <c r="S38" s="83" t="s">
        <v>51</v>
      </c>
      <c r="T38" s="84" t="s">
        <v>53</v>
      </c>
      <c r="V38" s="79"/>
      <c r="W38" s="96" t="s">
        <v>54</v>
      </c>
      <c r="X38" s="83" t="s">
        <v>51</v>
      </c>
      <c r="Y38" s="84" t="s">
        <v>53</v>
      </c>
    </row>
    <row r="39" spans="1:25" x14ac:dyDescent="0.2">
      <c r="A39" s="80">
        <v>520</v>
      </c>
      <c r="B39" s="58">
        <v>0.95930000000000004</v>
      </c>
      <c r="C39" s="85">
        <v>0.92410000000000003</v>
      </c>
      <c r="D39" s="55">
        <v>0.90559999999999996</v>
      </c>
      <c r="G39" s="58">
        <v>2.9999999999999997E-4</v>
      </c>
      <c r="H39" s="85">
        <v>4.0000000000000002E-4</v>
      </c>
      <c r="I39" s="55">
        <v>4.0000000000000002E-4</v>
      </c>
      <c r="M39" s="58">
        <v>-0.20200000000000001</v>
      </c>
      <c r="N39" s="85">
        <v>-0.17280000000000001</v>
      </c>
      <c r="O39" s="55">
        <v>-0.17230000000000001</v>
      </c>
      <c r="R39" s="58">
        <v>0.33489999999999998</v>
      </c>
      <c r="S39" s="85">
        <v>0.746</v>
      </c>
      <c r="T39" s="55">
        <v>1.2661</v>
      </c>
      <c r="W39" s="58">
        <v>0.91649999999999998</v>
      </c>
      <c r="X39" s="85">
        <v>1.9188000000000001</v>
      </c>
      <c r="Y39" s="55">
        <v>2.8144</v>
      </c>
    </row>
    <row r="40" spans="1:25" x14ac:dyDescent="0.2">
      <c r="A40" s="80">
        <v>600</v>
      </c>
      <c r="B40" s="58">
        <v>0.92110000000000003</v>
      </c>
      <c r="C40" s="85">
        <v>0.87229999999999996</v>
      </c>
      <c r="D40" s="55">
        <v>0.8518</v>
      </c>
      <c r="G40" s="58">
        <v>5.9999999999999995E-4</v>
      </c>
      <c r="H40" s="85">
        <v>5.9999999999999995E-4</v>
      </c>
      <c r="I40" s="55">
        <v>5.9999999999999995E-4</v>
      </c>
      <c r="M40" s="58">
        <v>-0.28249999999999997</v>
      </c>
      <c r="N40" s="85">
        <v>-0.23250000000000001</v>
      </c>
      <c r="O40" s="55">
        <v>-0.22</v>
      </c>
      <c r="R40" s="58">
        <v>0.54210000000000003</v>
      </c>
      <c r="S40" s="85">
        <v>1.1152</v>
      </c>
      <c r="T40" s="55">
        <v>1.7484999999999999</v>
      </c>
      <c r="W40" s="58">
        <v>0.99719999999999998</v>
      </c>
      <c r="X40" s="85">
        <v>2.0232000000000001</v>
      </c>
      <c r="Y40" s="55">
        <v>2.9339</v>
      </c>
    </row>
    <row r="41" spans="1:25" x14ac:dyDescent="0.2">
      <c r="A41" s="80">
        <v>640</v>
      </c>
      <c r="B41" s="58">
        <v>0.88990000000000002</v>
      </c>
      <c r="C41" s="85">
        <v>0.83819999999999995</v>
      </c>
      <c r="D41" s="55">
        <v>0.81920000000000004</v>
      </c>
      <c r="G41" s="58">
        <v>8.0000000000000004E-4</v>
      </c>
      <c r="H41" s="85">
        <v>8.0000000000000004E-4</v>
      </c>
      <c r="I41" s="55">
        <v>6.9999999999999999E-4</v>
      </c>
      <c r="M41" s="58">
        <v>-0.37780000000000002</v>
      </c>
      <c r="N41" s="85">
        <v>-0.29120000000000001</v>
      </c>
      <c r="O41" s="55">
        <v>-0.2235</v>
      </c>
      <c r="R41" s="58">
        <v>0.7752</v>
      </c>
      <c r="S41" s="85">
        <v>1.4719</v>
      </c>
      <c r="T41" s="55">
        <v>1.8148</v>
      </c>
      <c r="W41" s="58">
        <v>1.014</v>
      </c>
      <c r="X41" s="85">
        <v>2.0327999999999999</v>
      </c>
      <c r="Y41" s="55">
        <v>2.9426000000000001</v>
      </c>
    </row>
    <row r="42" spans="1:25" x14ac:dyDescent="0.2">
      <c r="A42" s="80">
        <v>680</v>
      </c>
      <c r="B42" s="58">
        <v>0.84819999999999995</v>
      </c>
      <c r="C42" s="85">
        <v>0.79869999999999997</v>
      </c>
      <c r="D42" s="55">
        <v>0.78359999999999996</v>
      </c>
      <c r="G42" s="58">
        <v>1E-3</v>
      </c>
      <c r="H42" s="85">
        <v>8.9999999999999998E-4</v>
      </c>
      <c r="I42" s="55">
        <v>8.0000000000000004E-4</v>
      </c>
      <c r="M42" s="58">
        <v>-0.37890000000000001</v>
      </c>
      <c r="N42" s="85">
        <v>-0.29509999999999997</v>
      </c>
      <c r="O42" s="55">
        <v>-0.26240000000000002</v>
      </c>
      <c r="R42" s="58">
        <v>0.80149999999999999</v>
      </c>
      <c r="S42" s="85">
        <v>1.5235000000000001</v>
      </c>
      <c r="T42" s="55">
        <v>2.2071999999999998</v>
      </c>
      <c r="W42" s="58">
        <v>1.0097</v>
      </c>
      <c r="X42" s="85">
        <v>2.0135999999999998</v>
      </c>
      <c r="Y42" s="55">
        <v>2.9218000000000002</v>
      </c>
    </row>
    <row r="43" spans="1:25" x14ac:dyDescent="0.2">
      <c r="A43" s="80">
        <v>720</v>
      </c>
      <c r="B43" s="58">
        <v>0.79720000000000002</v>
      </c>
      <c r="C43" s="85">
        <v>0.75539999999999996</v>
      </c>
      <c r="D43" s="55">
        <v>0.74490000000000001</v>
      </c>
      <c r="G43" s="58">
        <v>1.2999999999999999E-3</v>
      </c>
      <c r="H43" s="85">
        <v>1E-3</v>
      </c>
      <c r="I43" s="55">
        <v>8.9999999999999998E-4</v>
      </c>
      <c r="M43" s="58">
        <v>-0.46949999999999997</v>
      </c>
      <c r="N43" s="85">
        <v>-0.34399999999999997</v>
      </c>
      <c r="O43" s="55">
        <v>-0.2651</v>
      </c>
      <c r="R43" s="58">
        <v>1.0527</v>
      </c>
      <c r="S43" s="85">
        <v>1.8478000000000001</v>
      </c>
      <c r="T43" s="55">
        <v>2.2820999999999998</v>
      </c>
      <c r="W43" s="58">
        <v>0.98660000000000003</v>
      </c>
      <c r="X43" s="85">
        <v>1.9722</v>
      </c>
      <c r="Y43" s="55">
        <v>2.8704000000000001</v>
      </c>
    </row>
    <row r="44" spans="1:25" x14ac:dyDescent="0.2">
      <c r="A44" s="80">
        <v>760</v>
      </c>
      <c r="B44" s="58">
        <v>0.73619999999999997</v>
      </c>
      <c r="C44" s="85">
        <v>0.70779999999999998</v>
      </c>
      <c r="D44" s="55">
        <v>0.70930000000000004</v>
      </c>
      <c r="G44" s="58">
        <v>1.5E-3</v>
      </c>
      <c r="H44" s="85">
        <v>1.1000000000000001E-3</v>
      </c>
      <c r="I44" s="55">
        <v>1E-3</v>
      </c>
      <c r="M44" s="58">
        <v>-0.54679999999999995</v>
      </c>
      <c r="N44" s="85">
        <v>-0.34699999999999998</v>
      </c>
      <c r="O44" s="55">
        <v>-0.24540000000000001</v>
      </c>
      <c r="R44" s="58">
        <v>1.2738</v>
      </c>
      <c r="S44" s="85">
        <v>1.9065000000000001</v>
      </c>
      <c r="T44" s="55">
        <v>2.3611</v>
      </c>
      <c r="W44" s="58">
        <v>0.94179999999999997</v>
      </c>
      <c r="X44" s="85">
        <v>1.9064000000000001</v>
      </c>
      <c r="Y44" s="55">
        <v>2.9199000000000002</v>
      </c>
    </row>
    <row r="45" spans="1:25" x14ac:dyDescent="0.2">
      <c r="A45" s="80">
        <v>800</v>
      </c>
      <c r="B45" s="58">
        <v>0.66639999999999999</v>
      </c>
      <c r="C45" s="85">
        <v>0.65749999999999997</v>
      </c>
      <c r="D45" s="55">
        <v>0.66190000000000004</v>
      </c>
      <c r="G45" s="58">
        <v>1.8E-3</v>
      </c>
      <c r="H45" s="85">
        <v>1.1999999999999999E-3</v>
      </c>
      <c r="I45" s="55">
        <v>1E-3</v>
      </c>
      <c r="M45" s="58">
        <v>-0.54959999999999998</v>
      </c>
      <c r="N45" s="85">
        <v>-0.37590000000000001</v>
      </c>
      <c r="O45" s="55">
        <v>-0.29199999999999998</v>
      </c>
      <c r="R45" s="58">
        <v>1.3113999999999999</v>
      </c>
      <c r="S45" s="85">
        <v>2.1280000000000001</v>
      </c>
      <c r="T45" s="55">
        <v>2.6318999999999999</v>
      </c>
      <c r="W45" s="58">
        <v>0.87739999999999996</v>
      </c>
      <c r="X45" s="85">
        <v>1.8201000000000001</v>
      </c>
      <c r="Y45" s="55">
        <v>2.6983999999999999</v>
      </c>
    </row>
    <row r="46" spans="1:25" x14ac:dyDescent="0.2">
      <c r="A46" s="80">
        <v>840</v>
      </c>
      <c r="B46" s="58">
        <v>0.59019999999999995</v>
      </c>
      <c r="C46" s="85">
        <v>0.60450000000000004</v>
      </c>
      <c r="D46" s="55">
        <v>0.61819999999999997</v>
      </c>
      <c r="G46" s="58">
        <v>1.9E-3</v>
      </c>
      <c r="H46" s="85">
        <v>1.2999999999999999E-3</v>
      </c>
      <c r="I46" s="55">
        <v>1.1000000000000001E-3</v>
      </c>
      <c r="M46" s="58">
        <v>-0.58819999999999995</v>
      </c>
      <c r="N46" s="85">
        <v>-0.37930000000000003</v>
      </c>
      <c r="O46" s="55">
        <v>-0.29630000000000001</v>
      </c>
      <c r="R46" s="58">
        <v>1.4607000000000001</v>
      </c>
      <c r="S46" s="85">
        <v>2.1899000000000002</v>
      </c>
      <c r="T46" s="55">
        <v>2.7101000000000002</v>
      </c>
      <c r="W46" s="58">
        <v>0.79649999999999999</v>
      </c>
      <c r="X46" s="85">
        <v>1.7138</v>
      </c>
      <c r="Y46" s="55">
        <v>2.5802</v>
      </c>
    </row>
    <row r="47" spans="1:25" x14ac:dyDescent="0.2">
      <c r="A47" s="80">
        <v>880</v>
      </c>
      <c r="B47" s="58">
        <v>0.51100000000000001</v>
      </c>
      <c r="C47" s="85">
        <v>0.55100000000000005</v>
      </c>
      <c r="D47" s="55">
        <v>0.57450000000000001</v>
      </c>
      <c r="G47" s="58">
        <v>2E-3</v>
      </c>
      <c r="H47" s="85">
        <v>1.4E-3</v>
      </c>
      <c r="I47" s="55">
        <v>1.1000000000000001E-3</v>
      </c>
      <c r="M47" s="58">
        <v>-0.58850000000000002</v>
      </c>
      <c r="N47" s="85">
        <v>-0.38200000000000001</v>
      </c>
      <c r="O47" s="55">
        <v>-0.29930000000000001</v>
      </c>
      <c r="R47" s="58">
        <v>1.5004999999999999</v>
      </c>
      <c r="S47" s="85">
        <v>2.2509000000000001</v>
      </c>
      <c r="T47" s="55">
        <v>2.7871999999999999</v>
      </c>
      <c r="W47" s="58">
        <v>0.70420000000000005</v>
      </c>
      <c r="X47" s="85">
        <v>1.5959000000000001</v>
      </c>
      <c r="Y47" s="55">
        <v>2.4499</v>
      </c>
    </row>
    <row r="48" spans="1:25" x14ac:dyDescent="0.2">
      <c r="A48" s="80">
        <v>920</v>
      </c>
      <c r="B48" s="58">
        <v>0.43209999999999998</v>
      </c>
      <c r="C48" s="85">
        <v>0.49730000000000002</v>
      </c>
      <c r="D48" s="55">
        <v>0.53029999999999999</v>
      </c>
      <c r="G48" s="58">
        <v>2E-3</v>
      </c>
      <c r="H48" s="85">
        <v>1.4E-3</v>
      </c>
      <c r="I48" s="55">
        <v>1.1000000000000001E-3</v>
      </c>
      <c r="M48" s="58">
        <v>-0.55049999999999999</v>
      </c>
      <c r="N48" s="85">
        <v>-0.38540000000000002</v>
      </c>
      <c r="O48" s="55">
        <v>-0.3014</v>
      </c>
      <c r="R48" s="58">
        <v>1.4212</v>
      </c>
      <c r="S48" s="85">
        <v>2.3111000000000002</v>
      </c>
      <c r="T48" s="55">
        <v>2.8635999999999999</v>
      </c>
      <c r="W48" s="58">
        <v>0.60589999999999999</v>
      </c>
      <c r="X48" s="85">
        <v>1.4666999999999999</v>
      </c>
      <c r="Y48" s="55">
        <v>2.3052999999999999</v>
      </c>
    </row>
    <row r="49" spans="1:25" x14ac:dyDescent="0.2">
      <c r="A49" s="80">
        <v>960</v>
      </c>
      <c r="B49" s="58">
        <v>0.3574</v>
      </c>
      <c r="C49" s="85">
        <v>0.4456</v>
      </c>
      <c r="D49" s="55">
        <v>0.48720000000000002</v>
      </c>
      <c r="G49" s="58">
        <v>1.9E-3</v>
      </c>
      <c r="H49" s="85">
        <v>1.4E-3</v>
      </c>
      <c r="I49" s="55">
        <v>1.1000000000000001E-3</v>
      </c>
      <c r="M49" s="58">
        <v>-0.55210000000000004</v>
      </c>
      <c r="N49" s="85">
        <v>-0.36170000000000002</v>
      </c>
      <c r="O49" s="55">
        <v>-0.307</v>
      </c>
      <c r="R49" s="58">
        <v>1.4570000000000001</v>
      </c>
      <c r="S49" s="85">
        <v>2.1880000000000002</v>
      </c>
      <c r="T49" s="55">
        <v>2.9384000000000001</v>
      </c>
      <c r="W49" s="58">
        <v>0.50839999999999996</v>
      </c>
      <c r="X49" s="85">
        <v>1.3354999999999999</v>
      </c>
      <c r="Y49" s="55">
        <v>2.1541999999999999</v>
      </c>
    </row>
    <row r="50" spans="1:25" x14ac:dyDescent="0.2">
      <c r="A50" s="80">
        <v>1000</v>
      </c>
      <c r="B50" s="58">
        <v>0.27750000000000002</v>
      </c>
      <c r="C50" s="85">
        <v>0.3896</v>
      </c>
      <c r="D50" s="55">
        <v>0.44540000000000002</v>
      </c>
      <c r="G50" s="58">
        <v>1.8E-3</v>
      </c>
      <c r="H50" s="85">
        <v>1.4E-3</v>
      </c>
      <c r="I50" s="55">
        <v>1.1999999999999999E-3</v>
      </c>
      <c r="M50" s="58">
        <v>-0.45500000000000002</v>
      </c>
      <c r="N50" s="85">
        <v>-0.35560000000000003</v>
      </c>
      <c r="O50" s="55">
        <v>-0.28570000000000001</v>
      </c>
      <c r="R50" s="58">
        <v>1.2733000000000001</v>
      </c>
      <c r="S50" s="85">
        <v>2.2454000000000001</v>
      </c>
      <c r="T50" s="55">
        <v>2.7816999999999998</v>
      </c>
      <c r="W50" s="58">
        <v>0.40260000000000001</v>
      </c>
      <c r="X50" s="85">
        <v>1.1919</v>
      </c>
      <c r="Y50" s="55">
        <v>2.0001000000000002</v>
      </c>
    </row>
    <row r="51" spans="1:25" x14ac:dyDescent="0.2">
      <c r="A51" s="80">
        <v>1040</v>
      </c>
      <c r="B51" s="58">
        <v>0.23300000000000001</v>
      </c>
      <c r="C51" s="85">
        <v>0.3498</v>
      </c>
      <c r="D51" s="55">
        <v>0.4047</v>
      </c>
      <c r="G51" s="58">
        <v>1.6000000000000001E-3</v>
      </c>
      <c r="H51" s="85">
        <v>1.2999999999999999E-3</v>
      </c>
      <c r="I51" s="55">
        <v>1.1000000000000001E-3</v>
      </c>
      <c r="M51" s="58">
        <v>-0.38640000000000002</v>
      </c>
      <c r="N51" s="85">
        <v>-0.31900000000000001</v>
      </c>
      <c r="O51" s="55">
        <v>-0.28849999999999998</v>
      </c>
      <c r="R51" s="58">
        <v>1.0213000000000001</v>
      </c>
      <c r="S51" s="85">
        <v>1.9545999999999999</v>
      </c>
      <c r="T51" s="55">
        <v>2.8498000000000001</v>
      </c>
      <c r="W51" s="58">
        <v>0.33850000000000002</v>
      </c>
      <c r="X51" s="85">
        <v>1.0757000000000001</v>
      </c>
      <c r="Y51" s="55">
        <v>1.8428</v>
      </c>
    </row>
    <row r="52" spans="1:25" x14ac:dyDescent="0.2">
      <c r="A52" s="80">
        <v>1080</v>
      </c>
      <c r="B52" s="58">
        <v>0.185</v>
      </c>
      <c r="C52" s="85">
        <v>0.29920000000000002</v>
      </c>
      <c r="D52" s="55">
        <v>0.36670000000000003</v>
      </c>
      <c r="G52" s="58">
        <v>1.4E-3</v>
      </c>
      <c r="H52" s="85">
        <v>1.2999999999999999E-3</v>
      </c>
      <c r="I52" s="55">
        <v>1.1000000000000001E-3</v>
      </c>
      <c r="M52" s="58">
        <v>-0.39</v>
      </c>
      <c r="N52" s="85">
        <v>-0.3125</v>
      </c>
      <c r="O52" s="55">
        <v>-0.25230000000000002</v>
      </c>
      <c r="R52" s="58">
        <v>1.044</v>
      </c>
      <c r="S52" s="85">
        <v>2.0034000000000001</v>
      </c>
      <c r="T52" s="55">
        <v>2.4839000000000002</v>
      </c>
      <c r="W52" s="58">
        <v>0.2707</v>
      </c>
      <c r="X52" s="85">
        <v>0.93589999999999995</v>
      </c>
      <c r="Y52" s="55">
        <v>1.6903999999999999</v>
      </c>
    </row>
    <row r="53" spans="1:25" x14ac:dyDescent="0.2">
      <c r="A53" s="80">
        <v>1120</v>
      </c>
      <c r="B53" s="58">
        <v>0.14630000000000001</v>
      </c>
      <c r="C53" s="85">
        <v>0.26879999999999998</v>
      </c>
      <c r="D53" s="55">
        <v>0.33069999999999999</v>
      </c>
      <c r="G53" s="58">
        <v>1.1999999999999999E-3</v>
      </c>
      <c r="H53" s="85">
        <v>1.1999999999999999E-3</v>
      </c>
      <c r="I53" s="55">
        <v>1.1000000000000001E-3</v>
      </c>
      <c r="M53" s="58">
        <v>-0.29149999999999998</v>
      </c>
      <c r="N53" s="85">
        <v>-0.32650000000000001</v>
      </c>
      <c r="O53" s="55">
        <v>-0.253</v>
      </c>
      <c r="R53" s="58">
        <v>0.77170000000000005</v>
      </c>
      <c r="S53" s="85">
        <v>2.0428999999999999</v>
      </c>
      <c r="T53" s="55">
        <v>2.5413999999999999</v>
      </c>
      <c r="W53" s="58">
        <v>0.21529999999999999</v>
      </c>
      <c r="X53" s="85">
        <v>0.84250000000000003</v>
      </c>
      <c r="Y53" s="55">
        <v>1.542</v>
      </c>
    </row>
    <row r="54" spans="1:25" x14ac:dyDescent="0.2">
      <c r="A54" s="80">
        <v>1160</v>
      </c>
      <c r="B54" s="58">
        <v>0.11559999999999999</v>
      </c>
      <c r="C54" s="85">
        <v>0.22550000000000001</v>
      </c>
      <c r="D54" s="55">
        <v>0.2767</v>
      </c>
      <c r="G54" s="58">
        <v>1E-3</v>
      </c>
      <c r="H54" s="85">
        <v>1.1000000000000001E-3</v>
      </c>
      <c r="I54" s="55">
        <v>1.1000000000000001E-3</v>
      </c>
      <c r="M54" s="58">
        <v>-0.2974</v>
      </c>
      <c r="N54" s="85">
        <v>-0.25509999999999999</v>
      </c>
      <c r="O54" s="55">
        <v>-0.24260000000000001</v>
      </c>
      <c r="R54" s="58">
        <v>0.78720000000000001</v>
      </c>
      <c r="S54" s="85">
        <v>1.6428</v>
      </c>
      <c r="T54" s="55">
        <v>2.6132</v>
      </c>
      <c r="W54" s="58">
        <v>0.1709</v>
      </c>
      <c r="X54" s="85">
        <v>0.71730000000000005</v>
      </c>
      <c r="Y54" s="55">
        <v>1.327</v>
      </c>
    </row>
    <row r="55" spans="1:25" x14ac:dyDescent="0.2">
      <c r="A55" s="80">
        <v>1200</v>
      </c>
      <c r="B55" s="58">
        <v>9.3899999999999997E-2</v>
      </c>
      <c r="C55" s="85">
        <v>0.2046</v>
      </c>
      <c r="D55" s="55">
        <v>0.2447</v>
      </c>
      <c r="G55" s="58">
        <v>8.0000000000000004E-4</v>
      </c>
      <c r="H55" s="85">
        <v>1E-3</v>
      </c>
      <c r="I55" s="55">
        <v>1E-3</v>
      </c>
      <c r="M55" s="58">
        <v>-0.20780000000000001</v>
      </c>
      <c r="N55" s="85">
        <v>-0.2661</v>
      </c>
      <c r="O55" s="55">
        <v>-0.1943</v>
      </c>
      <c r="R55" s="58">
        <v>0.5343</v>
      </c>
      <c r="S55" s="85">
        <v>1.6718999999999999</v>
      </c>
      <c r="T55" s="55">
        <v>2.0985999999999998</v>
      </c>
      <c r="W55" s="58">
        <v>0.13930000000000001</v>
      </c>
      <c r="X55" s="85">
        <v>0.65059999999999996</v>
      </c>
      <c r="Y55" s="55">
        <v>1.1843999999999999</v>
      </c>
    </row>
    <row r="56" spans="1:25" x14ac:dyDescent="0.2">
      <c r="A56" s="80">
        <v>1240</v>
      </c>
      <c r="B56" s="58">
        <v>7.5399999999999995E-2</v>
      </c>
      <c r="C56" s="85">
        <v>0.17849999999999999</v>
      </c>
      <c r="D56" s="55">
        <v>0.2397</v>
      </c>
      <c r="G56" s="58">
        <v>6.9999999999999999E-4</v>
      </c>
      <c r="H56" s="85">
        <v>8.9999999999999998E-4</v>
      </c>
      <c r="I56" s="55">
        <v>8.9999999999999998E-4</v>
      </c>
      <c r="M56" s="58">
        <v>-0.21210000000000001</v>
      </c>
      <c r="N56" s="85">
        <v>-0.27250000000000002</v>
      </c>
      <c r="O56" s="55">
        <v>-0.20860000000000001</v>
      </c>
      <c r="R56" s="58">
        <v>0.54410000000000003</v>
      </c>
      <c r="S56" s="85">
        <v>1.7032</v>
      </c>
      <c r="T56" s="55">
        <v>2.1255000000000002</v>
      </c>
      <c r="W56" s="58">
        <v>0.11210000000000001</v>
      </c>
      <c r="X56" s="85">
        <v>0.57079999999999997</v>
      </c>
      <c r="Y56" s="55">
        <v>1.1467000000000001</v>
      </c>
    </row>
    <row r="57" spans="1:25" x14ac:dyDescent="0.2">
      <c r="A57" s="80">
        <v>1280</v>
      </c>
      <c r="B57" s="58">
        <v>6.1199999999999997E-2</v>
      </c>
      <c r="C57" s="85">
        <v>0.14430000000000001</v>
      </c>
      <c r="D57" s="55">
        <v>0.2145</v>
      </c>
      <c r="G57" s="58">
        <v>5.9999999999999995E-4</v>
      </c>
      <c r="H57" s="85">
        <v>8.0000000000000004E-4</v>
      </c>
      <c r="I57" s="55">
        <v>8.9999999999999998E-4</v>
      </c>
      <c r="M57" s="58">
        <v>-0.21970000000000001</v>
      </c>
      <c r="N57" s="85">
        <v>-0.19500000000000001</v>
      </c>
      <c r="O57" s="55">
        <v>-0.21110000000000001</v>
      </c>
      <c r="R57" s="58">
        <v>0.55330000000000001</v>
      </c>
      <c r="S57" s="85">
        <v>1.2612000000000001</v>
      </c>
      <c r="T57" s="55">
        <v>2.1671999999999998</v>
      </c>
      <c r="W57" s="58">
        <v>9.1200000000000003E-2</v>
      </c>
      <c r="X57" s="85">
        <v>0.46739999999999998</v>
      </c>
      <c r="Y57" s="55">
        <v>1.0334000000000001</v>
      </c>
    </row>
    <row r="58" spans="1:25" x14ac:dyDescent="0.2">
      <c r="A58" s="81">
        <v>1320</v>
      </c>
      <c r="B58" s="59">
        <v>5.04E-2</v>
      </c>
      <c r="C58" s="56">
        <v>0.1358</v>
      </c>
      <c r="D58" s="57">
        <v>0.192</v>
      </c>
      <c r="G58" s="59">
        <v>5.0000000000000001E-4</v>
      </c>
      <c r="H58" s="56">
        <v>8.0000000000000004E-4</v>
      </c>
      <c r="I58" s="57">
        <v>8.0000000000000004E-4</v>
      </c>
      <c r="M58" s="59">
        <v>-0.13950000000000001</v>
      </c>
      <c r="N58" s="56">
        <v>-0.2051</v>
      </c>
      <c r="O58" s="57">
        <v>-0.21490000000000001</v>
      </c>
      <c r="R58" s="59">
        <v>0.34470000000000001</v>
      </c>
      <c r="S58" s="56">
        <v>1.2790999999999999</v>
      </c>
      <c r="T58" s="57">
        <v>2.2069999999999999</v>
      </c>
      <c r="W58" s="59">
        <v>7.51E-2</v>
      </c>
      <c r="X58" s="56">
        <v>0.43819999999999998</v>
      </c>
      <c r="Y58" s="57">
        <v>0.93030000000000002</v>
      </c>
    </row>
    <row r="61" spans="1:25" x14ac:dyDescent="0.2">
      <c r="A61" s="45"/>
      <c r="B61" s="44"/>
      <c r="C61" s="44"/>
      <c r="D61" s="44"/>
    </row>
    <row r="62" spans="1:25" x14ac:dyDescent="0.2">
      <c r="A62" s="45"/>
      <c r="B62" s="44"/>
      <c r="C62" s="44"/>
      <c r="D62" s="44"/>
    </row>
    <row r="63" spans="1:25" x14ac:dyDescent="0.2">
      <c r="A63" s="45"/>
      <c r="B63" s="44"/>
      <c r="C63" s="44"/>
      <c r="D63" s="44"/>
    </row>
    <row r="64" spans="1:25" x14ac:dyDescent="0.2">
      <c r="A64" s="45"/>
      <c r="B64" s="44"/>
      <c r="C64" s="44"/>
      <c r="D64" s="44"/>
    </row>
    <row r="65" spans="1:4" x14ac:dyDescent="0.2">
      <c r="A65" s="45"/>
      <c r="B65" s="44"/>
      <c r="C65" s="44"/>
      <c r="D65" s="44"/>
    </row>
    <row r="66" spans="1:4" x14ac:dyDescent="0.2">
      <c r="A66" s="45"/>
      <c r="B66" s="44"/>
      <c r="C66" s="44"/>
      <c r="D66" s="44"/>
    </row>
    <row r="91" spans="1:20" x14ac:dyDescent="0.2">
      <c r="A91" s="49"/>
      <c r="B91" s="50"/>
      <c r="C91" s="50"/>
      <c r="D91" s="50"/>
      <c r="E91" s="50"/>
      <c r="F91" s="50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</row>
    <row r="92" spans="1:20" x14ac:dyDescent="0.2">
      <c r="A92" s="47"/>
      <c r="B92" s="48"/>
      <c r="C92" s="48"/>
      <c r="D92" s="48"/>
      <c r="E92" s="48"/>
      <c r="F92" s="48"/>
    </row>
    <row r="93" spans="1:20" x14ac:dyDescent="0.2">
      <c r="A93" s="47"/>
      <c r="B93" s="48"/>
      <c r="C93" s="48"/>
      <c r="D93" s="48"/>
      <c r="E93" s="48"/>
      <c r="F93" s="48"/>
    </row>
    <row r="94" spans="1:20" x14ac:dyDescent="0.2">
      <c r="A94" s="47"/>
      <c r="B94" s="48"/>
      <c r="C94" s="48"/>
      <c r="D94" s="48"/>
      <c r="E94" s="48"/>
      <c r="F94" s="48"/>
    </row>
    <row r="95" spans="1:20" x14ac:dyDescent="0.2">
      <c r="A95" s="47"/>
      <c r="B95" s="48"/>
      <c r="C95" s="48"/>
      <c r="D95" s="48"/>
      <c r="E95" s="48"/>
      <c r="F95" s="48"/>
    </row>
    <row r="96" spans="1:20" x14ac:dyDescent="0.2">
      <c r="A96" s="47"/>
      <c r="B96" s="48"/>
      <c r="C96" s="48"/>
      <c r="D96" s="48"/>
      <c r="E96" s="48"/>
      <c r="F96" s="48"/>
    </row>
    <row r="97" spans="1:6" x14ac:dyDescent="0.2">
      <c r="A97" s="47"/>
      <c r="B97" s="48"/>
      <c r="C97" s="48"/>
      <c r="D97" s="48"/>
      <c r="E97" s="48"/>
      <c r="F97" s="48"/>
    </row>
    <row r="98" spans="1:6" x14ac:dyDescent="0.2">
      <c r="A98" s="47"/>
      <c r="B98" s="48"/>
      <c r="C98" s="48"/>
      <c r="D98" s="48"/>
      <c r="E98" s="48"/>
      <c r="F98" s="48"/>
    </row>
    <row r="99" spans="1:6" x14ac:dyDescent="0.2">
      <c r="A99" s="47"/>
      <c r="B99" s="48"/>
      <c r="C99" s="48"/>
      <c r="D99" s="48"/>
      <c r="E99" s="48"/>
      <c r="F99" s="48"/>
    </row>
    <row r="100" spans="1:6" x14ac:dyDescent="0.2">
      <c r="A100" s="47"/>
      <c r="B100" s="48"/>
      <c r="C100" s="48"/>
      <c r="D100" s="48"/>
      <c r="E100" s="48"/>
      <c r="F100" s="48"/>
    </row>
    <row r="101" spans="1:6" x14ac:dyDescent="0.2">
      <c r="A101" s="47"/>
      <c r="B101" s="48"/>
      <c r="C101" s="48"/>
      <c r="D101" s="48"/>
      <c r="E101" s="48"/>
      <c r="F101" s="48"/>
    </row>
    <row r="102" spans="1:6" x14ac:dyDescent="0.2">
      <c r="A102" s="47"/>
      <c r="B102" s="48"/>
      <c r="C102" s="48"/>
      <c r="D102" s="48"/>
      <c r="E102" s="48"/>
      <c r="F102" s="48"/>
    </row>
    <row r="103" spans="1:6" x14ac:dyDescent="0.2">
      <c r="A103" s="47"/>
      <c r="B103" s="48"/>
      <c r="C103" s="48"/>
      <c r="D103" s="48"/>
      <c r="E103" s="48"/>
      <c r="F103" s="48"/>
    </row>
    <row r="104" spans="1:6" x14ac:dyDescent="0.2">
      <c r="A104" s="47"/>
      <c r="B104" s="48"/>
      <c r="C104" s="48"/>
      <c r="D104" s="48"/>
      <c r="E104" s="48"/>
      <c r="F104" s="48"/>
    </row>
    <row r="115" spans="1:1" x14ac:dyDescent="0.2">
      <c r="A115" s="43"/>
    </row>
    <row r="116" spans="1:1" x14ac:dyDescent="0.2">
      <c r="A116" s="43"/>
    </row>
    <row r="117" spans="1:1" x14ac:dyDescent="0.2">
      <c r="A117" s="43"/>
    </row>
    <row r="118" spans="1:1" x14ac:dyDescent="0.2">
      <c r="A118" s="43"/>
    </row>
    <row r="119" spans="1:1" x14ac:dyDescent="0.2">
      <c r="A119" s="43"/>
    </row>
    <row r="120" spans="1:1" x14ac:dyDescent="0.2">
      <c r="A120" s="43"/>
    </row>
    <row r="121" spans="1:1" x14ac:dyDescent="0.2">
      <c r="A121" s="43"/>
    </row>
    <row r="122" spans="1:1" x14ac:dyDescent="0.2">
      <c r="A122" s="43"/>
    </row>
    <row r="123" spans="1:1" x14ac:dyDescent="0.2">
      <c r="A123" s="43"/>
    </row>
    <row r="124" spans="1:1" x14ac:dyDescent="0.2">
      <c r="A124" s="43"/>
    </row>
    <row r="125" spans="1:1" x14ac:dyDescent="0.2">
      <c r="A125" s="43"/>
    </row>
    <row r="126" spans="1:1" x14ac:dyDescent="0.2">
      <c r="A126" s="43"/>
    </row>
    <row r="127" spans="1:1" x14ac:dyDescent="0.2">
      <c r="A127" s="43"/>
    </row>
    <row r="128" spans="1:1" x14ac:dyDescent="0.2">
      <c r="A128" s="43"/>
    </row>
    <row r="129" spans="1:1" x14ac:dyDescent="0.2">
      <c r="A129" s="43"/>
    </row>
    <row r="130" spans="1:1" x14ac:dyDescent="0.2">
      <c r="A130" s="43"/>
    </row>
    <row r="131" spans="1:1" x14ac:dyDescent="0.2">
      <c r="A131" s="43"/>
    </row>
    <row r="132" spans="1:1" x14ac:dyDescent="0.2">
      <c r="A132" s="43"/>
    </row>
    <row r="133" spans="1:1" x14ac:dyDescent="0.2">
      <c r="A133" s="43"/>
    </row>
    <row r="134" spans="1:1" x14ac:dyDescent="0.2">
      <c r="A134" s="43"/>
    </row>
    <row r="135" spans="1:1" x14ac:dyDescent="0.2">
      <c r="A135" s="43"/>
    </row>
    <row r="136" spans="1:1" x14ac:dyDescent="0.2">
      <c r="A136" s="43"/>
    </row>
    <row r="137" spans="1:1" x14ac:dyDescent="0.2">
      <c r="A137" s="43"/>
    </row>
    <row r="138" spans="1:1" x14ac:dyDescent="0.2">
      <c r="A138" s="43"/>
    </row>
    <row r="139" spans="1:1" x14ac:dyDescent="0.2">
      <c r="A139" s="43"/>
    </row>
    <row r="140" spans="1:1" x14ac:dyDescent="0.2">
      <c r="A140" s="43"/>
    </row>
    <row r="141" spans="1:1" x14ac:dyDescent="0.2">
      <c r="A141" s="43"/>
    </row>
    <row r="142" spans="1:1" x14ac:dyDescent="0.2">
      <c r="A142" s="43"/>
    </row>
    <row r="143" spans="1:1" x14ac:dyDescent="0.2">
      <c r="A143" s="43"/>
    </row>
    <row r="144" spans="1:1" x14ac:dyDescent="0.2">
      <c r="A144" s="43"/>
    </row>
    <row r="145" spans="1:1" x14ac:dyDescent="0.2">
      <c r="A145" s="43"/>
    </row>
    <row r="146" spans="1:1" x14ac:dyDescent="0.2">
      <c r="A146" s="43"/>
    </row>
    <row r="147" spans="1:1" x14ac:dyDescent="0.2">
      <c r="A147" s="43"/>
    </row>
    <row r="148" spans="1:1" x14ac:dyDescent="0.2">
      <c r="A148" s="43"/>
    </row>
    <row r="149" spans="1:1" x14ac:dyDescent="0.2">
      <c r="A149" s="43"/>
    </row>
    <row r="150" spans="1:1" x14ac:dyDescent="0.2">
      <c r="A150" s="43"/>
    </row>
    <row r="151" spans="1:1" x14ac:dyDescent="0.2">
      <c r="A151" s="43"/>
    </row>
    <row r="152" spans="1:1" x14ac:dyDescent="0.2">
      <c r="A152" s="43"/>
    </row>
    <row r="153" spans="1:1" x14ac:dyDescent="0.2">
      <c r="A153" s="43"/>
    </row>
    <row r="154" spans="1:1" x14ac:dyDescent="0.2">
      <c r="A154" s="43"/>
    </row>
    <row r="155" spans="1:1" x14ac:dyDescent="0.2">
      <c r="A155" s="43"/>
    </row>
    <row r="156" spans="1:1" x14ac:dyDescent="0.2">
      <c r="A156" s="43"/>
    </row>
    <row r="157" spans="1:1" x14ac:dyDescent="0.2">
      <c r="A157" s="43"/>
    </row>
    <row r="158" spans="1:1" x14ac:dyDescent="0.2">
      <c r="A158" s="43"/>
    </row>
    <row r="159" spans="1:1" x14ac:dyDescent="0.2">
      <c r="A159" s="43"/>
    </row>
    <row r="160" spans="1:1" x14ac:dyDescent="0.2">
      <c r="A160" s="43"/>
    </row>
    <row r="161" spans="1:1" x14ac:dyDescent="0.2">
      <c r="A161" s="43"/>
    </row>
    <row r="162" spans="1:1" x14ac:dyDescent="0.2">
      <c r="A162" s="43"/>
    </row>
    <row r="163" spans="1:1" x14ac:dyDescent="0.2">
      <c r="A163" s="43"/>
    </row>
    <row r="164" spans="1:1" x14ac:dyDescent="0.2">
      <c r="A164" s="43"/>
    </row>
    <row r="165" spans="1:1" x14ac:dyDescent="0.2">
      <c r="A165" s="43"/>
    </row>
    <row r="166" spans="1:1" x14ac:dyDescent="0.2">
      <c r="A166" s="43"/>
    </row>
    <row r="167" spans="1:1" x14ac:dyDescent="0.2">
      <c r="A167" s="43"/>
    </row>
    <row r="168" spans="1:1" x14ac:dyDescent="0.2">
      <c r="A168" s="43"/>
    </row>
    <row r="169" spans="1:1" x14ac:dyDescent="0.2">
      <c r="A169" s="43"/>
    </row>
    <row r="170" spans="1:1" x14ac:dyDescent="0.2">
      <c r="A170" s="43"/>
    </row>
    <row r="171" spans="1:1" x14ac:dyDescent="0.2">
      <c r="A171" s="43"/>
    </row>
    <row r="172" spans="1:1" x14ac:dyDescent="0.2">
      <c r="A172" s="43"/>
    </row>
    <row r="173" spans="1:1" x14ac:dyDescent="0.2">
      <c r="A173" s="43"/>
    </row>
    <row r="174" spans="1:1" x14ac:dyDescent="0.2">
      <c r="A174" s="43"/>
    </row>
    <row r="175" spans="1:1" x14ac:dyDescent="0.2">
      <c r="A175" s="43"/>
    </row>
    <row r="176" spans="1:1" x14ac:dyDescent="0.2">
      <c r="A176" s="43"/>
    </row>
    <row r="177" spans="1:1" x14ac:dyDescent="0.2">
      <c r="A177" s="43"/>
    </row>
    <row r="178" spans="1:1" x14ac:dyDescent="0.2">
      <c r="A178" s="43"/>
    </row>
    <row r="179" spans="1:1" x14ac:dyDescent="0.2">
      <c r="A179" s="43"/>
    </row>
    <row r="180" spans="1:1" x14ac:dyDescent="0.2">
      <c r="A180" s="43"/>
    </row>
    <row r="181" spans="1:1" x14ac:dyDescent="0.2">
      <c r="A181" s="43"/>
    </row>
    <row r="182" spans="1:1" x14ac:dyDescent="0.2">
      <c r="A182" s="43"/>
    </row>
    <row r="183" spans="1:1" x14ac:dyDescent="0.2">
      <c r="A183" s="43"/>
    </row>
    <row r="184" spans="1:1" x14ac:dyDescent="0.2">
      <c r="A184" s="43"/>
    </row>
    <row r="185" spans="1:1" x14ac:dyDescent="0.2">
      <c r="A185" s="43"/>
    </row>
    <row r="186" spans="1:1" x14ac:dyDescent="0.2">
      <c r="A186" s="43"/>
    </row>
    <row r="187" spans="1:1" x14ac:dyDescent="0.2">
      <c r="A187" s="43"/>
    </row>
  </sheetData>
  <mergeCells count="12">
    <mergeCell ref="A23:AA23"/>
    <mergeCell ref="A3:N3"/>
    <mergeCell ref="O3:AA3"/>
    <mergeCell ref="A2:AA2"/>
    <mergeCell ref="A1:AA1"/>
    <mergeCell ref="B4:D4"/>
    <mergeCell ref="O4:Q4"/>
    <mergeCell ref="B37:D37"/>
    <mergeCell ref="G37:I37"/>
    <mergeCell ref="M37:O37"/>
    <mergeCell ref="R37:T37"/>
    <mergeCell ref="W37:Y3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CB9BB-5566-634F-BAC5-2CDD327B4F52}">
  <sheetPr codeName="Sheet5"/>
  <dimension ref="A1:AA55"/>
  <sheetViews>
    <sheetView zoomScale="80" zoomScaleNormal="80" workbookViewId="0">
      <selection activeCell="M5" sqref="M5"/>
    </sheetView>
  </sheetViews>
  <sheetFormatPr baseColWidth="10" defaultRowHeight="16" x14ac:dyDescent="0.2"/>
  <cols>
    <col min="5" max="7" width="11.5" bestFit="1" customWidth="1"/>
    <col min="8" max="8" width="12" bestFit="1" customWidth="1"/>
    <col min="9" max="9" width="11.5" bestFit="1" customWidth="1"/>
  </cols>
  <sheetData>
    <row r="1" spans="1:27" ht="16" customHeight="1" x14ac:dyDescent="0.2">
      <c r="A1" s="102" t="s">
        <v>48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</row>
    <row r="2" spans="1:27" x14ac:dyDescent="0.2">
      <c r="A2" s="70" t="s">
        <v>30</v>
      </c>
      <c r="B2" s="73">
        <v>858.8</v>
      </c>
      <c r="D2" s="104" t="s">
        <v>49</v>
      </c>
      <c r="E2" s="105"/>
      <c r="F2" s="105"/>
      <c r="G2" s="105"/>
      <c r="H2" s="105"/>
      <c r="I2" s="106"/>
    </row>
    <row r="3" spans="1:27" x14ac:dyDescent="0.2">
      <c r="A3" s="60" t="s">
        <v>0</v>
      </c>
      <c r="B3" s="74">
        <v>860</v>
      </c>
      <c r="D3" s="76"/>
      <c r="E3" s="77" t="s">
        <v>31</v>
      </c>
      <c r="F3" s="77" t="s">
        <v>32</v>
      </c>
      <c r="G3" s="77" t="s">
        <v>33</v>
      </c>
      <c r="H3" s="77" t="s">
        <v>34</v>
      </c>
      <c r="I3" s="78" t="s">
        <v>35</v>
      </c>
    </row>
    <row r="4" spans="1:27" x14ac:dyDescent="0.2">
      <c r="A4" s="60" t="s">
        <v>1</v>
      </c>
      <c r="B4" s="35">
        <v>2.198E-2</v>
      </c>
      <c r="D4" s="97" t="s">
        <v>42</v>
      </c>
      <c r="E4">
        <v>0.55079999999999996</v>
      </c>
      <c r="F4">
        <v>2E-3</v>
      </c>
      <c r="G4">
        <v>1.4806999999999999</v>
      </c>
      <c r="H4">
        <v>-0.59289999999999998</v>
      </c>
      <c r="I4" s="71">
        <v>0.79649999999999999</v>
      </c>
    </row>
    <row r="5" spans="1:27" x14ac:dyDescent="0.2">
      <c r="A5" s="60" t="s">
        <v>28</v>
      </c>
      <c r="B5" s="35">
        <v>0.53803699999999999</v>
      </c>
      <c r="D5" s="98" t="s">
        <v>43</v>
      </c>
      <c r="E5" s="33" cm="1">
        <f t="array" ref="E5">BS_Greek("CALL","DELTA",$B$2,$B$3,$B$4,$B$5,$B$6)</f>
        <v>0.55951706617048957</v>
      </c>
      <c r="F5" s="33" cm="1">
        <f t="array" ref="F5">BS_Greek("CALL","GAMMA",$B$2,$B$3,$B$4,$B$5,$B$6)</f>
        <v>1.7075234364064217E-3</v>
      </c>
      <c r="G5" s="33" cm="1">
        <f t="array" ref="G5">BS_Greek("CALL","VEGA",$B$2,$B$3,$B$4,$B$5,$B$6)</f>
        <v>1.6939590051444995</v>
      </c>
      <c r="H5" s="33" cm="1">
        <f t="array" ref="H5">BS_Greek("CALL","THETA",$B$2,$B$3,$B$4,$B$5,$B$6)</f>
        <v>-0.52271156031722776</v>
      </c>
      <c r="I5" s="34" cm="1">
        <f t="array" ref="I5">BS_Greek("CALL","RHO",$B$2,$B$3,$B$4,$B$5,$B$6)</f>
        <v>0.96760637688829843</v>
      </c>
    </row>
    <row r="6" spans="1:27" x14ac:dyDescent="0.2">
      <c r="A6" s="72" t="s">
        <v>29</v>
      </c>
      <c r="B6" s="75">
        <v>0.25</v>
      </c>
    </row>
    <row r="7" spans="1:27" ht="21" x14ac:dyDescent="0.2">
      <c r="A7" s="102" t="s">
        <v>50</v>
      </c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</row>
    <row r="37" spans="1:24" x14ac:dyDescent="0.2">
      <c r="A37" s="99" t="s">
        <v>41</v>
      </c>
      <c r="B37" s="100"/>
      <c r="C37" s="100"/>
      <c r="D37" s="101"/>
      <c r="F37" s="99" t="s">
        <v>40</v>
      </c>
      <c r="G37" s="100"/>
      <c r="H37" s="100"/>
      <c r="I37" s="101"/>
      <c r="K37" s="99" t="s">
        <v>38</v>
      </c>
      <c r="L37" s="100"/>
      <c r="M37" s="100"/>
      <c r="N37" s="101"/>
      <c r="P37" s="99" t="s">
        <v>39</v>
      </c>
      <c r="Q37" s="100"/>
      <c r="R37" s="100"/>
      <c r="S37" s="101"/>
      <c r="U37" s="99" t="s">
        <v>37</v>
      </c>
      <c r="V37" s="100"/>
      <c r="W37" s="100"/>
      <c r="X37" s="101"/>
    </row>
    <row r="38" spans="1:24" x14ac:dyDescent="0.2">
      <c r="A38" s="82" t="s">
        <v>36</v>
      </c>
      <c r="B38" s="83" t="s">
        <v>52</v>
      </c>
      <c r="C38" s="83" t="s">
        <v>51</v>
      </c>
      <c r="D38" s="84" t="s">
        <v>53</v>
      </c>
      <c r="F38" s="82" t="s">
        <v>36</v>
      </c>
      <c r="G38" s="96" t="s">
        <v>54</v>
      </c>
      <c r="H38" s="83" t="s">
        <v>51</v>
      </c>
      <c r="I38" s="84" t="s">
        <v>53</v>
      </c>
      <c r="K38" s="82" t="s">
        <v>36</v>
      </c>
      <c r="L38" s="96" t="s">
        <v>54</v>
      </c>
      <c r="M38" s="83" t="s">
        <v>51</v>
      </c>
      <c r="N38" s="84" t="s">
        <v>53</v>
      </c>
      <c r="P38" s="82" t="s">
        <v>36</v>
      </c>
      <c r="Q38" s="96" t="s">
        <v>54</v>
      </c>
      <c r="R38" s="83" t="s">
        <v>51</v>
      </c>
      <c r="S38" s="84" t="s">
        <v>53</v>
      </c>
      <c r="U38" s="82" t="s">
        <v>36</v>
      </c>
      <c r="V38" s="96" t="s">
        <v>54</v>
      </c>
      <c r="W38" s="83" t="s">
        <v>51</v>
      </c>
      <c r="X38" s="84" t="s">
        <v>53</v>
      </c>
    </row>
    <row r="39" spans="1:24" x14ac:dyDescent="0.2">
      <c r="A39" s="90">
        <v>520</v>
      </c>
      <c r="B39" s="91" cm="1">
        <f t="array" ref="B39">BS_Greek("CALL","DELTA",$B$2,$A39,$B$4,VLOOKUP($A39,'Empirical PART 2'!$A$6:$D$22,2,FALSE)/100,0.19)</f>
        <v>0.95967054569160748</v>
      </c>
      <c r="C39" s="91" cm="1">
        <f t="array" ref="C39">BS_Greek("CALL","DELTA",$B$2,$A39,$B$4,VLOOKUP($A39,'Empirical PART 2'!$A$6:$D$22,3,FALSE)/100,0.44)</f>
        <v>0.92365614466320922</v>
      </c>
      <c r="D39" s="92" cm="1">
        <f t="array" ref="D39">BS_Greek("CALL","DELTA",$B$2,$A39,$B$4,VLOOKUP($A39,'Empirical PART 2'!$A$6:$D$22,4,FALSE)/100,0.69)</f>
        <v>0.90510335512554108</v>
      </c>
      <c r="F39" s="90">
        <v>520</v>
      </c>
      <c r="G39" s="91" cm="1">
        <f t="array" ref="G39">BS_Greek("CALL","GAMMA",$B$2,$F39,$B$4,VLOOKUP($F39,'Empirical PART 2'!$A$6:$D$22,2,FALSE)/100,0.19)</f>
        <v>3.1699553776562959E-4</v>
      </c>
      <c r="H39" s="91" cm="1">
        <f t="array" ref="H39">BS_Greek("CALL","GAMMA",$B$2,$F39,$B$4,VLOOKUP($F39,'Empirical PART 2'!$A$6:$D$22,3,FALSE)/100,0.44)</f>
        <v>3.9879653716641897E-4</v>
      </c>
      <c r="I39" s="92" cm="1">
        <f t="array" ref="I39">BS_Greek("CALL","GAMMA",$B$2,$F39,$B$4,VLOOKUP($F39,'Empirical PART 2'!$A$6:$D$22,4,FALSE)/100,0.69)</f>
        <v>4.069262667704201E-4</v>
      </c>
      <c r="K39" s="90">
        <v>520</v>
      </c>
      <c r="L39" s="91" cm="1">
        <f t="array" ref="L39">BS_Greek("CALL","THETA",$B$2,$K39,$B$4,VLOOKUP($K39,'Empirical PART 2'!$A$6:$D$22,2,FALSE)/100,0.19)</f>
        <v>-0.19995682683948587</v>
      </c>
      <c r="M39" s="91" cm="1">
        <f t="array" ref="M39">BS_Greek("CALL","THETA",$B$2,$K39,$B$4,VLOOKUP($K39,'Empirical PART 2'!$A$6:$D$22,3,FALSE)/100,0.44)</f>
        <v>-0.18689835617827494</v>
      </c>
      <c r="N39" s="92" cm="1">
        <f t="array" ref="N39">BS_Greek("CALL","THETA",$B$2,$K39,$B$4,VLOOKUP($K39,'Empirical PART 2'!$A$6:$D$22,4,FALSE)/100,0.69)</f>
        <v>-0.16370551887974996</v>
      </c>
      <c r="P39" s="90">
        <v>520</v>
      </c>
      <c r="Q39" s="91" cm="1">
        <f t="array" ref="Q39">BS_Greek("CALL","VEGA",$B$2,$P39,$B$4,VLOOKUP($P39,'Empirical PART 2'!$A$6:$D$22,2,FALSE)/100,0.19)</f>
        <v>0.32474158254916702</v>
      </c>
      <c r="R39" s="91" cm="1">
        <f t="array" ref="R39">BS_Greek("CALL","VEGA",$B$2,$P39,$B$4,VLOOKUP($P39,'Empirical PART 2'!$A$6:$D$22,3,FALSE)/100,0.44)</f>
        <v>0.8173736278167395</v>
      </c>
      <c r="S39" s="92" cm="1">
        <f t="array" ref="S39">BS_Greek("CALL","VEGA",$B$2,$P39,$B$4,VLOOKUP($P39,'Empirical PART 2'!$A$6:$D$22,4,FALSE)/100,0.69)</f>
        <v>1.2047652940778726</v>
      </c>
      <c r="U39" s="90">
        <v>520</v>
      </c>
      <c r="V39" s="91" cm="1">
        <f t="array" ref="V39">BS_Greek("CALL","RHO",$B$2,$U39,$B$4,VLOOKUP($U39,'Empirical PART 2'!$A$6:$D$22,2,FALSE)/100,0.19)</f>
        <v>0.90850284130569448</v>
      </c>
      <c r="W39" s="91" cm="1">
        <f t="array" ref="W39">BS_Greek("CALL","RHO",$B$2,$U39,$B$4,VLOOKUP($U39,'Empirical PART 2'!$A$6:$D$22,3,FALSE)/100,0.44)</f>
        <v>1.9125518641118255</v>
      </c>
      <c r="X39" s="92" cm="1">
        <f t="array" ref="X39">BS_Greek("CALL","RHO",$B$2,$U39,$B$4,VLOOKUP($U39,'Empirical PART 2'!$A$6:$D$22,4,FALSE)/100,0.69)</f>
        <v>2.8135755042250747</v>
      </c>
    </row>
    <row r="40" spans="1:24" x14ac:dyDescent="0.2">
      <c r="A40" s="90">
        <v>600</v>
      </c>
      <c r="B40" s="91" cm="1">
        <f t="array" ref="B40">BS_Greek("CALL","DELTA",$B$2,$A40,$B$4,VLOOKUP($A40,'Empirical PART 2'!$A$6:$D$22,2,FALSE)/100,0.19)</f>
        <v>0.92182908919018036</v>
      </c>
      <c r="C40" s="91" cm="1">
        <f t="array" ref="C40">BS_Greek("CALL","DELTA",$B$2,$A40,$B$4,VLOOKUP($A40,'Empirical PART 2'!$A$6:$D$22,3,FALSE)/100,0.44)</f>
        <v>0.87205606470260155</v>
      </c>
      <c r="D40" s="92" cm="1">
        <f t="array" ref="D40">BS_Greek("CALL","DELTA",$B$2,$A40,$B$4,VLOOKUP($A40,'Empirical PART 2'!$A$6:$D$22,4,FALSE)/100,0.69)</f>
        <v>0.85104867009677854</v>
      </c>
      <c r="F40" s="90">
        <v>600</v>
      </c>
      <c r="G40" s="91" cm="1">
        <f t="array" ref="G40">BS_Greek("CALL","GAMMA",$B$2,$F40,$B$4,VLOOKUP($F40,'Empirical PART 2'!$A$6:$D$22,2,FALSE)/100,0.19)</f>
        <v>5.9794260435053941E-4</v>
      </c>
      <c r="H40" s="91" cm="1">
        <f t="array" ref="H40">BS_Greek("CALL","GAMMA",$B$2,$F40,$B$4,VLOOKUP($F40,'Empirical PART 2'!$A$6:$D$22,3,FALSE)/100,0.44)</f>
        <v>6.2204316575554619E-4</v>
      </c>
      <c r="I40" s="92" cm="1">
        <f t="array" ref="I40">BS_Greek("CALL","GAMMA",$B$2,$F40,$B$4,VLOOKUP($F40,'Empirical PART 2'!$A$6:$D$22,4,FALSE)/100,0.69)</f>
        <v>5.8582357079896025E-4</v>
      </c>
      <c r="K40" s="90">
        <v>600</v>
      </c>
      <c r="L40" s="91" cm="1">
        <f t="array" ref="L40">BS_Greek("CALL","THETA",$B$2,$K40,$B$4,VLOOKUP($K40,'Empirical PART 2'!$A$6:$D$22,2,FALSE)/100,0.19)</f>
        <v>-0.28867424566020217</v>
      </c>
      <c r="M40" s="91" cm="1">
        <f t="array" ref="M40">BS_Greek("CALL","THETA",$B$2,$K40,$B$4,VLOOKUP($K40,'Empirical PART 2'!$A$6:$D$22,3,FALSE)/100,0.44)</f>
        <v>-0.24669708325855794</v>
      </c>
      <c r="N40" s="92" cm="1">
        <f t="array" ref="N40">BS_Greek("CALL","THETA",$B$2,$K40,$B$4,VLOOKUP($K40,'Empirical PART 2'!$A$6:$D$22,4,FALSE)/100,0.69)</f>
        <v>-0.20809960059052512</v>
      </c>
      <c r="P40" s="90">
        <v>600</v>
      </c>
      <c r="Q40" s="91" cm="1">
        <f t="array" ref="Q40">BS_Greek("CALL","VEGA",$B$2,$P40,$B$4,VLOOKUP($P40,'Empirical PART 2'!$A$6:$D$22,2,FALSE)/100,0.19)</f>
        <v>0.54685751715171149</v>
      </c>
      <c r="R40" s="91" cm="1">
        <f t="array" ref="R40">BS_Greek("CALL","VEGA",$B$2,$P40,$B$4,VLOOKUP($P40,'Empirical PART 2'!$A$6:$D$22,3,FALSE)/100,0.44)</f>
        <v>1.1918450649443426</v>
      </c>
      <c r="S40" s="92" cm="1">
        <f t="array" ref="S40">BS_Greek("CALL","VEGA",$B$2,$P40,$B$4,VLOOKUP($P40,'Empirical PART 2'!$A$6:$D$22,4,FALSE)/100,0.69)</f>
        <v>1.6555210842076462</v>
      </c>
      <c r="U40" s="90">
        <v>600</v>
      </c>
      <c r="V40" s="91" cm="1">
        <f t="array" ref="V40">BS_Greek("CALL","RHO",$B$2,$U40,$B$4,VLOOKUP($U40,'Empirical PART 2'!$A$6:$D$22,2,FALSE)/100,0.19)</f>
        <v>0.98924828137446652</v>
      </c>
      <c r="W40" s="91" cm="1">
        <f t="array" ref="W40">BS_Greek("CALL","RHO",$B$2,$U40,$B$4,VLOOKUP($U40,'Empirical PART 2'!$A$6:$D$22,3,FALSE)/100,0.44)</f>
        <v>2.017731676340297</v>
      </c>
      <c r="X40" s="92" cm="1">
        <f t="array" ref="X40">BS_Greek("CALL","RHO",$B$2,$U40,$B$4,VLOOKUP($U40,'Empirical PART 2'!$A$6:$D$22,4,FALSE)/100,0.69)</f>
        <v>2.9315725756189921</v>
      </c>
    </row>
    <row r="41" spans="1:24" x14ac:dyDescent="0.2">
      <c r="A41" s="90">
        <v>640</v>
      </c>
      <c r="B41" s="91" cm="1">
        <f t="array" ref="B41">BS_Greek("CALL","DELTA",$B$2,$A41,$B$4,VLOOKUP($A41,'Empirical PART 2'!$A$6:$D$22,2,FALSE)/100,0.19)</f>
        <v>0.89029128220747444</v>
      </c>
      <c r="C41" s="91" cm="1">
        <f t="array" ref="C41">BS_Greek("CALL","DELTA",$B$2,$A41,$B$4,VLOOKUP($A41,'Empirical PART 2'!$A$6:$D$22,3,FALSE)/100,0.44)</f>
        <v>0.83808439836709236</v>
      </c>
      <c r="D41" s="92" cm="1">
        <f t="array" ref="D41">BS_Greek("CALL","DELTA",$B$2,$A41,$B$4,VLOOKUP($A41,'Empirical PART 2'!$A$6:$D$22,4,FALSE)/100,0.69)</f>
        <v>0.81856009713340927</v>
      </c>
      <c r="F41" s="90">
        <v>640</v>
      </c>
      <c r="G41" s="91" cm="1">
        <f t="array" ref="G41">BS_Greek("CALL","GAMMA",$B$2,$F41,$B$4,VLOOKUP($F41,'Empirical PART 2'!$A$6:$D$22,2,FALSE)/100,0.19)</f>
        <v>7.9974964446396699E-4</v>
      </c>
      <c r="H41" s="91" cm="1">
        <f t="array" ref="H41">BS_Greek("CALL","GAMMA",$B$2,$F41,$B$4,VLOOKUP($F41,'Empirical PART 2'!$A$6:$D$22,3,FALSE)/100,0.44)</f>
        <v>7.4805094832263981E-4</v>
      </c>
      <c r="I41" s="92" cm="1">
        <f t="array" ref="I41">BS_Greek("CALL","GAMMA",$B$2,$F41,$B$4,VLOOKUP($F41,'Empirical PART 2'!$A$6:$D$22,4,FALSE)/100,0.69)</f>
        <v>6.7898655931669248E-4</v>
      </c>
      <c r="K41" s="90">
        <v>640</v>
      </c>
      <c r="L41" s="91" cm="1">
        <f t="array" ref="L41">BS_Greek("CALL","THETA",$B$2,$K41,$B$4,VLOOKUP($K41,'Empirical PART 2'!$A$6:$D$22,2,FALSE)/100,0.19)</f>
        <v>-0.34940014195020375</v>
      </c>
      <c r="M41" s="91" cm="1">
        <f t="array" ref="M41">BS_Greek("CALL","THETA",$B$2,$K41,$B$4,VLOOKUP($K41,'Empirical PART 2'!$A$6:$D$22,3,FALSE)/100,0.44)</f>
        <v>-0.27800961700295412</v>
      </c>
      <c r="N41" s="92" cm="1">
        <f t="array" ref="N41">BS_Greek("CALL","THETA",$B$2,$K41,$B$4,VLOOKUP($K41,'Empirical PART 2'!$A$6:$D$22,4,FALSE)/100,0.69)</f>
        <v>-0.2290210985155309</v>
      </c>
      <c r="P41" s="90">
        <v>640</v>
      </c>
      <c r="Q41" s="91" cm="1">
        <f t="array" ref="Q41">BS_Greek("CALL","VEGA",$B$2,$P41,$B$4,VLOOKUP($P41,'Empirical PART 2'!$A$6:$D$22,2,FALSE)/100,0.19)</f>
        <v>0.70255831397058</v>
      </c>
      <c r="R41" s="91" cm="1">
        <f t="array" ref="R41">BS_Greek("CALL","VEGA",$B$2,$P41,$B$4,VLOOKUP($P41,'Empirical PART 2'!$A$6:$D$22,3,FALSE)/100,0.44)</f>
        <v>1.3968672740212242</v>
      </c>
      <c r="S41" s="92" cm="1">
        <f t="array" ref="S41">BS_Greek("CALL","VEGA",$B$2,$P41,$B$4,VLOOKUP($P41,'Empirical PART 2'!$A$6:$D$22,4,FALSE)/100,0.69)</f>
        <v>1.881264883267062</v>
      </c>
      <c r="U41" s="90">
        <v>640</v>
      </c>
      <c r="V41" s="91" cm="1">
        <f t="array" ref="V41">BS_Greek("CALL","RHO",$B$2,$U41,$B$4,VLOOKUP($U41,'Empirical PART 2'!$A$6:$D$22,2,FALSE)/100,0.19)</f>
        <v>1.0052756596503554</v>
      </c>
      <c r="W41" s="91" cm="1">
        <f t="array" ref="W41">BS_Greek("CALL","RHO",$B$2,$U41,$B$4,VLOOKUP($U41,'Empirical PART 2'!$A$6:$D$22,3,FALSE)/100,0.44)</f>
        <v>2.0286017378155985</v>
      </c>
      <c r="X41" s="92" cm="1">
        <f t="array" ref="X41">BS_Greek("CALL","RHO",$B$2,$U41,$B$4,VLOOKUP($U41,'Empirical PART 2'!$A$6:$D$22,4,FALSE)/100,0.69)</f>
        <v>2.9419984377303607</v>
      </c>
    </row>
    <row r="42" spans="1:24" x14ac:dyDescent="0.2">
      <c r="A42" s="90">
        <v>680</v>
      </c>
      <c r="B42" s="91" cm="1">
        <f t="array" ref="B42">BS_Greek("CALL","DELTA",$B$2,$A42,$B$4,VLOOKUP($A42,'Empirical PART 2'!$A$6:$D$22,2,FALSE)/100,0.19)</f>
        <v>0.84814679492038725</v>
      </c>
      <c r="C42" s="91" cm="1">
        <f t="array" ref="C42">BS_Greek("CALL","DELTA",$B$2,$A42,$B$4,VLOOKUP($A42,'Empirical PART 2'!$A$6:$D$22,3,FALSE)/100,0.44)</f>
        <v>0.79850708543053395</v>
      </c>
      <c r="D42" s="92" cm="1">
        <f t="array" ref="D42">BS_Greek("CALL","DELTA",$B$2,$A42,$B$4,VLOOKUP($A42,'Empirical PART 2'!$A$6:$D$22,4,FALSE)/100,0.69)</f>
        <v>0.78244766044403846</v>
      </c>
      <c r="F42" s="90">
        <v>680</v>
      </c>
      <c r="G42" s="91" cm="1">
        <f t="array" ref="G42">BS_Greek("CALL","GAMMA",$B$2,$F42,$B$4,VLOOKUP($F42,'Empirical PART 2'!$A$6:$D$22,2,FALSE)/100,0.19)</f>
        <v>1.032020166763006E-3</v>
      </c>
      <c r="H42" s="91" cm="1">
        <f t="array" ref="H42">BS_Greek("CALL","GAMMA",$B$2,$F42,$B$4,VLOOKUP($F42,'Empirical PART 2'!$A$6:$D$22,3,FALSE)/100,0.44)</f>
        <v>8.7413931165160178E-4</v>
      </c>
      <c r="I42" s="92" cm="1">
        <f t="array" ref="I42">BS_Greek("CALL","GAMMA",$B$2,$F42,$B$4,VLOOKUP($F42,'Empirical PART 2'!$A$6:$D$22,4,FALSE)/100,0.69)</f>
        <v>7.6823072041942416E-4</v>
      </c>
      <c r="K42" s="90">
        <v>680</v>
      </c>
      <c r="L42" s="91" cm="1">
        <f t="array" ref="L42">BS_Greek("CALL","THETA",$B$2,$K42,$B$4,VLOOKUP($K42,'Empirical PART 2'!$A$6:$D$22,2,FALSE)/100,0.19)</f>
        <v>-0.41774407613884501</v>
      </c>
      <c r="M42" s="91" cm="1">
        <f t="array" ref="M42">BS_Greek("CALL","THETA",$B$2,$K42,$B$4,VLOOKUP($K42,'Empirical PART 2'!$A$6:$D$22,3,FALSE)/100,0.44)</f>
        <v>-0.30914624522129225</v>
      </c>
      <c r="N42" s="92" cm="1">
        <f t="array" ref="N42">BS_Greek("CALL","THETA",$B$2,$K42,$B$4,VLOOKUP($K42,'Empirical PART 2'!$A$6:$D$22,4,FALSE)/100,0.69)</f>
        <v>-0.24911813938155461</v>
      </c>
      <c r="P42" s="90">
        <v>680</v>
      </c>
      <c r="Q42" s="91" cm="1">
        <f t="array" ref="Q42">BS_Greek("CALL","VEGA",$B$2,$P42,$B$4,VLOOKUP($P42,'Empirical PART 2'!$A$6:$D$22,2,FALSE)/100,0.19)</f>
        <v>0.87997437028541781</v>
      </c>
      <c r="R42" s="91" cm="1">
        <f t="array" ref="R42">BS_Greek("CALL","VEGA",$B$2,$P42,$B$4,VLOOKUP($P42,'Empirical PART 2'!$A$6:$D$22,3,FALSE)/100,0.44)</f>
        <v>1.6019758024988398</v>
      </c>
      <c r="S42" s="92" cm="1">
        <f t="array" ref="S42">BS_Greek("CALL","VEGA",$B$2,$P42,$B$4,VLOOKUP($P42,'Empirical PART 2'!$A$6:$D$22,4,FALSE)/100,0.69)</f>
        <v>2.098695710559805</v>
      </c>
      <c r="U42" s="90">
        <v>680</v>
      </c>
      <c r="V42" s="91" cm="1">
        <f t="array" ref="V42">BS_Greek("CALL","RHO",$B$2,$U42,$B$4,VLOOKUP($U42,'Empirical PART 2'!$A$6:$D$22,2,FALSE)/100,0.19)</f>
        <v>1.0001562487811113</v>
      </c>
      <c r="W42" s="91" cm="1">
        <f t="array" ref="W42">BS_Greek("CALL","RHO",$B$2,$U42,$B$4,VLOOKUP($U42,'Empirical PART 2'!$A$6:$D$22,3,FALSE)/100,0.44)</f>
        <v>2.0086158014792606</v>
      </c>
      <c r="X42" s="92" cm="1">
        <f t="array" ref="X42">BS_Greek("CALL","RHO",$B$2,$U42,$B$4,VLOOKUP($U42,'Empirical PART 2'!$A$6:$D$22,4,FALSE)/100,0.69)</f>
        <v>2.916213152882813</v>
      </c>
    </row>
    <row r="43" spans="1:24" x14ac:dyDescent="0.2">
      <c r="A43" s="90">
        <v>720</v>
      </c>
      <c r="B43" s="91" cm="1">
        <f t="array" ref="B43">BS_Greek("CALL","DELTA",$B$2,$A43,$B$4,VLOOKUP($A43,'Empirical PART 2'!$A$6:$D$22,2,FALSE)/100,0.19)</f>
        <v>0.79839125684110601</v>
      </c>
      <c r="C43" s="91" cm="1">
        <f t="array" ref="C43">BS_Greek("CALL","DELTA",$B$2,$A43,$B$4,VLOOKUP($A43,'Empirical PART 2'!$A$6:$D$22,3,FALSE)/100,0.44)</f>
        <v>0.75527960813107575</v>
      </c>
      <c r="D43" s="92" cm="1">
        <f t="array" ref="D43">BS_Greek("CALL","DELTA",$B$2,$A43,$B$4,VLOOKUP($A43,'Empirical PART 2'!$A$6:$D$22,4,FALSE)/100,0.69)</f>
        <v>0.74426799043296132</v>
      </c>
      <c r="F43" s="90">
        <v>720</v>
      </c>
      <c r="G43" s="91" cm="1">
        <f t="array" ref="G43">BS_Greek("CALL","GAMMA",$B$2,$F43,$B$4,VLOOKUP($F43,'Empirical PART 2'!$A$6:$D$22,2,FALSE)/100,0.19)</f>
        <v>1.2861072533111024E-3</v>
      </c>
      <c r="H43" s="91" cm="1">
        <f t="array" ref="H43">BS_Greek("CALL","GAMMA",$B$2,$F43,$B$4,VLOOKUP($F43,'Empirical PART 2'!$A$6:$D$22,3,FALSE)/100,0.44)</f>
        <v>9.9989971775583529E-4</v>
      </c>
      <c r="I43" s="92" cm="1">
        <f t="array" ref="I43">BS_Greek("CALL","GAMMA",$B$2,$F43,$B$4,VLOOKUP($F43,'Empirical PART 2'!$A$6:$D$22,4,FALSE)/100,0.69)</f>
        <v>8.5673216513140076E-4</v>
      </c>
      <c r="K43" s="90">
        <v>720</v>
      </c>
      <c r="L43" s="91" cm="1">
        <f t="array" ref="L43">BS_Greek("CALL","THETA",$B$2,$K43,$B$4,VLOOKUP($K43,'Empirical PART 2'!$A$6:$D$22,2,FALSE)/100,0.19)</f>
        <v>-0.47469324684343472</v>
      </c>
      <c r="M43" s="91" cm="1">
        <f t="array" ref="M43">BS_Greek("CALL","THETA",$B$2,$K43,$B$4,VLOOKUP($K43,'Empirical PART 2'!$A$6:$D$22,3,FALSE)/100,0.44)</f>
        <v>-0.33427436613885186</v>
      </c>
      <c r="N43" s="92" cm="1">
        <f t="array" ref="N43">BS_Greek("CALL","THETA",$B$2,$K43,$B$4,VLOOKUP($K43,'Empirical PART 2'!$A$6:$D$22,4,FALSE)/100,0.69)</f>
        <v>-0.26471968868036461</v>
      </c>
      <c r="P43" s="90">
        <v>720</v>
      </c>
      <c r="Q43" s="91" cm="1">
        <f t="array" ref="Q43">BS_Greek("CALL","VEGA",$B$2,$P43,$B$4,VLOOKUP($P43,'Empirical PART 2'!$A$6:$D$22,2,FALSE)/100,0.19)</f>
        <v>1.0530668684291169</v>
      </c>
      <c r="R43" s="91" cm="1">
        <f t="array" ref="R43">BS_Greek("CALL","VEGA",$B$2,$P43,$B$4,VLOOKUP($P43,'Empirical PART 2'!$A$6:$D$22,3,FALSE)/100,0.44)</f>
        <v>1.7897203214529827</v>
      </c>
      <c r="S43" s="92" cm="1">
        <f t="array" ref="S43">BS_Greek("CALL","VEGA",$B$2,$P43,$B$4,VLOOKUP($P43,'Empirical PART 2'!$A$6:$D$22,4,FALSE)/100,0.69)</f>
        <v>2.2941447946731257</v>
      </c>
      <c r="U43" s="90">
        <v>720</v>
      </c>
      <c r="V43" s="91" cm="1">
        <f t="array" ref="V43">BS_Greek("CALL","RHO",$B$2,$U43,$B$4,VLOOKUP($U43,'Empirical PART 2'!$A$6:$D$22,2,FALSE)/100,0.19)</f>
        <v>0.98009987899526252</v>
      </c>
      <c r="W43" s="91" cm="1">
        <f t="array" ref="W43">BS_Greek("CALL","RHO",$B$2,$U43,$B$4,VLOOKUP($U43,'Empirical PART 2'!$A$6:$D$22,3,FALSE)/100,0.44)</f>
        <v>1.9689015754710355</v>
      </c>
      <c r="X43" s="92" cm="1">
        <f t="array" ref="X43">BS_Greek("CALL","RHO",$B$2,$U43,$B$4,VLOOKUP($U43,'Empirical PART 2'!$A$6:$D$22,4,FALSE)/100,0.69)</f>
        <v>2.8716338119641551</v>
      </c>
    </row>
    <row r="44" spans="1:24" x14ac:dyDescent="0.2">
      <c r="A44" s="90">
        <v>760</v>
      </c>
      <c r="B44" s="91" cm="1">
        <f t="array" ref="B44">BS_Greek("CALL","DELTA",$B$2,$A44,$B$4,VLOOKUP($A44,'Empirical PART 2'!$A$6:$D$22,2,FALSE)/100,0.19)</f>
        <v>0.73685594094105999</v>
      </c>
      <c r="C44" s="91" cm="1">
        <f t="array" ref="C44">BS_Greek("CALL","DELTA",$B$2,$A44,$B$4,VLOOKUP($A44,'Empirical PART 2'!$A$6:$D$22,3,FALSE)/100,0.44)</f>
        <v>0.70776060673895946</v>
      </c>
      <c r="D44" s="92" cm="1">
        <f t="array" ref="D44">BS_Greek("CALL","DELTA",$B$2,$A44,$B$4,VLOOKUP($A44,'Empirical PART 2'!$A$6:$D$22,4,FALSE)/100,0.69)</f>
        <v>0.70834778215313687</v>
      </c>
      <c r="F44" s="90">
        <v>760</v>
      </c>
      <c r="G44" s="91" cm="1">
        <f t="array" ref="G44">BS_Greek("CALL","GAMMA",$B$2,$F44,$B$4,VLOOKUP($F44,'Empirical PART 2'!$A$6:$D$22,2,FALSE)/100,0.19)</f>
        <v>1.5325115090341441E-3</v>
      </c>
      <c r="H44" s="91" cm="1">
        <f t="array" ref="H44">BS_Greek("CALL","GAMMA",$B$2,$F44,$B$4,VLOOKUP($F44,'Empirical PART 2'!$A$6:$D$22,3,FALSE)/100,0.44)</f>
        <v>1.1141156864306633E-3</v>
      </c>
      <c r="I44" s="92" cm="1">
        <f t="array" ref="I44">BS_Greek("CALL","GAMMA",$B$2,$F44,$B$4,VLOOKUP($F44,'Empirical PART 2'!$A$6:$D$22,4,FALSE)/100,0.69)</f>
        <v>1.0331029608579131E-3</v>
      </c>
      <c r="K44" s="90">
        <v>760</v>
      </c>
      <c r="L44" s="91" cm="1">
        <f t="array" ref="L44">BS_Greek("CALL","THETA",$B$2,$K44,$B$4,VLOOKUP($K44,'Empirical PART 2'!$A$6:$D$22,2,FALSE)/100,0.19)</f>
        <v>-0.53075739521308452</v>
      </c>
      <c r="M44" s="91" cm="1">
        <f t="array" ref="M44">BS_Greek("CALL","THETA",$B$2,$K44,$B$4,VLOOKUP($K44,'Empirical PART 2'!$A$6:$D$22,3,FALSE)/100,0.44)</f>
        <v>-0.35583013489440674</v>
      </c>
      <c r="N44" s="92" cm="1">
        <f t="array" ref="N44">BS_Greek("CALL","THETA",$B$2,$K44,$B$4,VLOOKUP($K44,'Empirical PART 2'!$A$6:$D$22,4,FALSE)/100,0.69)</f>
        <v>-0.25180280984869774</v>
      </c>
      <c r="P44" s="90">
        <v>760</v>
      </c>
      <c r="Q44" s="91" cm="1">
        <f t="array" ref="Q44">BS_Greek("CALL","VEGA",$B$2,$P44,$B$4,VLOOKUP($P44,'Empirical PART 2'!$A$6:$D$22,2,FALSE)/100,0.19)</f>
        <v>1.2217509761402279</v>
      </c>
      <c r="R44" s="91" cm="1">
        <f t="array" ref="R44">BS_Greek("CALL","VEGA",$B$2,$P44,$B$4,VLOOKUP($P44,'Empirical PART 2'!$A$6:$D$22,3,FALSE)/100,0.44)</f>
        <v>1.9569990830295638</v>
      </c>
      <c r="S44" s="92" cm="1">
        <f t="array" ref="S44">BS_Greek("CALL","VEGA",$B$2,$P44,$B$4,VLOOKUP($P44,'Empirical PART 2'!$A$6:$D$22,4,FALSE)/100,0.69)</f>
        <v>2.44839832582102</v>
      </c>
      <c r="U44" s="90">
        <v>760</v>
      </c>
      <c r="V44" s="91" cm="1">
        <f t="array" ref="V44">BS_Greek("CALL","RHO",$B$2,$U44,$B$4,VLOOKUP($U44,'Empirical PART 2'!$A$6:$D$22,2,FALSE)/100,0.19)</f>
        <v>0.93489136891582036</v>
      </c>
      <c r="W44" s="91" cm="1">
        <f t="array" ref="W44">BS_Greek("CALL","RHO",$B$2,$U44,$B$4,VLOOKUP($U44,'Empirical PART 2'!$A$6:$D$22,3,FALSE)/100,0.44)</f>
        <v>1.9025936219387152</v>
      </c>
      <c r="X44" s="92" cm="1">
        <f t="array" ref="X44">BS_Greek("CALL","RHO",$B$2,$U44,$B$4,VLOOKUP($U44,'Empirical PART 2'!$A$6:$D$22,4,FALSE)/100,0.69)</f>
        <v>2.9143335139073518</v>
      </c>
    </row>
    <row r="45" spans="1:24" x14ac:dyDescent="0.2">
      <c r="A45" s="90">
        <v>800</v>
      </c>
      <c r="B45" s="91" cm="1">
        <f t="array" ref="B45">BS_Greek("CALL","DELTA",$B$2,$A45,$B$4,VLOOKUP($A45,'Empirical PART 2'!$A$6:$D$22,2,FALSE)/100,0.19)</f>
        <v>0.66659586472139121</v>
      </c>
      <c r="C45" s="91" cm="1">
        <f t="array" ref="C45">BS_Greek("CALL","DELTA",$B$2,$A45,$B$4,VLOOKUP($A45,'Empirical PART 2'!$A$6:$D$22,3,FALSE)/100,0.44)</f>
        <v>0.65725911612420107</v>
      </c>
      <c r="D45" s="92" cm="1">
        <f t="array" ref="D45">BS_Greek("CALL","DELTA",$B$2,$A45,$B$4,VLOOKUP($A45,'Empirical PART 2'!$A$6:$D$22,4,FALSE)/100,0.69)</f>
        <v>0.66094771282832809</v>
      </c>
      <c r="F45" s="90">
        <v>800</v>
      </c>
      <c r="G45" s="91" cm="1">
        <f t="array" ref="G45">BS_Greek("CALL","GAMMA",$B$2,$F45,$B$4,VLOOKUP($F45,'Empirical PART 2'!$A$6:$D$22,2,FALSE)/100,0.19)</f>
        <v>1.7422406557741463E-3</v>
      </c>
      <c r="H45" s="91" cm="1">
        <f t="array" ref="H45">BS_Greek("CALL","GAMMA",$B$2,$F45,$B$4,VLOOKUP($F45,'Empirical PART 2'!$A$6:$D$22,3,FALSE)/100,0.44)</f>
        <v>1.2164691422402829E-3</v>
      </c>
      <c r="I45" s="92" cm="1">
        <f t="array" ref="I45">BS_Greek("CALL","GAMMA",$B$2,$F45,$B$4,VLOOKUP($F45,'Empirical PART 2'!$A$6:$D$22,4,FALSE)/100,0.69)</f>
        <v>1.0043814043690425E-3</v>
      </c>
      <c r="K45" s="90">
        <v>800</v>
      </c>
      <c r="L45" s="91" cm="1">
        <f t="array" ref="L45">BS_Greek("CALL","THETA",$B$2,$K45,$B$4,VLOOKUP($K45,'Empirical PART 2'!$A$6:$D$22,2,FALSE)/100,0.19)</f>
        <v>-0.57474157742261667</v>
      </c>
      <c r="M45" s="91" cm="1">
        <f t="array" ref="M45">BS_Greek("CALL","THETA",$B$2,$K45,$B$4,VLOOKUP($K45,'Empirical PART 2'!$A$6:$D$22,3,FALSE)/100,0.44)</f>
        <v>-0.37057655854835603</v>
      </c>
      <c r="N45" s="92" cm="1">
        <f t="array" ref="N45">BS_Greek("CALL","THETA",$B$2,$K45,$B$4,VLOOKUP($K45,'Empirical PART 2'!$A$6:$D$22,4,FALSE)/100,0.69)</f>
        <v>-0.2883595441490272</v>
      </c>
      <c r="P45" s="90">
        <v>800</v>
      </c>
      <c r="Q45" s="91" cm="1">
        <f t="array" ref="Q45">BS_Greek("CALL","VEGA",$B$2,$P45,$B$4,VLOOKUP($P45,'Empirical PART 2'!$A$6:$D$22,2,FALSE)/100,0.19)</f>
        <v>1.3612216806202488</v>
      </c>
      <c r="R45" s="91" cm="1">
        <f t="array" ref="R45">BS_Greek("CALL","VEGA",$B$2,$P45,$B$4,VLOOKUP($P45,'Empirical PART 2'!$A$6:$D$22,3,FALSE)/100,0.44)</f>
        <v>2.0936876062657475</v>
      </c>
      <c r="S45" s="92" cm="1">
        <f t="array" ref="S45">BS_Greek("CALL","VEGA",$B$2,$P45,$B$4,VLOOKUP($P45,'Empirical PART 2'!$A$6:$D$22,4,FALSE)/100,0.69)</f>
        <v>2.6110745534733741</v>
      </c>
      <c r="U45" s="90">
        <v>800</v>
      </c>
      <c r="V45" s="91" cm="1">
        <f t="array" ref="V45">BS_Greek("CALL","RHO",$B$2,$U45,$B$4,VLOOKUP($U45,'Empirical PART 2'!$A$6:$D$22,2,FALSE)/100,0.19)</f>
        <v>0.86939902359031251</v>
      </c>
      <c r="W45" s="91" cm="1">
        <f t="array" ref="W45">BS_Greek("CALL","RHO",$B$2,$U45,$B$4,VLOOKUP($U45,'Empirical PART 2'!$A$6:$D$22,3,FALSE)/100,0.44)</f>
        <v>1.8170011930799048</v>
      </c>
      <c r="X45" s="92" cm="1">
        <f t="array" ref="X45">BS_Greek("CALL","RHO",$B$2,$U45,$B$4,VLOOKUP($U45,'Empirical PART 2'!$A$6:$D$22,4,FALSE)/100,0.69)</f>
        <v>2.6983135977855062</v>
      </c>
    </row>
    <row r="46" spans="1:24" x14ac:dyDescent="0.2">
      <c r="A46" s="90">
        <v>840</v>
      </c>
      <c r="B46" s="91" cm="1">
        <f t="array" ref="B46">BS_Greek("CALL","DELTA",$B$2,$A46,$B$4,VLOOKUP($A46,'Empirical PART 2'!$A$6:$D$22,2,FALSE)/100,0.19)</f>
        <v>0.59074602391439801</v>
      </c>
      <c r="C46" s="91" cm="1">
        <f t="array" ref="C46">BS_Greek("CALL","DELTA",$B$2,$A46,$B$4,VLOOKUP($A46,'Empirical PART 2'!$A$6:$D$22,3,FALSE)/100,0.44)</f>
        <v>0.6045187974183962</v>
      </c>
      <c r="D46" s="92" cm="1">
        <f t="array" ref="D46">BS_Greek("CALL","DELTA",$B$2,$A46,$B$4,VLOOKUP($A46,'Empirical PART 2'!$A$6:$D$22,4,FALSE)/100,0.69)</f>
        <v>0.61751241672515844</v>
      </c>
      <c r="F46" s="90">
        <v>840</v>
      </c>
      <c r="G46" s="91" cm="1">
        <f t="array" ref="G46">BS_Greek("CALL","GAMMA",$B$2,$F46,$B$4,VLOOKUP($F46,'Empirical PART 2'!$A$6:$D$22,2,FALSE)/100,0.19)</f>
        <v>1.9235391308823199E-3</v>
      </c>
      <c r="H46" s="91" cm="1">
        <f t="array" ref="H46">BS_Greek("CALL","GAMMA",$B$2,$F46,$B$4,VLOOKUP($F46,'Empirical PART 2'!$A$6:$D$22,3,FALSE)/100,0.44)</f>
        <v>1.2940419931070459E-3</v>
      </c>
      <c r="I46" s="92" cm="1">
        <f t="array" ref="I46">BS_Greek("CALL","GAMMA",$B$2,$F46,$B$4,VLOOKUP($F46,'Empirical PART 2'!$A$6:$D$22,4,FALSE)/100,0.69)</f>
        <v>1.0564473043426969E-3</v>
      </c>
      <c r="K46" s="90">
        <v>840</v>
      </c>
      <c r="L46" s="91" cm="1">
        <f t="array" ref="L46">BS_Greek("CALL","THETA",$B$2,$K46,$B$4,VLOOKUP($K46,'Empirical PART 2'!$A$6:$D$22,2,FALSE)/100,0.19)</f>
        <v>-0.59101732884162861</v>
      </c>
      <c r="M46" s="91" cm="1">
        <f t="array" ref="M46">BS_Greek("CALL","THETA",$B$2,$K46,$B$4,VLOOKUP($K46,'Empirical PART 2'!$A$6:$D$22,3,FALSE)/100,0.44)</f>
        <v>-0.38035168552441717</v>
      </c>
      <c r="N46" s="92" cm="1">
        <f t="array" ref="N46">BS_Greek("CALL","THETA",$B$2,$K46,$B$4,VLOOKUP($K46,'Empirical PART 2'!$A$6:$D$22,4,FALSE)/100,0.69)</f>
        <v>-0.29601947443705995</v>
      </c>
      <c r="P46" s="90">
        <v>840</v>
      </c>
      <c r="Q46" s="91" cm="1">
        <f t="array" ref="Q46">BS_Greek("CALL","VEGA",$B$2,$P46,$B$4,VLOOKUP($P46,'Empirical PART 2'!$A$6:$D$22,2,FALSE)/100,0.19)</f>
        <v>1.4546055695290807</v>
      </c>
      <c r="R46" s="91" cm="1">
        <f t="array" ref="R46">BS_Greek("CALL","VEGA",$B$2,$P46,$B$4,VLOOKUP($P46,'Empirical PART 2'!$A$6:$D$22,3,FALSE)/100,0.44)</f>
        <v>2.1941799583125312</v>
      </c>
      <c r="S46" s="92" cm="1">
        <f t="array" ref="S46">BS_Greek("CALL","VEGA",$B$2,$P46,$B$4,VLOOKUP($P46,'Empirical PART 2'!$A$6:$D$22,4,FALSE)/100,0.69)</f>
        <v>2.7215695869437218</v>
      </c>
      <c r="U46" s="90">
        <v>840</v>
      </c>
      <c r="V46" s="91" cm="1">
        <f t="array" ref="V46">BS_Greek("CALL","RHO",$B$2,$U46,$B$4,VLOOKUP($U46,'Empirical PART 2'!$A$6:$D$22,2,FALSE)/100,0.19)</f>
        <v>0.79102187775152488</v>
      </c>
      <c r="W46" s="91" cm="1">
        <f t="array" ref="W46">BS_Greek("CALL","RHO",$B$2,$U46,$B$4,VLOOKUP($U46,'Empirical PART 2'!$A$6:$D$22,3,FALSE)/100,0.44)</f>
        <v>1.7112918904952701</v>
      </c>
      <c r="X46" s="92" cm="1">
        <f t="array" ref="X46">BS_Greek("CALL","RHO",$B$2,$U46,$B$4,VLOOKUP($U46,'Empirical PART 2'!$A$6:$D$22,4,FALSE)/100,0.69)</f>
        <v>2.5782497271703129</v>
      </c>
    </row>
    <row r="47" spans="1:24" x14ac:dyDescent="0.2">
      <c r="A47" s="90">
        <v>880</v>
      </c>
      <c r="B47" s="91" cm="1">
        <f t="array" ref="B47">BS_Greek("CALL","DELTA",$B$2,$A47,$B$4,VLOOKUP($A47,'Empirical PART 2'!$A$6:$D$22,2,FALSE)/100,0.19)</f>
        <v>0.51090550130984869</v>
      </c>
      <c r="C47" s="91" cm="1">
        <f t="array" ref="C47">BS_Greek("CALL","DELTA",$B$2,$A47,$B$4,VLOOKUP($A47,'Empirical PART 2'!$A$6:$D$22,3,FALSE)/100,0.44)</f>
        <v>0.55073320654529412</v>
      </c>
      <c r="D47" s="92" cm="1">
        <f t="array" ref="D47">BS_Greek("CALL","DELTA",$B$2,$A47,$B$4,VLOOKUP($A47,'Empirical PART 2'!$A$6:$D$22,4,FALSE)/100,0.69)</f>
        <v>0.57352529095135973</v>
      </c>
      <c r="F47" s="90">
        <v>880</v>
      </c>
      <c r="G47" s="91" cm="1">
        <f t="array" ref="G47">BS_Greek("CALL","GAMMA",$B$2,$F47,$B$4,VLOOKUP($F47,'Empirical PART 2'!$A$6:$D$22,2,FALSE)/100,0.19)</f>
        <v>2.0168974455543605E-3</v>
      </c>
      <c r="H47" s="91" cm="1">
        <f t="array" ref="H47">BS_Greek("CALL","GAMMA",$B$2,$F47,$B$4,VLOOKUP($F47,'Empirical PART 2'!$A$6:$D$22,3,FALSE)/100,0.44)</f>
        <v>1.3501954509388642E-3</v>
      </c>
      <c r="I47" s="92" cm="1">
        <f t="array" ref="I47">BS_Greek("CALL","GAMMA",$B$2,$F47,$B$4,VLOOKUP($F47,'Empirical PART 2'!$A$6:$D$22,4,FALSE)/100,0.69)</f>
        <v>1.0999484328974151E-3</v>
      </c>
      <c r="K47" s="90">
        <v>880</v>
      </c>
      <c r="L47" s="91" cm="1">
        <f t="array" ref="L47">BS_Greek("CALL","THETA",$B$2,$K47,$B$4,VLOOKUP($K47,'Empirical PART 2'!$A$6:$D$22,2,FALSE)/100,0.19)</f>
        <v>-0.59064982682566525</v>
      </c>
      <c r="M47" s="91" cm="1">
        <f t="array" ref="M47">BS_Greek("CALL","THETA",$B$2,$K47,$B$4,VLOOKUP($K47,'Empirical PART 2'!$A$6:$D$22,3,FALSE)/100,0.44)</f>
        <v>-0.38286569013902233</v>
      </c>
      <c r="N47" s="92" cm="1">
        <f t="array" ref="N47">BS_Greek("CALL","THETA",$B$2,$K47,$B$4,VLOOKUP($K47,'Empirical PART 2'!$A$6:$D$22,4,FALSE)/100,0.69)</f>
        <v>-0.29891348291326114</v>
      </c>
      <c r="P47" s="90">
        <v>880</v>
      </c>
      <c r="Q47" s="91" cm="1">
        <f t="array" ref="Q47">BS_Greek("CALL","VEGA",$B$2,$P47,$B$4,VLOOKUP($P47,'Empirical PART 2'!$A$6:$D$22,2,FALSE)/100,0.19)</f>
        <v>1.492851457268501</v>
      </c>
      <c r="R47" s="91" cm="1">
        <f t="array" ref="R47">BS_Greek("CALL","VEGA",$B$2,$P47,$B$4,VLOOKUP($P47,'Empirical PART 2'!$A$6:$D$22,3,FALSE)/100,0.44)</f>
        <v>2.2542270885099764</v>
      </c>
      <c r="S47" s="92" cm="1">
        <f t="array" ref="S47">BS_Greek("CALL","VEGA",$B$2,$P47,$B$4,VLOOKUP($P47,'Empirical PART 2'!$A$6:$D$22,4,FALSE)/100,0.69)</f>
        <v>2.7974743392271919</v>
      </c>
      <c r="U47" s="90">
        <v>880</v>
      </c>
      <c r="V47" s="91" cm="1">
        <f t="array" ref="V47">BS_Greek("CALL","RHO",$B$2,$U47,$B$4,VLOOKUP($U47,'Empirical PART 2'!$A$6:$D$22,2,FALSE)/100,0.19)</f>
        <v>0.69866108925851544</v>
      </c>
      <c r="W47" s="91" cm="1">
        <f t="array" ref="W47">BS_Greek("CALL","RHO",$B$2,$U47,$B$4,VLOOKUP($U47,'Empirical PART 2'!$A$6:$D$22,3,FALSE)/100,0.44)</f>
        <v>1.5928370192304271</v>
      </c>
      <c r="X47" s="92" cm="1">
        <f t="array" ref="X47">BS_Greek("CALL","RHO",$B$2,$U47,$B$4,VLOOKUP($U47,'Empirical PART 2'!$A$6:$D$22,4,FALSE)/100,0.69)</f>
        <v>2.4468661313979529</v>
      </c>
    </row>
    <row r="48" spans="1:24" x14ac:dyDescent="0.2">
      <c r="A48" s="90">
        <v>920</v>
      </c>
      <c r="B48" s="91" cm="1">
        <f t="array" ref="B48">BS_Greek("CALL","DELTA",$B$2,$A48,$B$4,VLOOKUP($A48,'Empirical PART 2'!$A$6:$D$22,2,FALSE)/100,0.19)</f>
        <v>0.43268855584732291</v>
      </c>
      <c r="C48" s="91" cm="1">
        <f t="array" ref="C48">BS_Greek("CALL","DELTA",$B$2,$A48,$B$4,VLOOKUP($A48,'Empirical PART 2'!$A$6:$D$22,3,FALSE)/100,0.44)</f>
        <v>0.4972484834884574</v>
      </c>
      <c r="D48" s="92" cm="1">
        <f t="array" ref="D48">BS_Greek("CALL","DELTA",$B$2,$A48,$B$4,VLOOKUP($A48,'Empirical PART 2'!$A$6:$D$22,4,FALSE)/100,0.69)</f>
        <v>0.52924311314449612</v>
      </c>
      <c r="F48" s="90">
        <v>920</v>
      </c>
      <c r="G48" s="91" cm="1">
        <f t="array" ref="G48">BS_Greek("CALL","GAMMA",$B$2,$F48,$B$4,VLOOKUP($F48,'Empirical PART 2'!$A$6:$D$22,2,FALSE)/100,0.19)</f>
        <v>2.0080123334890367E-3</v>
      </c>
      <c r="H48" s="91" cm="1">
        <f t="array" ref="H48">BS_Greek("CALL","GAMMA",$B$2,$F48,$B$4,VLOOKUP($F48,'Empirical PART 2'!$A$6:$D$22,3,FALSE)/100,0.44)</f>
        <v>1.3777236287639309E-3</v>
      </c>
      <c r="I48" s="92" cm="1">
        <f t="array" ref="I48">BS_Greek("CALL","GAMMA",$B$2,$F48,$B$4,VLOOKUP($F48,'Empirical PART 2'!$A$6:$D$22,4,FALSE)/100,0.69)</f>
        <v>1.1324138401495492E-3</v>
      </c>
      <c r="K48" s="90">
        <v>920</v>
      </c>
      <c r="L48" s="91" cm="1">
        <f t="array" ref="L48">BS_Greek("CALL","THETA",$B$2,$K48,$B$4,VLOOKUP($K48,'Empirical PART 2'!$A$6:$D$22,2,FALSE)/100,0.19)</f>
        <v>-0.5743181872773534</v>
      </c>
      <c r="M48" s="91" cm="1">
        <f t="array" ref="M48">BS_Greek("CALL","THETA",$B$2,$K48,$B$4,VLOOKUP($K48,'Empirical PART 2'!$A$6:$D$22,3,FALSE)/100,0.44)</f>
        <v>-0.37968376086543448</v>
      </c>
      <c r="N48" s="92" cm="1">
        <f t="array" ref="N48">BS_Greek("CALL","THETA",$B$2,$K48,$B$4,VLOOKUP($K48,'Empirical PART 2'!$A$6:$D$22,4,FALSE)/100,0.69)</f>
        <v>-0.29763695290152736</v>
      </c>
      <c r="P48" s="90">
        <v>920</v>
      </c>
      <c r="Q48" s="91" cm="1">
        <f t="array" ref="Q48">BS_Greek("CALL","VEGA",$B$2,$P48,$B$4,VLOOKUP($P48,'Empirical PART 2'!$A$6:$D$22,2,FALSE)/100,0.19)</f>
        <v>1.4721014803413299</v>
      </c>
      <c r="R48" s="91" cm="1">
        <f t="array" ref="R48">BS_Greek("CALL","VEGA",$B$2,$P48,$B$4,VLOOKUP($P48,'Empirical PART 2'!$A$6:$D$22,3,FALSE)/100,0.44)</f>
        <v>2.2725744001981507</v>
      </c>
      <c r="S48" s="92" cm="1">
        <f t="array" ref="S48">BS_Greek("CALL","VEGA",$B$2,$P48,$B$4,VLOOKUP($P48,'Empirical PART 2'!$A$6:$D$22,4,FALSE)/100,0.69)</f>
        <v>2.8382967030710766</v>
      </c>
      <c r="U48" s="90">
        <v>920</v>
      </c>
      <c r="V48" s="91" cm="1">
        <f t="array" ref="V48">BS_Greek("CALL","RHO",$B$2,$U48,$B$4,VLOOKUP($U48,'Empirical PART 2'!$A$6:$D$22,2,FALSE)/100,0.19)</f>
        <v>0.60136914012282228</v>
      </c>
      <c r="W48" s="91" cm="1">
        <f t="array" ref="W48">BS_Greek("CALL","RHO",$B$2,$U48,$B$4,VLOOKUP($U48,'Empirical PART 2'!$A$6:$D$22,3,FALSE)/100,0.44)</f>
        <v>1.4648986545371974</v>
      </c>
      <c r="X48" s="92" cm="1">
        <f t="array" ref="X48">BS_Greek("CALL","RHO",$B$2,$U48,$B$4,VLOOKUP($U48,'Empirical PART 2'!$A$6:$D$22,4,FALSE)/100,0.69)</f>
        <v>2.3042227263863073</v>
      </c>
    </row>
    <row r="49" spans="1:24" x14ac:dyDescent="0.2">
      <c r="A49" s="90">
        <v>960</v>
      </c>
      <c r="B49" s="91" cm="1">
        <f t="array" ref="B49">BS_Greek("CALL","DELTA",$B$2,$A49,$B$4,VLOOKUP($A49,'Empirical PART 2'!$A$6:$D$22,2,FALSE)/100,0.19)</f>
        <v>0.3572002738249489</v>
      </c>
      <c r="C49" s="91" cm="1">
        <f t="array" ref="C49">BS_Greek("CALL","DELTA",$B$2,$A49,$B$4,VLOOKUP($A49,'Empirical PART 2'!$A$6:$D$22,3,FALSE)/100,0.44)</f>
        <v>0.44569050854758441</v>
      </c>
      <c r="D49" s="92" cm="1">
        <f t="array" ref="D49">BS_Greek("CALL","DELTA",$B$2,$A49,$B$4,VLOOKUP($A49,'Empirical PART 2'!$A$6:$D$22,4,FALSE)/100,0.69)</f>
        <v>0.48753353899696666</v>
      </c>
      <c r="F49" s="90">
        <v>960</v>
      </c>
      <c r="G49" s="91" cm="1">
        <f t="array" ref="G49">BS_Greek("CALL","GAMMA",$B$2,$F49,$B$4,VLOOKUP($F49,'Empirical PART 2'!$A$6:$D$22,2,FALSE)/100,0.19)</f>
        <v>1.9371582525919539E-3</v>
      </c>
      <c r="H49" s="91" cm="1">
        <f t="array" ref="H49">BS_Greek("CALL","GAMMA",$B$2,$F49,$B$4,VLOOKUP($F49,'Empirical PART 2'!$A$6:$D$22,3,FALSE)/100,0.44)</f>
        <v>1.3749596834639281E-3</v>
      </c>
      <c r="I49" s="92" cm="1">
        <f t="array" ref="I49">BS_Greek("CALL","GAMMA",$B$2,$F49,$B$4,VLOOKUP($F49,'Empirical PART 2'!$A$6:$D$22,4,FALSE)/100,0.69)</f>
        <v>1.1364411020517203E-3</v>
      </c>
      <c r="K49" s="90">
        <v>960</v>
      </c>
      <c r="L49" s="91" cm="1">
        <f t="array" ref="L49">BS_Greek("CALL","THETA",$B$2,$K49,$B$4,VLOOKUP($K49,'Empirical PART 2'!$A$6:$D$22,2,FALSE)/100,0.19)</f>
        <v>-0.53408117415248135</v>
      </c>
      <c r="M49" s="91" cm="1">
        <f t="array" ref="M49">BS_Greek("CALL","THETA",$B$2,$K49,$B$4,VLOOKUP($K49,'Empirical PART 2'!$A$6:$D$22,3,FALSE)/100,0.44)</f>
        <v>-0.37196518045161198</v>
      </c>
      <c r="N49" s="92" cm="1">
        <f t="array" ref="N49">BS_Greek("CALL","THETA",$B$2,$K49,$B$4,VLOOKUP($K49,'Empirical PART 2'!$A$6:$D$22,4,FALSE)/100,0.69)</f>
        <v>-0.29655695717499908</v>
      </c>
      <c r="P49" s="90">
        <v>960</v>
      </c>
      <c r="Q49" s="91" cm="1">
        <f t="array" ref="Q49">BS_Greek("CALL","VEGA",$B$2,$P49,$B$4,VLOOKUP($P49,'Empirical PART 2'!$A$6:$D$22,2,FALSE)/100,0.19)</f>
        <v>1.3966843981820452</v>
      </c>
      <c r="R49" s="91" cm="1">
        <f t="array" ref="R49">BS_Greek("CALL","VEGA",$B$2,$P49,$B$4,VLOOKUP($P49,'Empirical PART 2'!$A$6:$D$22,3,FALSE)/100,0.44)</f>
        <v>2.2515371760432146</v>
      </c>
      <c r="S49" s="92" cm="1">
        <f t="array" ref="S49">BS_Greek("CALL","VEGA",$B$2,$P49,$B$4,VLOOKUP($P49,'Empirical PART 2'!$A$6:$D$22,4,FALSE)/100,0.69)</f>
        <v>2.8445563179036277</v>
      </c>
      <c r="U49" s="90">
        <v>960</v>
      </c>
      <c r="V49" s="91" cm="1">
        <f t="array" ref="V49">BS_Greek("CALL","RHO",$B$2,$U49,$B$4,VLOOKUP($U49,'Empirical PART 2'!$A$6:$D$22,2,FALSE)/100,0.19)</f>
        <v>0.50408793157532128</v>
      </c>
      <c r="W49" s="91" cm="1">
        <f t="array" ref="W49">BS_Greek("CALL","RHO",$B$2,$U49,$B$4,VLOOKUP($U49,'Empirical PART 2'!$A$6:$D$22,3,FALSE)/100,0.44)</f>
        <v>1.3333255540517575</v>
      </c>
      <c r="X49" s="92" cm="1">
        <f t="array" ref="X49">BS_Greek("CALL","RHO",$B$2,$U49,$B$4,VLOOKUP($U49,'Empirical PART 2'!$A$6:$D$22,4,FALSE)/100,0.69)</f>
        <v>2.1532456600758629</v>
      </c>
    </row>
    <row r="50" spans="1:24" x14ac:dyDescent="0.2">
      <c r="A50" s="90">
        <v>1000</v>
      </c>
      <c r="B50" s="91" cm="1">
        <f t="array" ref="B50">BS_Greek("CALL","DELTA",$B$2,$A50,$B$4,VLOOKUP($A50,'Empirical PART 2'!$A$6:$D$22,2,FALSE)/100,0.19)</f>
        <v>0.27647853749627216</v>
      </c>
      <c r="C50" s="91" cm="1">
        <f t="array" ref="C50">BS_Greek("CALL","DELTA",$B$2,$A50,$B$4,VLOOKUP($A50,'Empirical PART 2'!$A$6:$D$22,3,FALSE)/100,0.44)</f>
        <v>0.38926750243357178</v>
      </c>
      <c r="D50" s="92" cm="1">
        <f t="array" ref="D50">BS_Greek("CALL","DELTA",$B$2,$A50,$B$4,VLOOKUP($A50,'Empirical PART 2'!$A$6:$D$22,4,FALSE)/100,0.69)</f>
        <v>0.44421414974775913</v>
      </c>
      <c r="F50" s="90">
        <v>1000</v>
      </c>
      <c r="G50" s="91" cm="1">
        <f t="array" ref="G50">BS_Greek("CALL","GAMMA",$B$2,$F50,$B$4,VLOOKUP($F50,'Empirical PART 2'!$A$6:$D$22,2,FALSE)/100,0.19)</f>
        <v>1.8398657037584278E-3</v>
      </c>
      <c r="H50" s="91" cm="1">
        <f t="array" ref="H50">BS_Greek("CALL","GAMMA",$B$2,$F50,$B$4,VLOOKUP($F50,'Empirical PART 2'!$A$6:$D$22,3,FALSE)/100,0.44)</f>
        <v>1.3856452362350823E-3</v>
      </c>
      <c r="I50" s="92" cm="1">
        <f t="array" ref="I50">BS_Greek("CALL","GAMMA",$B$2,$F50,$B$4,VLOOKUP($F50,'Empirical PART 2'!$A$6:$D$22,4,FALSE)/100,0.69)</f>
        <v>1.1450140284144576E-3</v>
      </c>
      <c r="K50" s="90">
        <v>1000</v>
      </c>
      <c r="L50" s="91" cm="1">
        <f t="array" ref="L50">BS_Greek("CALL","THETA",$B$2,$K50,$B$4,VLOOKUP($K50,'Empirical PART 2'!$A$6:$D$22,2,FALSE)/100,0.19)</f>
        <v>-0.45121389566837472</v>
      </c>
      <c r="M50" s="91" cm="1">
        <f t="array" ref="M50">BS_Greek("CALL","THETA",$B$2,$K50,$B$4,VLOOKUP($K50,'Empirical PART 2'!$A$6:$D$22,3,FALSE)/100,0.44)</f>
        <v>-0.34669059904933275</v>
      </c>
      <c r="N50" s="92" cm="1">
        <f t="array" ref="N50">BS_Greek("CALL","THETA",$B$2,$K50,$B$4,VLOOKUP($K50,'Empirical PART 2'!$A$6:$D$22,4,FALSE)/100,0.69)</f>
        <v>-0.28800826093189419</v>
      </c>
      <c r="P50" s="90">
        <v>1000</v>
      </c>
      <c r="Q50" s="91" cm="1">
        <f t="array" ref="Q50">BS_Greek("CALL","VEGA",$B$2,$P50,$B$4,VLOOKUP($P50,'Empirical PART 2'!$A$6:$D$22,2,FALSE)/100,0.19)</f>
        <v>1.2523710776206929</v>
      </c>
      <c r="R50" s="91" cm="1">
        <f t="array" ref="R50">BS_Greek("CALL","VEGA",$B$2,$P50,$B$4,VLOOKUP($P50,'Empirical PART 2'!$A$6:$D$22,3,FALSE)/100,0.44)</f>
        <v>2.1845116102289959</v>
      </c>
      <c r="S50" s="92" cm="1">
        <f t="array" ref="S50">BS_Greek("CALL","VEGA",$B$2,$P50,$B$4,VLOOKUP($P50,'Empirical PART 2'!$A$6:$D$22,4,FALSE)/100,0.69)</f>
        <v>2.8180760730262575</v>
      </c>
      <c r="U50" s="90">
        <v>1000</v>
      </c>
      <c r="V50" s="91" cm="1">
        <f t="array" ref="V50">BS_Greek("CALL","RHO",$B$2,$U50,$B$4,VLOOKUP($U50,'Empirical PART 2'!$A$6:$D$22,2,FALSE)/100,0.19)</f>
        <v>0.39807624709041767</v>
      </c>
      <c r="W50" s="91" cm="1">
        <f t="array" ref="W50">BS_Greek("CALL","RHO",$B$2,$U50,$B$4,VLOOKUP($U50,'Empirical PART 2'!$A$6:$D$22,3,FALSE)/100,0.44)</f>
        <v>1.1900546699890437</v>
      </c>
      <c r="X50" s="92" cm="1">
        <f t="array" ref="X50">BS_Greek("CALL","RHO",$B$2,$U50,$B$4,VLOOKUP($U50,'Empirical PART 2'!$A$6:$D$22,4,FALSE)/100,0.69)</f>
        <v>1.9973969403236429</v>
      </c>
    </row>
    <row r="51" spans="1:24" x14ac:dyDescent="0.2">
      <c r="A51" s="90">
        <v>1040</v>
      </c>
      <c r="B51" s="91" cm="1">
        <f t="array" ref="B51">BS_Greek("CALL","DELTA",$B$2,$A51,$B$4,VLOOKUP($A51,'Empirical PART 2'!$A$6:$D$22,2,FALSE)/100,0.19)</f>
        <v>0.23481156614515294</v>
      </c>
      <c r="C51" s="91" cm="1">
        <f t="array" ref="C51">BS_Greek("CALL","DELTA",$B$2,$A51,$B$4,VLOOKUP($A51,'Empirical PART 2'!$A$6:$D$22,3,FALSE)/100,0.44)</f>
        <v>0.35141659014013388</v>
      </c>
      <c r="D51" s="92" cm="1">
        <f t="array" ref="D51">BS_Greek("CALL","DELTA",$B$2,$A51,$B$4,VLOOKUP($A51,'Empirical PART 2'!$A$6:$D$22,4,FALSE)/100,0.69)</f>
        <v>0.40391347043691311</v>
      </c>
      <c r="F51" s="90">
        <v>1040</v>
      </c>
      <c r="G51" s="91" cm="1">
        <f t="array" ref="G51">BS_Greek("CALL","GAMMA",$B$2,$F51,$B$4,VLOOKUP($F51,'Empirical PART 2'!$A$6:$D$22,2,FALSE)/100,0.19)</f>
        <v>1.5952048253258808E-3</v>
      </c>
      <c r="H51" s="91" cm="1">
        <f t="array" ref="H51">BS_Greek("CALL","GAMMA",$B$2,$F51,$B$4,VLOOKUP($F51,'Empirical PART 2'!$A$6:$D$22,3,FALSE)/100,0.44)</f>
        <v>1.3010010317728779E-3</v>
      </c>
      <c r="I51" s="92" cm="1">
        <f t="array" ref="I51">BS_Greek("CALL","GAMMA",$B$2,$F51,$B$4,VLOOKUP($F51,'Empirical PART 2'!$A$6:$D$22,4,FALSE)/100,0.69)</f>
        <v>1.1319727362387535E-3</v>
      </c>
      <c r="K51" s="90">
        <v>1040</v>
      </c>
      <c r="L51" s="91" cm="1">
        <f t="array" ref="L51">BS_Greek("CALL","THETA",$B$2,$K51,$B$4,VLOOKUP($K51,'Empirical PART 2'!$A$6:$D$22,2,FALSE)/100,0.19)</f>
        <v>-0.43714405006110507</v>
      </c>
      <c r="M51" s="91" cm="1">
        <f t="array" ref="M51">BS_Greek("CALL","THETA",$B$2,$K51,$B$4,VLOOKUP($K51,'Empirical PART 2'!$A$6:$D$22,3,FALSE)/100,0.44)</f>
        <v>-0.34402296950624089</v>
      </c>
      <c r="N51" s="92" cm="1">
        <f t="array" ref="N51">BS_Greek("CALL","THETA",$B$2,$K51,$B$4,VLOOKUP($K51,'Empirical PART 2'!$A$6:$D$22,4,FALSE)/100,0.69)</f>
        <v>-0.27917103980518787</v>
      </c>
      <c r="P51" s="90">
        <v>1040</v>
      </c>
      <c r="Q51" s="91" cm="1">
        <f t="array" ref="Q51">BS_Greek("CALL","VEGA",$B$2,$P51,$B$4,VLOOKUP($P51,'Empirical PART 2'!$A$6:$D$22,2,FALSE)/100,0.19)</f>
        <v>1.149848794314015</v>
      </c>
      <c r="R51" s="91" cm="1">
        <f t="array" ref="R51">BS_Greek("CALL","VEGA",$B$2,$P51,$B$4,VLOOKUP($P51,'Empirical PART 2'!$A$6:$D$22,3,FALSE)/100,0.44)</f>
        <v>2.1131218699780723</v>
      </c>
      <c r="S51" s="92" cm="1">
        <f t="array" ref="S51">BS_Greek("CALL","VEGA",$B$2,$P51,$B$4,VLOOKUP($P51,'Empirical PART 2'!$A$6:$D$22,4,FALSE)/100,0.69)</f>
        <v>2.7629943457828396</v>
      </c>
      <c r="U51" s="90">
        <v>1040</v>
      </c>
      <c r="V51" s="91" cm="1">
        <f t="array" ref="V51">BS_Greek("CALL","RHO",$B$2,$U51,$B$4,VLOOKUP($U51,'Empirical PART 2'!$A$6:$D$22,2,FALSE)/100,0.19)</f>
        <v>0.33794643014391551</v>
      </c>
      <c r="W51" s="91" cm="1">
        <f t="array" ref="W51">BS_Greek("CALL","RHO",$B$2,$U51,$B$4,VLOOKUP($U51,'Empirical PART 2'!$A$6:$D$22,3,FALSE)/100,0.44)</f>
        <v>1.077558923497058</v>
      </c>
      <c r="X51" s="92" cm="1">
        <f t="array" ref="X51">BS_Greek("CALL","RHO",$B$2,$U51,$B$4,VLOOKUP($U51,'Empirical PART 2'!$A$6:$D$22,4,FALSE)/100,0.69)</f>
        <v>1.8415772169967863</v>
      </c>
    </row>
    <row r="52" spans="1:24" x14ac:dyDescent="0.2">
      <c r="A52" s="90">
        <v>1080</v>
      </c>
      <c r="B52" s="91" cm="1">
        <f t="array" ref="B52">BS_Greek("CALL","DELTA",$B$2,$A52,$B$4,VLOOKUP($A52,'Empirical PART 2'!$A$6:$D$22,2,FALSE)/100,0.19)</f>
        <v>0.18415495909419974</v>
      </c>
      <c r="C52" s="91" cm="1">
        <f t="array" ref="C52">BS_Greek("CALL","DELTA",$B$2,$A52,$B$4,VLOOKUP($A52,'Empirical PART 2'!$A$6:$D$22,3,FALSE)/100,0.44)</f>
        <v>0.29858442320646417</v>
      </c>
      <c r="D52" s="92" cm="1">
        <f t="array" ref="D52">BS_Greek("CALL","DELTA",$B$2,$A52,$B$4,VLOOKUP($A52,'Empirical PART 2'!$A$6:$D$22,4,FALSE)/100,0.69)</f>
        <v>0.36780725447657869</v>
      </c>
      <c r="F52" s="90">
        <v>1080</v>
      </c>
      <c r="G52" s="91" cm="1">
        <f t="array" ref="G52">BS_Greek("CALL","GAMMA",$B$2,$F52,$B$4,VLOOKUP($F52,'Empirical PART 2'!$A$6:$D$22,2,FALSE)/100,0.19)</f>
        <v>1.3925105754310579E-3</v>
      </c>
      <c r="H52" s="91" cm="1">
        <f t="array" ref="H52">BS_Greek("CALL","GAMMA",$B$2,$F52,$B$4,VLOOKUP($F52,'Empirical PART 2'!$A$6:$D$22,3,FALSE)/100,0.44)</f>
        <v>1.2662201418470926E-3</v>
      </c>
      <c r="I52" s="92" cm="1">
        <f t="array" ref="I52">BS_Greek("CALL","GAMMA",$B$2,$F52,$B$4,VLOOKUP($F52,'Empirical PART 2'!$A$6:$D$22,4,FALSE)/100,0.69)</f>
        <v>1.1009121800407873E-3</v>
      </c>
      <c r="K52" s="90">
        <v>1080</v>
      </c>
      <c r="L52" s="91" cm="1">
        <f t="array" ref="L52">BS_Greek("CALL","THETA",$B$2,$K52,$B$4,VLOOKUP($K52,'Empirical PART 2'!$A$6:$D$22,2,FALSE)/100,0.19)</f>
        <v>-0.37529025065101235</v>
      </c>
      <c r="M52" s="91" cm="1">
        <f t="array" ref="M52">BS_Greek("CALL","THETA",$B$2,$K52,$B$4,VLOOKUP($K52,'Empirical PART 2'!$A$6:$D$22,3,FALSE)/100,0.44)</f>
        <v>-0.3087423644023341</v>
      </c>
      <c r="N52" s="92" cm="1">
        <f t="array" ref="N52">BS_Greek("CALL","THETA",$B$2,$K52,$B$4,VLOOKUP($K52,'Empirical PART 2'!$A$6:$D$22,4,FALSE)/100,0.69)</f>
        <v>-0.27086535521300364</v>
      </c>
      <c r="P52" s="90">
        <v>1080</v>
      </c>
      <c r="Q52" s="91" cm="1">
        <f t="array" ref="Q52">BS_Greek("CALL","VEGA",$B$2,$P52,$B$4,VLOOKUP($P52,'Empirical PART 2'!$A$6:$D$22,2,FALSE)/100,0.19)</f>
        <v>0.99638892740597573</v>
      </c>
      <c r="R52" s="91" cm="1">
        <f t="array" ref="R52">BS_Greek("CALL","VEGA",$B$2,$P52,$B$4,VLOOKUP($P52,'Empirical PART 2'!$A$6:$D$22,3,FALSE)/100,0.44)</f>
        <v>1.9764326191436603</v>
      </c>
      <c r="S52" s="92" cm="1">
        <f t="array" ref="S52">BS_Greek("CALL","VEGA",$B$2,$P52,$B$4,VLOOKUP($P52,'Empirical PART 2'!$A$6:$D$22,4,FALSE)/100,0.69)</f>
        <v>2.688238556465107</v>
      </c>
      <c r="U52" s="90">
        <v>1080</v>
      </c>
      <c r="V52" s="91" cm="1">
        <f t="array" ref="V52">BS_Greek("CALL","RHO",$B$2,$U52,$B$4,VLOOKUP($U52,'Empirical PART 2'!$A$6:$D$22,2,FALSE)/100,0.19)</f>
        <v>0.26745773144857116</v>
      </c>
      <c r="W52" s="91" cm="1">
        <f t="array" ref="W52">BS_Greek("CALL","RHO",$B$2,$U52,$B$4,VLOOKUP($U52,'Empirical PART 2'!$A$6:$D$22,3,FALSE)/100,0.44)</f>
        <v>0.93348837530454287</v>
      </c>
      <c r="X52" s="92" cm="1">
        <f t="array" ref="X52">BS_Greek("CALL","RHO",$B$2,$U52,$B$4,VLOOKUP($U52,'Empirical PART 2'!$A$6:$D$22,4,FALSE)/100,0.69)</f>
        <v>1.6939812804955818</v>
      </c>
    </row>
    <row r="53" spans="1:24" x14ac:dyDescent="0.2">
      <c r="A53" s="90">
        <v>1120</v>
      </c>
      <c r="B53" s="91" cm="1">
        <f t="array" ref="B53">BS_Greek("CALL","DELTA",$B$2,$A53,$B$4,VLOOKUP($A53,'Empirical PART 2'!$A$6:$D$22,2,FALSE)/100,0.19)</f>
        <v>0.14679652244440933</v>
      </c>
      <c r="C53" s="91" cm="1">
        <f t="array" ref="C53">BS_Greek("CALL","DELTA",$B$2,$A53,$B$4,VLOOKUP($A53,'Empirical PART 2'!$A$6:$D$22,3,FALSE)/100,0.44)</f>
        <v>0.26974668804342072</v>
      </c>
      <c r="D53" s="92" cm="1">
        <f t="array" ref="D53">BS_Greek("CALL","DELTA",$B$2,$A53,$B$4,VLOOKUP($A53,'Empirical PART 2'!$A$6:$D$22,4,FALSE)/100,0.69)</f>
        <v>0.32964512117015465</v>
      </c>
      <c r="F53" s="90">
        <v>1120</v>
      </c>
      <c r="G53" s="91" cm="1">
        <f t="array" ref="G53">BS_Greek("CALL","GAMMA",$B$2,$F53,$B$4,VLOOKUP($F53,'Empirical PART 2'!$A$6:$D$22,2,FALSE)/100,0.19)</f>
        <v>1.1903871689718046E-3</v>
      </c>
      <c r="H53" s="91" cm="1">
        <f t="array" ref="H53">BS_Greek("CALL","GAMMA",$B$2,$F53,$B$4,VLOOKUP($F53,'Empirical PART 2'!$A$6:$D$22,3,FALSE)/100,0.44)</f>
        <v>1.1701099405519422E-3</v>
      </c>
      <c r="I53" s="92" cm="1">
        <f t="array" ref="I53">BS_Greek("CALL","GAMMA",$B$2,$F53,$B$4,VLOOKUP($F53,'Empirical PART 2'!$A$6:$D$22,4,FALSE)/100,0.69)</f>
        <v>1.0729162879691153E-3</v>
      </c>
      <c r="K53" s="90">
        <v>1120</v>
      </c>
      <c r="L53" s="91" cm="1">
        <f t="array" ref="L53">BS_Greek("CALL","THETA",$B$2,$K53,$B$4,VLOOKUP($K53,'Empirical PART 2'!$A$6:$D$22,2,FALSE)/100,0.19)</f>
        <v>-0.32668085311588152</v>
      </c>
      <c r="M53" s="91" cm="1">
        <f t="array" ref="M53">BS_Greek("CALL","THETA",$B$2,$K53,$B$4,VLOOKUP($K53,'Empirical PART 2'!$A$6:$D$22,3,FALSE)/100,0.44)</f>
        <v>-0.3021672534133138</v>
      </c>
      <c r="N53" s="92" cm="1">
        <f t="array" ref="N53">BS_Greek("CALL","THETA",$B$2,$K53,$B$4,VLOOKUP($K53,'Empirical PART 2'!$A$6:$D$22,4,FALSE)/100,0.69)</f>
        <v>-0.25590457804422234</v>
      </c>
      <c r="P53" s="90">
        <v>1120</v>
      </c>
      <c r="Q53" s="91" cm="1">
        <f t="array" ref="Q53">BS_Greek("CALL","VEGA",$B$2,$P53,$B$4,VLOOKUP($P53,'Empirical PART 2'!$A$6:$D$22,2,FALSE)/100,0.19)</f>
        <v>0.8603001304105764</v>
      </c>
      <c r="R53" s="91" cm="1">
        <f t="array" ref="R53">BS_Greek("CALL","VEGA",$B$2,$P53,$B$4,VLOOKUP($P53,'Empirical PART 2'!$A$6:$D$22,3,FALSE)/100,0.44)</f>
        <v>1.8826818977886868</v>
      </c>
      <c r="S53" s="92" cm="1">
        <f t="array" ref="S53">BS_Greek("CALL","VEGA",$B$2,$P53,$B$4,VLOOKUP($P53,'Empirical PART 2'!$A$6:$D$22,4,FALSE)/100,0.69)</f>
        <v>2.5823557246164679</v>
      </c>
      <c r="U53" s="90">
        <v>1120</v>
      </c>
      <c r="V53" s="91" cm="1">
        <f t="array" ref="V53">BS_Greek("CALL","RHO",$B$2,$U53,$B$4,VLOOKUP($U53,'Empirical PART 2'!$A$6:$D$22,2,FALSE)/100,0.19)</f>
        <v>0.21433203855368924</v>
      </c>
      <c r="W53" s="91" cm="1">
        <f t="array" ref="W53">BS_Greek("CALL","RHO",$B$2,$U53,$B$4,VLOOKUP($U53,'Empirical PART 2'!$A$6:$D$22,3,FALSE)/100,0.44)</f>
        <v>0.84423274760579858</v>
      </c>
      <c r="X53" s="92" cm="1">
        <f t="array" ref="X53">BS_Greek("CALL","RHO",$B$2,$U53,$B$4,VLOOKUP($U53,'Empirical PART 2'!$A$6:$D$22,4,FALSE)/100,0.69)</f>
        <v>1.5391504763407662</v>
      </c>
    </row>
    <row r="54" spans="1:24" x14ac:dyDescent="0.2">
      <c r="A54" s="90">
        <v>1160</v>
      </c>
      <c r="B54" s="91" cm="1">
        <f t="array" ref="B54">BS_Greek("CALL","DELTA",$B$2,$A54,$B$4,VLOOKUP($A54,'Empirical PART 2'!$A$6:$D$22,2,FALSE)/100,0.19)</f>
        <v>0.11519679593413786</v>
      </c>
      <c r="C54" s="91" cm="1">
        <f t="array" ref="C54">BS_Greek("CALL","DELTA",$B$2,$A54,$B$4,VLOOKUP($A54,'Empirical PART 2'!$A$6:$D$22,3,FALSE)/100,0.44)</f>
        <v>0.22534520833422331</v>
      </c>
      <c r="D54" s="92" cm="1">
        <f t="array" ref="D54">BS_Greek("CALL","DELTA",$B$2,$A54,$B$4,VLOOKUP($A54,'Empirical PART 2'!$A$6:$D$22,4,FALSE)/100,0.69)</f>
        <v>0.27760315506841865</v>
      </c>
      <c r="F54" s="90">
        <v>1160</v>
      </c>
      <c r="G54" s="91" cm="1">
        <f t="array" ref="G54">BS_Greek("CALL","GAMMA",$B$2,$F54,$B$4,VLOOKUP($F54,'Empirical PART 2'!$A$6:$D$22,2,FALSE)/100,0.19)</f>
        <v>1.0016820545301927E-3</v>
      </c>
      <c r="H54" s="91" cm="1">
        <f t="array" ref="H54">BS_Greek("CALL","GAMMA",$B$2,$F54,$B$4,VLOOKUP($F54,'Empirical PART 2'!$A$6:$D$22,3,FALSE)/100,0.44)</f>
        <v>1.0973696251882611E-3</v>
      </c>
      <c r="I54" s="92" cm="1">
        <f t="array" ref="I54">BS_Greek("CALL","GAMMA",$B$2,$F54,$B$4,VLOOKUP($F54,'Empirical PART 2'!$A$6:$D$22,4,FALSE)/100,0.69)</f>
        <v>1.0587367542756732E-3</v>
      </c>
      <c r="K54" s="90">
        <v>1160</v>
      </c>
      <c r="L54" s="91" cm="1">
        <f t="array" ref="L54">BS_Greek("CALL","THETA",$B$2,$K54,$B$4,VLOOKUP($K54,'Empirical PART 2'!$A$6:$D$22,2,FALSE)/100,0.19)</f>
        <v>-0.27719816420274457</v>
      </c>
      <c r="M54" s="91" cm="1">
        <f t="array" ref="M54">BS_Greek("CALL","THETA",$B$2,$K54,$B$4,VLOOKUP($K54,'Empirical PART 2'!$A$6:$D$22,3,FALSE)/100,0.44)</f>
        <v>-0.26543397745557112</v>
      </c>
      <c r="N54" s="92" cm="1">
        <f t="array" ref="N54">BS_Greek("CALL","THETA",$B$2,$K54,$B$4,VLOOKUP($K54,'Empirical PART 2'!$A$6:$D$22,4,FALSE)/100,0.69)</f>
        <v>-0.22233290226529226</v>
      </c>
      <c r="P54" s="90">
        <v>1160</v>
      </c>
      <c r="Q54" s="91" cm="1">
        <f t="array" ref="Q54">BS_Greek("CALL","VEGA",$B$2,$P54,$B$4,VLOOKUP($P54,'Empirical PART 2'!$A$6:$D$22,2,FALSE)/100,0.19)</f>
        <v>0.72749133701920843</v>
      </c>
      <c r="R54" s="91" cm="1">
        <f t="array" ref="R54">BS_Greek("CALL","VEGA",$B$2,$P54,$B$4,VLOOKUP($P54,'Empirical PART 2'!$A$6:$D$22,3,FALSE)/100,0.44)</f>
        <v>1.7099764623658344</v>
      </c>
      <c r="S54" s="92" cm="1">
        <f t="array" ref="S54">BS_Greek("CALL","VEGA",$B$2,$P54,$B$4,VLOOKUP($P54,'Empirical PART 2'!$A$6:$D$22,4,FALSE)/100,0.69)</f>
        <v>2.3913529357459113</v>
      </c>
      <c r="U54" s="90">
        <v>1160</v>
      </c>
      <c r="V54" s="91" cm="1">
        <f t="array" ref="V54">BS_Greek("CALL","RHO",$B$2,$U54,$B$4,VLOOKUP($U54,'Empirical PART 2'!$A$6:$D$22,2,FALSE)/100,0.19)</f>
        <v>0.16909192574104867</v>
      </c>
      <c r="W54" s="91" cm="1">
        <f t="array" ref="W54">BS_Greek("CALL","RHO",$B$2,$U54,$B$4,VLOOKUP($U54,'Empirical PART 2'!$A$6:$D$22,3,FALSE)/100,0.44)</f>
        <v>0.71620286156318069</v>
      </c>
      <c r="X54" s="92" cm="1">
        <f t="array" ref="X54">BS_Greek("CALL","RHO",$B$2,$U54,$B$4,VLOOKUP($U54,'Empirical PART 2'!$A$6:$D$22,4,FALSE)/100,0.69)</f>
        <v>1.3312626733520165</v>
      </c>
    </row>
    <row r="55" spans="1:24" x14ac:dyDescent="0.2">
      <c r="A55" s="93">
        <v>1200</v>
      </c>
      <c r="B55" s="94" cm="1">
        <f t="array" ref="B55">BS_Greek("CALL","DELTA",$B$2,$A55,$B$4,VLOOKUP($A55,'Empirical PART 2'!$A$6:$D$22,2,FALSE)/100,0.19)</f>
        <v>9.5336853619206768E-2</v>
      </c>
      <c r="C55" s="94" cm="1">
        <f t="array" ref="C55">BS_Greek("CALL","DELTA",$B$2,$A55,$B$4,VLOOKUP($A55,'Empirical PART 2'!$A$6:$D$22,3,FALSE)/100,0.44)</f>
        <v>0.20432925540652436</v>
      </c>
      <c r="D55" s="95" cm="1">
        <f t="array" ref="D55">BS_Greek("CALL","DELTA",$B$2,$A55,$B$4,VLOOKUP($A55,'Empirical PART 2'!$A$6:$D$22,4,FALSE)/100,0.69)</f>
        <v>0.24470363716495391</v>
      </c>
      <c r="F55" s="93">
        <v>1200</v>
      </c>
      <c r="G55" s="94" cm="1">
        <f t="array" ref="G55">BS_Greek("CALL","GAMMA",$B$2,$F55,$B$4,VLOOKUP($F55,'Empirical PART 2'!$A$6:$D$22,2,FALSE)/100,0.19)</f>
        <v>8.5085649106465345E-4</v>
      </c>
      <c r="H55" s="94" cm="1">
        <f t="array" ref="H55">BS_Greek("CALL","GAMMA",$B$2,$F55,$B$4,VLOOKUP($F55,'Empirical PART 2'!$A$6:$D$22,3,FALSE)/100,0.44)</f>
        <v>1.0065207994523772E-3</v>
      </c>
      <c r="I55" s="95" cm="1">
        <f t="array" ref="I55">BS_Greek("CALL","GAMMA",$B$2,$F55,$B$4,VLOOKUP($F55,'Empirical PART 2'!$A$6:$D$22,4,FALSE)/100,0.69)</f>
        <v>1.001044969281708E-3</v>
      </c>
      <c r="K55" s="93">
        <v>1200</v>
      </c>
      <c r="L55" s="94" cm="1">
        <f t="array" ref="L55">BS_Greek("CALL","THETA",$B$2,$K55,$B$4,VLOOKUP($K55,'Empirical PART 2'!$A$6:$D$22,2,FALSE)/100,0.19)</f>
        <v>-0.24777364306425195</v>
      </c>
      <c r="M55" s="94" cm="1">
        <f t="array" ref="M55">BS_Greek("CALL","THETA",$B$2,$K55,$B$4,VLOOKUP($K55,'Empirical PART 2'!$A$6:$D$22,3,FALSE)/100,0.44)</f>
        <v>-0.25761812972557352</v>
      </c>
      <c r="N55" s="95" cm="1">
        <f t="array" ref="N55">BS_Greek("CALL","THETA",$B$2,$K55,$B$4,VLOOKUP($K55,'Empirical PART 2'!$A$6:$D$22,4,FALSE)/100,0.69)</f>
        <v>-0.20608218294397693</v>
      </c>
      <c r="P55" s="93">
        <v>1200</v>
      </c>
      <c r="Q55" s="94" cm="1">
        <f t="array" ref="Q55">BS_Greek("CALL","VEGA",$B$2,$P55,$B$4,VLOOKUP($P55,'Empirical PART 2'!$A$6:$D$22,2,FALSE)/100,0.19)</f>
        <v>0.63435885785870783</v>
      </c>
      <c r="R55" s="94" cm="1">
        <f t="array" ref="R55">BS_Greek("CALL","VEGA",$B$2,$P55,$B$4,VLOOKUP($P55,'Empirical PART 2'!$A$6:$D$22,3,FALSE)/100,0.44)</f>
        <v>1.6154071551437914</v>
      </c>
      <c r="S55" s="95" cm="1">
        <f t="array" ref="S55">BS_Greek("CALL","VEGA",$B$2,$P55,$B$4,VLOOKUP($P55,'Empirical PART 2'!$A$6:$D$22,4,FALSE)/100,0.69)</f>
        <v>2.241131639277492</v>
      </c>
      <c r="U55" s="93">
        <v>1200</v>
      </c>
      <c r="V55" s="94" cm="1">
        <f t="array" ref="V55">BS_Greek("CALL","RHO",$B$2,$U55,$B$4,VLOOKUP($U55,'Empirical PART 2'!$A$6:$D$22,2,FALSE)/100,0.19)</f>
        <v>0.14013406802551912</v>
      </c>
      <c r="W55" s="94" cm="1">
        <f t="array" ref="W55">BS_Greek("CALL","RHO",$B$2,$U55,$B$4,VLOOKUP($U55,'Empirical PART 2'!$A$6:$D$22,3,FALSE)/100,0.44)</f>
        <v>0.64939054599654311</v>
      </c>
      <c r="X55" s="95" cm="1">
        <f t="array" ref="X55">BS_Greek("CALL","RHO",$B$2,$U55,$B$4,VLOOKUP($U55,'Empirical PART 2'!$A$6:$D$22,4,FALSE)/100,0.69)</f>
        <v>1.1852055690714856</v>
      </c>
    </row>
  </sheetData>
  <mergeCells count="8">
    <mergeCell ref="U37:X37"/>
    <mergeCell ref="A1:AA1"/>
    <mergeCell ref="D2:I2"/>
    <mergeCell ref="A7:AA7"/>
    <mergeCell ref="A37:D37"/>
    <mergeCell ref="F37:I37"/>
    <mergeCell ref="K37:N37"/>
    <mergeCell ref="P37:S3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CallGkTable</vt:lpstr>
      <vt:lpstr>PutGkTable</vt:lpstr>
      <vt:lpstr>Display PART 1</vt:lpstr>
      <vt:lpstr>Empirical PART 2</vt:lpstr>
      <vt:lpstr>Merge PART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Quartucci Davide</dc:creator>
  <cp:lastModifiedBy>Quartucci Davide</cp:lastModifiedBy>
  <dcterms:created xsi:type="dcterms:W3CDTF">2026-04-09T12:41:58Z</dcterms:created>
  <dcterms:modified xsi:type="dcterms:W3CDTF">2026-04-15T12:58:28Z</dcterms:modified>
</cp:coreProperties>
</file>