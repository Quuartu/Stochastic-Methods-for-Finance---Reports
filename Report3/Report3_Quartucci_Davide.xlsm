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videquartucci/Desktop/Unipd MSc/First year/Second semester/SM for Finance/Report3/"/>
    </mc:Choice>
  </mc:AlternateContent>
  <xr:revisionPtr revIDLastSave="0" documentId="13_ncr:1_{FBCBA24F-F8D9-1743-85AB-FB4E7953A68B}" xr6:coauthVersionLast="47" xr6:coauthVersionMax="47" xr10:uidLastSave="{00000000-0000-0000-0000-000000000000}"/>
  <bookViews>
    <workbookView xWindow="0" yWindow="660" windowWidth="30240" windowHeight="17760" xr2:uid="{8CA73679-9B6C-7840-820A-5C19EEDA5A3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3" i="1" l="1" a="1"/>
  <c r="D44" i="1" a="1"/>
  <c r="C29" i="1" a="1"/>
  <c r="D38" i="1" a="1"/>
  <c r="C42" i="1" a="1"/>
  <c r="D14" i="1" a="1"/>
  <c r="D11" i="1" a="1"/>
  <c r="C6" i="1" a="1"/>
  <c r="C7" i="1" a="1"/>
  <c r="C17" i="1" a="1"/>
  <c r="C31" i="1" a="1"/>
  <c r="D26" i="1" a="1"/>
  <c r="C37" i="1" a="1"/>
  <c r="D39" i="1" a="1"/>
  <c r="D18" i="1" a="1"/>
  <c r="D19" i="1" a="1"/>
  <c r="C10" i="1" a="1"/>
  <c r="C19" i="1" a="1"/>
  <c r="C21" i="1" a="1"/>
  <c r="C39" i="1" a="1"/>
  <c r="C30" i="1" a="1"/>
  <c r="D27" i="1" a="1"/>
  <c r="D34" i="1" a="1"/>
  <c r="C38" i="1" a="1"/>
  <c r="D22" i="1" a="1"/>
  <c r="D12" i="1" a="1"/>
  <c r="C14" i="1" a="1"/>
  <c r="C12" i="1" a="1"/>
  <c r="D5" i="1" a="1"/>
  <c r="D41" i="1" a="1"/>
  <c r="C44" i="1" a="1"/>
  <c r="C33" i="1" a="1"/>
  <c r="D35" i="1" a="1"/>
  <c r="C18" i="1" a="1"/>
  <c r="C5" i="1" a="1"/>
  <c r="D37" i="1" a="1"/>
  <c r="D30" i="1" a="1"/>
  <c r="D16" i="1" a="1"/>
  <c r="C22" i="1" a="1"/>
  <c r="D9" i="1" a="1"/>
  <c r="C28" i="1" a="1"/>
  <c r="D7" i="1" a="1"/>
  <c r="D40" i="1" a="1"/>
  <c r="D13" i="1" a="1"/>
  <c r="C20" i="1" a="1"/>
  <c r="C40" i="1" a="1"/>
  <c r="C34" i="1" a="1"/>
  <c r="D15" i="1" a="1"/>
  <c r="C11" i="1" a="1"/>
  <c r="C9" i="1" a="1"/>
  <c r="D43" i="1" a="1"/>
  <c r="C16" i="1" a="1"/>
  <c r="D23" i="1" a="1"/>
  <c r="F2" i="1" a="1"/>
  <c r="C27" i="1" a="1"/>
  <c r="D10" i="1" a="1"/>
  <c r="C13" i="1" a="1"/>
  <c r="D36" i="1" a="1"/>
  <c r="C35" i="1" a="1"/>
  <c r="D32" i="1" a="1"/>
  <c r="C36" i="1" a="1"/>
  <c r="C32" i="1" a="1"/>
  <c r="C26" i="1" a="1"/>
  <c r="D31" i="1" a="1"/>
  <c r="D20" i="1" a="1"/>
  <c r="D8" i="1" a="1"/>
  <c r="C15" i="1" a="1"/>
  <c r="C8" i="1" a="1"/>
  <c r="D28" i="1" a="1"/>
  <c r="D33" i="1" a="1"/>
  <c r="D29" i="1" a="1"/>
  <c r="D42" i="1" a="1"/>
  <c r="D6" i="1" a="1"/>
  <c r="D17" i="1" a="1"/>
  <c r="C23" i="1" a="1"/>
  <c r="C41" i="1" a="1"/>
  <c r="D21" i="1" a="1"/>
  <c r="D21" i="1" l="1"/>
  <c r="C41" i="1"/>
  <c r="C23" i="1"/>
  <c r="D17" i="1"/>
  <c r="D6" i="1"/>
  <c r="D42" i="1"/>
  <c r="D29" i="1"/>
  <c r="D33" i="1"/>
  <c r="D28" i="1"/>
  <c r="C8" i="1"/>
  <c r="C15" i="1"/>
  <c r="D8" i="1"/>
  <c r="D20" i="1"/>
  <c r="D31" i="1"/>
  <c r="C26" i="1"/>
  <c r="C32" i="1"/>
  <c r="C36" i="1"/>
  <c r="D32" i="1"/>
  <c r="C35" i="1"/>
  <c r="D36" i="1"/>
  <c r="C13" i="1"/>
  <c r="D10" i="1"/>
  <c r="C27" i="1"/>
  <c r="F2" i="1"/>
  <c r="D23" i="1"/>
  <c r="C16" i="1"/>
  <c r="D43" i="1"/>
  <c r="C9" i="1"/>
  <c r="C11" i="1"/>
  <c r="D15" i="1"/>
  <c r="C34" i="1"/>
  <c r="C40" i="1"/>
  <c r="C20" i="1"/>
  <c r="D13" i="1"/>
  <c r="D40" i="1"/>
  <c r="D7" i="1"/>
  <c r="C28" i="1"/>
  <c r="D9" i="1"/>
  <c r="C22" i="1"/>
  <c r="D16" i="1"/>
  <c r="D30" i="1"/>
  <c r="D37" i="1"/>
  <c r="C5" i="1"/>
  <c r="C18" i="1"/>
  <c r="D35" i="1"/>
  <c r="C33" i="1"/>
  <c r="C44" i="1"/>
  <c r="D41" i="1"/>
  <c r="D5" i="1"/>
  <c r="C12" i="1"/>
  <c r="C14" i="1"/>
  <c r="D12" i="1"/>
  <c r="D22" i="1"/>
  <c r="C38" i="1"/>
  <c r="D34" i="1"/>
  <c r="D27" i="1"/>
  <c r="C30" i="1"/>
  <c r="C39" i="1"/>
  <c r="C21" i="1"/>
  <c r="C19" i="1"/>
  <c r="C10" i="1"/>
  <c r="D19" i="1"/>
  <c r="D18" i="1"/>
  <c r="D39" i="1"/>
  <c r="C37" i="1"/>
  <c r="D26" i="1"/>
  <c r="C31" i="1"/>
  <c r="C17" i="1"/>
  <c r="C7" i="1"/>
  <c r="C6" i="1"/>
  <c r="D11" i="1"/>
  <c r="D14" i="1"/>
  <c r="C42" i="1"/>
  <c r="D38" i="1"/>
  <c r="C29" i="1"/>
  <c r="D44" i="1"/>
  <c r="C43" i="1"/>
  <c r="N27" i="1" l="1"/>
  <c r="B42" i="1" a="1"/>
  <c r="B42" i="1" s="1"/>
  <c r="N42" i="1" s="1"/>
  <c r="B40" i="1" a="1"/>
  <c r="B40" i="1" s="1"/>
  <c r="N40" i="1" s="1"/>
  <c r="B37" i="1" a="1"/>
  <c r="B37" i="1" s="1"/>
  <c r="N37" i="1" s="1"/>
  <c r="B26" i="1" a="1"/>
  <c r="B26" i="1" s="1"/>
  <c r="M26" i="1" s="1"/>
  <c r="B44" i="1" a="1"/>
  <c r="B44" i="1" s="1"/>
  <c r="N44" i="1" s="1"/>
  <c r="B32" i="1" a="1"/>
  <c r="B32" i="1" s="1"/>
  <c r="N32" i="1" s="1"/>
  <c r="B17" i="1" a="1"/>
  <c r="B17" i="1" s="1"/>
  <c r="N17" i="1" s="1"/>
  <c r="B10" i="1" a="1"/>
  <c r="B10" i="1" s="1"/>
  <c r="M10" i="1" s="1"/>
  <c r="B35" i="1" a="1"/>
  <c r="B35" i="1" s="1"/>
  <c r="M35" i="1" s="1"/>
  <c r="B43" i="1" a="1"/>
  <c r="B43" i="1" s="1"/>
  <c r="M43" i="1" s="1"/>
  <c r="B20" i="1" a="1"/>
  <c r="B20" i="1" s="1"/>
  <c r="N20" i="1" s="1"/>
  <c r="B31" i="1" a="1"/>
  <c r="B31" i="1" s="1"/>
  <c r="M31" i="1" s="1"/>
  <c r="B7" i="1" a="1"/>
  <c r="B7" i="1" s="1"/>
  <c r="M7" i="1" s="1"/>
  <c r="B23" i="1" a="1"/>
  <c r="B23" i="1" s="1"/>
  <c r="M23" i="1" s="1"/>
  <c r="B22" i="1" a="1"/>
  <c r="B22" i="1" s="1"/>
  <c r="N22" i="1" s="1"/>
  <c r="B12" i="1" a="1"/>
  <c r="B12" i="1" s="1"/>
  <c r="M12" i="1" s="1"/>
  <c r="B38" i="1" a="1"/>
  <c r="B38" i="1" s="1"/>
  <c r="N38" i="1" s="1"/>
  <c r="B21" i="1" a="1"/>
  <c r="B21" i="1" s="1"/>
  <c r="M21" i="1" s="1"/>
  <c r="B34" i="1" a="1"/>
  <c r="B34" i="1" s="1"/>
  <c r="M34" i="1" s="1"/>
  <c r="B36" i="1" a="1"/>
  <c r="B36" i="1" s="1"/>
  <c r="M36" i="1" s="1"/>
  <c r="B33" i="1" a="1"/>
  <c r="B33" i="1" s="1"/>
  <c r="N33" i="1" s="1"/>
  <c r="B9" i="1" a="1"/>
  <c r="B9" i="1" s="1"/>
  <c r="M9" i="1" s="1"/>
  <c r="B6" i="1" a="1"/>
  <c r="B6" i="1" s="1"/>
  <c r="M6" i="1" s="1"/>
  <c r="B8" i="1" a="1"/>
  <c r="B8" i="1" s="1"/>
  <c r="M8" i="1" s="1"/>
  <c r="B28" i="1" a="1"/>
  <c r="B28" i="1" s="1"/>
  <c r="M28" i="1" s="1"/>
  <c r="B15" i="1" a="1"/>
  <c r="B15" i="1" s="1"/>
  <c r="N15" i="1" s="1"/>
  <c r="B19" i="1" a="1"/>
  <c r="B19" i="1" s="1"/>
  <c r="N19" i="1" s="1"/>
  <c r="B13" i="1" a="1"/>
  <c r="B13" i="1" s="1"/>
  <c r="M13" i="1" s="1"/>
  <c r="B39" i="1" a="1"/>
  <c r="B39" i="1" s="1"/>
  <c r="M39" i="1" s="1"/>
  <c r="B27" i="1" a="1"/>
  <c r="B27" i="1" s="1"/>
  <c r="M27" i="1" s="1"/>
  <c r="B29" i="1" a="1"/>
  <c r="B29" i="1" s="1"/>
  <c r="N29" i="1" s="1"/>
  <c r="B41" i="1" a="1"/>
  <c r="B41" i="1" s="1"/>
  <c r="M41" i="1" s="1"/>
  <c r="B11" i="1" a="1"/>
  <c r="B11" i="1" s="1"/>
  <c r="M11" i="1" s="1"/>
  <c r="B30" i="1" a="1"/>
  <c r="B30" i="1" s="1"/>
  <c r="M30" i="1" s="1"/>
  <c r="B16" i="1" a="1"/>
  <c r="B16" i="1" s="1"/>
  <c r="N16" i="1" s="1"/>
  <c r="B5" i="1" a="1"/>
  <c r="B5" i="1" s="1"/>
  <c r="M5" i="1" s="1"/>
  <c r="B14" i="1" a="1"/>
  <c r="B14" i="1" s="1"/>
  <c r="M14" i="1" s="1"/>
  <c r="B18" i="1" a="1"/>
  <c r="B18" i="1" s="1"/>
  <c r="N18" i="1" s="1"/>
  <c r="M22" i="1"/>
  <c r="M38" i="1"/>
  <c r="N10" i="1"/>
  <c r="N35" i="1"/>
  <c r="M29" i="1"/>
  <c r="M16" i="1"/>
  <c r="N41" i="1"/>
  <c r="M32" i="1"/>
  <c r="N9" i="1"/>
  <c r="N6" i="1"/>
  <c r="M19" i="1"/>
  <c r="M18" i="1"/>
  <c r="N36" i="1"/>
  <c r="M42" i="1"/>
  <c r="M37" i="1"/>
  <c r="N5" i="1"/>
  <c r="N30" i="1"/>
  <c r="N23" i="1"/>
  <c r="N39" i="1" l="1"/>
  <c r="M33" i="1"/>
  <c r="R26" i="1" s="1" a="1"/>
  <c r="R26" i="1" s="1"/>
  <c r="N13" i="1"/>
  <c r="N21" i="1"/>
  <c r="N26" i="1"/>
  <c r="N31" i="1"/>
  <c r="N28" i="1"/>
  <c r="M15" i="1"/>
  <c r="R5" i="1" s="1" a="1"/>
  <c r="R5" i="1" s="1"/>
  <c r="N7" i="1"/>
  <c r="N34" i="1"/>
  <c r="M40" i="1"/>
  <c r="N43" i="1"/>
  <c r="M44" i="1"/>
  <c r="N12" i="1"/>
  <c r="N11" i="1"/>
  <c r="S5" i="1" s="1" a="1"/>
  <c r="S5" i="1" s="1"/>
  <c r="M20" i="1"/>
  <c r="N8" i="1"/>
  <c r="M17" i="1"/>
  <c r="N14" i="1"/>
  <c r="S26" i="1" l="1" a="1"/>
  <c r="S2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<sst xmlns="http://schemas.openxmlformats.org/spreadsheetml/2006/main" count="22" uniqueCount="14">
  <si>
    <t>n (Steps)</t>
  </si>
  <si>
    <t>CRR</t>
  </si>
  <si>
    <t>Leisen-Reimer</t>
  </si>
  <si>
    <t>ErrorCRR</t>
  </si>
  <si>
    <t>ErrorLR</t>
  </si>
  <si>
    <t>RateoCRR</t>
  </si>
  <si>
    <t>RateoLR</t>
  </si>
  <si>
    <t>S (SpotPrice)</t>
  </si>
  <si>
    <t>K (StrikePrice)</t>
  </si>
  <si>
    <t>T (Maturity)</t>
  </si>
  <si>
    <t>r (Risk-free rate)</t>
  </si>
  <si>
    <t>vol (Volatility)</t>
  </si>
  <si>
    <t>B&amp;S</t>
  </si>
  <si>
    <t>Price (B&amp;S)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</si>
</sst>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sz val="14"/>
      <color theme="1"/>
      <name val="Aptos Narrow"/>
      <scheme val="minor"/>
    </font>
    <font>
      <b/>
      <sz val="14"/>
      <color theme="0"/>
      <name val="Aptos Narrow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indexed="64"/>
      </bottom>
      <diagonal/>
    </border>
    <border>
      <left/>
      <right/>
      <top/>
      <bottom style="thin">
        <color theme="7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2" borderId="4" applyNumberFormat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9" fontId="0" fillId="0" borderId="0" xfId="1" applyFont="1"/>
    <xf numFmtId="0" fontId="0" fillId="0" borderId="1" xfId="0" applyBorder="1"/>
    <xf numFmtId="0" fontId="0" fillId="0" borderId="2" xfId="0" applyBorder="1"/>
    <xf numFmtId="0" fontId="0" fillId="0" borderId="0" xfId="0" quotePrefix="1"/>
    <xf numFmtId="0" fontId="2" fillId="3" borderId="3" xfId="0" applyFont="1" applyFill="1" applyBorder="1"/>
    <xf numFmtId="0" fontId="2" fillId="4" borderId="3" xfId="0" applyFont="1" applyFill="1" applyBorder="1"/>
    <xf numFmtId="0" fontId="2" fillId="5" borderId="3" xfId="0" applyFont="1" applyFill="1" applyBorder="1"/>
    <xf numFmtId="0" fontId="0" fillId="0" borderId="3" xfId="0" applyBorder="1"/>
    <xf numFmtId="0" fontId="5" fillId="6" borderId="5" xfId="2" applyFont="1" applyFill="1" applyBorder="1"/>
    <xf numFmtId="0" fontId="6" fillId="4" borderId="0" xfId="0" applyFont="1" applyFill="1"/>
    <xf numFmtId="0" fontId="6" fillId="5" borderId="0" xfId="0" applyFont="1" applyFill="1"/>
    <xf numFmtId="0" fontId="4" fillId="0" borderId="0" xfId="3"/>
    <xf numFmtId="9" fontId="4" fillId="0" borderId="0" xfId="3" applyNumberFormat="1"/>
  </cellXfs>
  <cellStyles count="4">
    <cellStyle name="Check Cell" xfId="2" builtinId="23"/>
    <cellStyle name="Explanatory Text" xfId="3" builtinId="53"/>
    <cellStyle name="Normal" xfId="0" builtinId="0"/>
    <cellStyle name="Percent" xfId="1" builtinId="5"/>
  </cellStyles>
  <dxfs count="21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border outline="0">
        <top style="thin">
          <color theme="7" tint="0.39997558519241921"/>
        </top>
      </border>
    </dxf>
    <dxf>
      <border outline="0"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7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border outline="0">
        <top style="thin">
          <color theme="7" tint="0.39997558519241921"/>
        </top>
      </border>
    </dxf>
    <dxf>
      <border outline="0"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7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Convergence</a:t>
            </a:r>
            <a:r>
              <a:rPr lang="en-US" baseline="0"/>
              <a:t>: Even/Odd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Sheet1!$B$4</c:f>
              <c:strCache>
                <c:ptCount val="1"/>
                <c:pt idx="0">
                  <c:v>B&amp;S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Sheet1!$A$5:$A$23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Sheet1!$B$5:$B$23</c:f>
              <c:numCache>
                <c:formatCode>General</c:formatCode>
                <c:ptCount val="19"/>
                <c:pt idx="0">
                  <c:v>8.4333186901096084</c:v>
                </c:pt>
                <c:pt idx="1">
                  <c:v>8.4333186901096084</c:v>
                </c:pt>
                <c:pt idx="2">
                  <c:v>8.4333186901096084</c:v>
                </c:pt>
                <c:pt idx="3">
                  <c:v>8.4333186901096084</c:v>
                </c:pt>
                <c:pt idx="4">
                  <c:v>8.4333186901096084</c:v>
                </c:pt>
                <c:pt idx="5">
                  <c:v>8.4333186901096084</c:v>
                </c:pt>
                <c:pt idx="6">
                  <c:v>8.4333186901096084</c:v>
                </c:pt>
                <c:pt idx="7">
                  <c:v>8.4333186901096084</c:v>
                </c:pt>
                <c:pt idx="8">
                  <c:v>8.4333186901096084</c:v>
                </c:pt>
                <c:pt idx="9">
                  <c:v>8.4333186901096084</c:v>
                </c:pt>
                <c:pt idx="10">
                  <c:v>8.4333186901096084</c:v>
                </c:pt>
                <c:pt idx="11">
                  <c:v>8.4333186901096084</c:v>
                </c:pt>
                <c:pt idx="12">
                  <c:v>8.4333186901096084</c:v>
                </c:pt>
                <c:pt idx="13">
                  <c:v>8.4333186901096084</c:v>
                </c:pt>
                <c:pt idx="14">
                  <c:v>8.4333186901096084</c:v>
                </c:pt>
                <c:pt idx="15">
                  <c:v>8.4333186901096084</c:v>
                </c:pt>
                <c:pt idx="16">
                  <c:v>8.4333186901096084</c:v>
                </c:pt>
                <c:pt idx="17">
                  <c:v>8.4333186901096084</c:v>
                </c:pt>
                <c:pt idx="18">
                  <c:v>8.4333186901096084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42-7846-8D76-521BED0C026C}"/>
            </c:ext>
          </c:extLst>
        </c:ser>
        <c:ser>
          <c:idx val="1"/>
          <c:order val="1"/>
          <c:tx>
            <c:strRef>
              <c:f>Sheet1!$C$4</c:f>
              <c:strCache>
                <c:ptCount val="1"/>
                <c:pt idx="0">
                  <c:v>CRR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Sheet1!$A$5:$A$23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Sheet1!$C$5:$C$23</c:f>
              <c:numCache>
                <c:formatCode>General</c:formatCode>
                <c:ptCount val="19"/>
                <c:pt idx="0">
                  <c:v>8.2377064813940635</c:v>
                </c:pt>
                <c:pt idx="1">
                  <c:v>8.5650283826907572</c:v>
                </c:pt>
                <c:pt idx="2">
                  <c:v>8.3347816511340973</c:v>
                </c:pt>
                <c:pt idx="3">
                  <c:v>8.5121219141175697</c:v>
                </c:pt>
                <c:pt idx="4">
                  <c:v>8.3674755134396381</c:v>
                </c:pt>
                <c:pt idx="5">
                  <c:v>8.4895346274147769</c:v>
                </c:pt>
                <c:pt idx="6">
                  <c:v>8.3838809291105569</c:v>
                </c:pt>
                <c:pt idx="7">
                  <c:v>8.4770102590656098</c:v>
                </c:pt>
                <c:pt idx="8">
                  <c:v>8.3937423023647018</c:v>
                </c:pt>
                <c:pt idx="9">
                  <c:v>8.469049468219275</c:v>
                </c:pt>
                <c:pt idx="10">
                  <c:v>8.4003239638716654</c:v>
                </c:pt>
                <c:pt idx="11">
                  <c:v>8.4635424509586059</c:v>
                </c:pt>
                <c:pt idx="12">
                  <c:v>8.4050287372726125</c:v>
                </c:pt>
                <c:pt idx="13">
                  <c:v>8.4595062352202142</c:v>
                </c:pt>
                <c:pt idx="14">
                  <c:v>8.4085592617942169</c:v>
                </c:pt>
                <c:pt idx="15">
                  <c:v>8.4564210211242514</c:v>
                </c:pt>
                <c:pt idx="16">
                  <c:v>8.4113063701233823</c:v>
                </c:pt>
                <c:pt idx="17">
                  <c:v>8.453986129275247</c:v>
                </c:pt>
                <c:pt idx="18">
                  <c:v>8.4135047743807316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42-7846-8D76-521BED0C026C}"/>
            </c:ext>
          </c:extLst>
        </c:ser>
        <c:ser>
          <c:idx val="2"/>
          <c:order val="2"/>
          <c:tx>
            <c:strRef>
              <c:f>Sheet1!$D$4</c:f>
              <c:strCache>
                <c:ptCount val="1"/>
                <c:pt idx="0">
                  <c:v>Leisen-Reimer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Sheet1!$A$5:$A$23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Sheet1!$D$5:$D$23</c:f>
              <c:numCache>
                <c:formatCode>General</c:formatCode>
                <c:ptCount val="19"/>
                <c:pt idx="0">
                  <c:v>8.0517052507854245</c:v>
                </c:pt>
                <c:pt idx="1">
                  <c:v>8.4316966308156438</c:v>
                </c:pt>
                <c:pt idx="2">
                  <c:v>8.2398218474171152</c:v>
                </c:pt>
                <c:pt idx="3">
                  <c:v>8.4327122618048218</c:v>
                </c:pt>
                <c:pt idx="4">
                  <c:v>8.3036902889852069</c:v>
                </c:pt>
                <c:pt idx="5">
                  <c:v>8.433004056018639</c:v>
                </c:pt>
                <c:pt idx="6">
                  <c:v>8.3358467713306226</c:v>
                </c:pt>
                <c:pt idx="7">
                  <c:v>8.43312654504685</c:v>
                </c:pt>
                <c:pt idx="8">
                  <c:v>8.3552142948135248</c:v>
                </c:pt>
                <c:pt idx="9">
                  <c:v>8.4331892791766396</c:v>
                </c:pt>
                <c:pt idx="10">
                  <c:v>8.3681577810787147</c:v>
                </c:pt>
                <c:pt idx="11">
                  <c:v>8.433225641410294</c:v>
                </c:pt>
                <c:pt idx="12">
                  <c:v>8.3774192511959331</c:v>
                </c:pt>
                <c:pt idx="13">
                  <c:v>8.4332485816650458</c:v>
                </c:pt>
                <c:pt idx="14">
                  <c:v>8.3843744601704682</c:v>
                </c:pt>
                <c:pt idx="15">
                  <c:v>8.4332639765104567</c:v>
                </c:pt>
                <c:pt idx="16">
                  <c:v>8.3897896286345901</c:v>
                </c:pt>
                <c:pt idx="17">
                  <c:v>8.4332748057964704</c:v>
                </c:pt>
                <c:pt idx="18">
                  <c:v>8.3941253672024985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42-7846-8D76-521BED0C0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273919"/>
        <c:axId val="2070269439"/>
      </c:lineChart>
      <c:catAx>
        <c:axId val="207027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269439"/>
        <c:crosses val="autoZero"/>
        <c:auto val="1"/>
        <c:lblAlgn val="ctr"/>
        <c:lblOffset val="100"/>
        <c:noMultiLvlLbl val="0"/>
      </c:catAx>
      <c:valAx>
        <c:axId val="2070269439"/>
        <c:scaling>
          <c:orientation val="minMax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273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Price Convergence: Odd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Sheet1!$B$25</c:f>
              <c:strCache>
                <c:ptCount val="1"/>
                <c:pt idx="0">
                  <c:v>B&amp;S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Sheet1!$A$26:$A$44</c:f>
              <c:numCache>
                <c:formatCode>General</c:formatCode>
                <c:ptCount val="19"/>
                <c:pt idx="0">
                  <c:v>11</c:v>
                </c:pt>
                <c:pt idx="1">
                  <c:v>21</c:v>
                </c:pt>
                <c:pt idx="2">
                  <c:v>31</c:v>
                </c:pt>
                <c:pt idx="3">
                  <c:v>41</c:v>
                </c:pt>
                <c:pt idx="4">
                  <c:v>51</c:v>
                </c:pt>
                <c:pt idx="5">
                  <c:v>61</c:v>
                </c:pt>
                <c:pt idx="6">
                  <c:v>71</c:v>
                </c:pt>
                <c:pt idx="7">
                  <c:v>81</c:v>
                </c:pt>
                <c:pt idx="8">
                  <c:v>91</c:v>
                </c:pt>
                <c:pt idx="9">
                  <c:v>101</c:v>
                </c:pt>
                <c:pt idx="10">
                  <c:v>111</c:v>
                </c:pt>
                <c:pt idx="11">
                  <c:v>121</c:v>
                </c:pt>
                <c:pt idx="12">
                  <c:v>131</c:v>
                </c:pt>
                <c:pt idx="13">
                  <c:v>141</c:v>
                </c:pt>
                <c:pt idx="14">
                  <c:v>151</c:v>
                </c:pt>
                <c:pt idx="15">
                  <c:v>161</c:v>
                </c:pt>
                <c:pt idx="16">
                  <c:v>171</c:v>
                </c:pt>
                <c:pt idx="17">
                  <c:v>181</c:v>
                </c:pt>
                <c:pt idx="18">
                  <c:v>191</c:v>
                </c:pt>
              </c:numCache>
            </c:numRef>
          </c:cat>
          <c:val>
            <c:numRef>
              <c:f>Sheet1!$B$26:$B$44</c:f>
              <c:numCache>
                <c:formatCode>General</c:formatCode>
                <c:ptCount val="19"/>
                <c:pt idx="0">
                  <c:v>8.4333186901096084</c:v>
                </c:pt>
                <c:pt idx="1">
                  <c:v>8.4333186901096084</c:v>
                </c:pt>
                <c:pt idx="2">
                  <c:v>8.4333186901096084</c:v>
                </c:pt>
                <c:pt idx="3">
                  <c:v>8.4333186901096084</c:v>
                </c:pt>
                <c:pt idx="4">
                  <c:v>8.4333186901096084</c:v>
                </c:pt>
                <c:pt idx="5">
                  <c:v>8.4333186901096084</c:v>
                </c:pt>
                <c:pt idx="6">
                  <c:v>8.4333186901096084</c:v>
                </c:pt>
                <c:pt idx="7">
                  <c:v>8.4333186901096084</c:v>
                </c:pt>
                <c:pt idx="8">
                  <c:v>8.4333186901096084</c:v>
                </c:pt>
                <c:pt idx="9">
                  <c:v>8.4333186901096084</c:v>
                </c:pt>
                <c:pt idx="10">
                  <c:v>8.4333186901096084</c:v>
                </c:pt>
                <c:pt idx="11">
                  <c:v>8.4333186901096084</c:v>
                </c:pt>
                <c:pt idx="12">
                  <c:v>8.4333186901096084</c:v>
                </c:pt>
                <c:pt idx="13">
                  <c:v>8.4333186901096084</c:v>
                </c:pt>
                <c:pt idx="14">
                  <c:v>8.4333186901096084</c:v>
                </c:pt>
                <c:pt idx="15">
                  <c:v>8.4333186901096084</c:v>
                </c:pt>
                <c:pt idx="16">
                  <c:v>8.4333186901096084</c:v>
                </c:pt>
                <c:pt idx="17">
                  <c:v>8.4333186901096084</c:v>
                </c:pt>
                <c:pt idx="18">
                  <c:v>8.4333186901096084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5-4F49-A5A6-BD0BD3BFE067}"/>
            </c:ext>
          </c:extLst>
        </c:ser>
        <c:ser>
          <c:idx val="1"/>
          <c:order val="1"/>
          <c:tx>
            <c:strRef>
              <c:f>Sheet1!$C$25</c:f>
              <c:strCache>
                <c:ptCount val="1"/>
                <c:pt idx="0">
                  <c:v>CRR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Sheet1!$A$26:$A$44</c:f>
              <c:numCache>
                <c:formatCode>General</c:formatCode>
                <c:ptCount val="19"/>
                <c:pt idx="0">
                  <c:v>11</c:v>
                </c:pt>
                <c:pt idx="1">
                  <c:v>21</c:v>
                </c:pt>
                <c:pt idx="2">
                  <c:v>31</c:v>
                </c:pt>
                <c:pt idx="3">
                  <c:v>41</c:v>
                </c:pt>
                <c:pt idx="4">
                  <c:v>51</c:v>
                </c:pt>
                <c:pt idx="5">
                  <c:v>61</c:v>
                </c:pt>
                <c:pt idx="6">
                  <c:v>71</c:v>
                </c:pt>
                <c:pt idx="7">
                  <c:v>81</c:v>
                </c:pt>
                <c:pt idx="8">
                  <c:v>91</c:v>
                </c:pt>
                <c:pt idx="9">
                  <c:v>101</c:v>
                </c:pt>
                <c:pt idx="10">
                  <c:v>111</c:v>
                </c:pt>
                <c:pt idx="11">
                  <c:v>121</c:v>
                </c:pt>
                <c:pt idx="12">
                  <c:v>131</c:v>
                </c:pt>
                <c:pt idx="13">
                  <c:v>141</c:v>
                </c:pt>
                <c:pt idx="14">
                  <c:v>151</c:v>
                </c:pt>
                <c:pt idx="15">
                  <c:v>161</c:v>
                </c:pt>
                <c:pt idx="16">
                  <c:v>171</c:v>
                </c:pt>
                <c:pt idx="17">
                  <c:v>181</c:v>
                </c:pt>
                <c:pt idx="18">
                  <c:v>191</c:v>
                </c:pt>
              </c:numCache>
            </c:numRef>
          </c:cat>
          <c:val>
            <c:numRef>
              <c:f>Sheet1!$C$26:$C$44</c:f>
              <c:numCache>
                <c:formatCode>General</c:formatCode>
                <c:ptCount val="19"/>
                <c:pt idx="0">
                  <c:v>8.613347223752287</c:v>
                </c:pt>
                <c:pt idx="1">
                  <c:v>8.5272099533886774</c:v>
                </c:pt>
                <c:pt idx="2">
                  <c:v>8.496814839601921</c:v>
                </c:pt>
                <c:pt idx="3">
                  <c:v>8.4812848904302189</c:v>
                </c:pt>
                <c:pt idx="4">
                  <c:v>8.4718583259954965</c:v>
                </c:pt>
                <c:pt idx="5">
                  <c:v>8.4655281794486879</c:v>
                </c:pt>
                <c:pt idx="6">
                  <c:v>8.4609840625226287</c:v>
                </c:pt>
                <c:pt idx="7">
                  <c:v>8.4575635607104864</c:v>
                </c:pt>
                <c:pt idx="8">
                  <c:v>8.4548957858636324</c:v>
                </c:pt>
                <c:pt idx="9">
                  <c:v>8.452756900064454</c:v>
                </c:pt>
                <c:pt idx="10">
                  <c:v>8.4510038104921978</c:v>
                </c:pt>
                <c:pt idx="11">
                  <c:v>8.4495407726590983</c:v>
                </c:pt>
                <c:pt idx="12">
                  <c:v>8.4483013028631202</c:v>
                </c:pt>
                <c:pt idx="13">
                  <c:v>8.4472377935921177</c:v>
                </c:pt>
                <c:pt idx="14">
                  <c:v>8.4463152583682746</c:v>
                </c:pt>
                <c:pt idx="15">
                  <c:v>8.4455074093387612</c:v>
                </c:pt>
                <c:pt idx="16">
                  <c:v>8.4447941120994496</c:v>
                </c:pt>
                <c:pt idx="17">
                  <c:v>8.4441596847408196</c:v>
                </c:pt>
                <c:pt idx="18">
                  <c:v>8.4435917315643589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35-4F49-A5A6-BD0BD3BFE067}"/>
            </c:ext>
          </c:extLst>
        </c:ser>
        <c:ser>
          <c:idx val="2"/>
          <c:order val="2"/>
          <c:tx>
            <c:strRef>
              <c:f>Sheet1!$D$25</c:f>
              <c:strCache>
                <c:ptCount val="1"/>
                <c:pt idx="0">
                  <c:v>Leisen-Reimer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Sheet1!$A$26:$A$44</c:f>
              <c:numCache>
                <c:formatCode>General</c:formatCode>
                <c:ptCount val="19"/>
                <c:pt idx="0">
                  <c:v>11</c:v>
                </c:pt>
                <c:pt idx="1">
                  <c:v>21</c:v>
                </c:pt>
                <c:pt idx="2">
                  <c:v>31</c:v>
                </c:pt>
                <c:pt idx="3">
                  <c:v>41</c:v>
                </c:pt>
                <c:pt idx="4">
                  <c:v>51</c:v>
                </c:pt>
                <c:pt idx="5">
                  <c:v>61</c:v>
                </c:pt>
                <c:pt idx="6">
                  <c:v>71</c:v>
                </c:pt>
                <c:pt idx="7">
                  <c:v>81</c:v>
                </c:pt>
                <c:pt idx="8">
                  <c:v>91</c:v>
                </c:pt>
                <c:pt idx="9">
                  <c:v>101</c:v>
                </c:pt>
                <c:pt idx="10">
                  <c:v>111</c:v>
                </c:pt>
                <c:pt idx="11">
                  <c:v>121</c:v>
                </c:pt>
                <c:pt idx="12">
                  <c:v>131</c:v>
                </c:pt>
                <c:pt idx="13">
                  <c:v>141</c:v>
                </c:pt>
                <c:pt idx="14">
                  <c:v>151</c:v>
                </c:pt>
                <c:pt idx="15">
                  <c:v>161</c:v>
                </c:pt>
                <c:pt idx="16">
                  <c:v>171</c:v>
                </c:pt>
                <c:pt idx="17">
                  <c:v>181</c:v>
                </c:pt>
                <c:pt idx="18">
                  <c:v>191</c:v>
                </c:pt>
              </c:numCache>
            </c:numRef>
          </c:cat>
          <c:val>
            <c:numRef>
              <c:f>Sheet1!$D$26:$D$44</c:f>
              <c:numCache>
                <c:formatCode>General</c:formatCode>
                <c:ptCount val="19"/>
                <c:pt idx="0">
                  <c:v>8.4303997829055852</c:v>
                </c:pt>
                <c:pt idx="1">
                  <c:v>8.4324686288538455</c:v>
                </c:pt>
                <c:pt idx="2">
                  <c:v>8.432919800629822</c:v>
                </c:pt>
                <c:pt idx="3">
                  <c:v>8.4330879745364058</c:v>
                </c:pt>
                <c:pt idx="4">
                  <c:v>8.4331685069462683</c:v>
                </c:pt>
                <c:pt idx="5">
                  <c:v>8.4332131998401341</c:v>
                </c:pt>
                <c:pt idx="6">
                  <c:v>8.4332405490921545</c:v>
                </c:pt>
                <c:pt idx="7">
                  <c:v>8.433258492749367</c:v>
                </c:pt>
                <c:pt idx="8">
                  <c:v>8.4332708969339709</c:v>
                </c:pt>
                <c:pt idx="9">
                  <c:v>8.4332798276508569</c:v>
                </c:pt>
                <c:pt idx="10">
                  <c:v>8.433286470377487</c:v>
                </c:pt>
                <c:pt idx="11">
                  <c:v>8.4332915448190882</c:v>
                </c:pt>
                <c:pt idx="12">
                  <c:v>8.4332955084461148</c:v>
                </c:pt>
                <c:pt idx="13">
                  <c:v>8.4332986633158207</c:v>
                </c:pt>
                <c:pt idx="14">
                  <c:v>8.4333012153764102</c:v>
                </c:pt>
                <c:pt idx="15">
                  <c:v>8.43330330896997</c:v>
                </c:pt>
                <c:pt idx="16">
                  <c:v>8.4333050476749456</c:v>
                </c:pt>
                <c:pt idx="17">
                  <c:v>8.4333065074004967</c:v>
                </c:pt>
                <c:pt idx="18">
                  <c:v>8.4333077447859015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35-4F49-A5A6-BD0BD3BFE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6622911"/>
        <c:axId val="2116628287"/>
      </c:lineChart>
      <c:catAx>
        <c:axId val="2116622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628287"/>
        <c:crosses val="autoZero"/>
        <c:auto val="1"/>
        <c:lblAlgn val="ctr"/>
        <c:lblOffset val="100"/>
        <c:noMultiLvlLbl val="0"/>
      </c:catAx>
      <c:valAx>
        <c:axId val="2116628287"/>
        <c:scaling>
          <c:orientation val="minMax"/>
          <c:max val="8.6199999999999992"/>
          <c:min val="8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622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 Error Analysis: Even/Odd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Sheet1!$M$4</c:f>
              <c:strCache>
                <c:ptCount val="1"/>
                <c:pt idx="0">
                  <c:v>ErrorCRR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tint val="77000"/>
                </a:schemeClr>
              </a:solidFill>
              <a:ln w="9525">
                <a:solidFill>
                  <a:schemeClr val="accent1">
                    <a:tint val="77000"/>
                  </a:schemeClr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tx1">
                    <a:lumMod val="65000"/>
                    <a:lumOff val="35000"/>
                    <a:alpha val="50000"/>
                  </a:schemeClr>
                </a:solidFill>
                <a:prstDash val="dash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4.3491913767688656E-2"/>
                  <c:y val="-0.123836471193920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Sheet1!$A$5:$A$23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Sheet1!$M$5:$M$23</c:f>
              <c:numCache>
                <c:formatCode>General</c:formatCode>
                <c:ptCount val="19"/>
                <c:pt idx="0">
                  <c:v>0.19561220871554497</c:v>
                </c:pt>
                <c:pt idx="1">
                  <c:v>0.13170969258114873</c:v>
                </c:pt>
                <c:pt idx="2">
                  <c:v>9.8537038975511138E-2</c:v>
                </c:pt>
                <c:pt idx="3">
                  <c:v>7.8803224007961248E-2</c:v>
                </c:pt>
                <c:pt idx="4">
                  <c:v>6.5843176669970305E-2</c:v>
                </c:pt>
                <c:pt idx="5">
                  <c:v>5.6215937305168495E-2</c:v>
                </c:pt>
                <c:pt idx="6">
                  <c:v>4.9437760999051505E-2</c:v>
                </c:pt>
                <c:pt idx="7">
                  <c:v>4.3691568956001348E-2</c:v>
                </c:pt>
                <c:pt idx="8">
                  <c:v>3.9576387744906683E-2</c:v>
                </c:pt>
                <c:pt idx="9">
                  <c:v>3.5730778109666517E-2</c:v>
                </c:pt>
                <c:pt idx="10">
                  <c:v>3.2994726237943084E-2</c:v>
                </c:pt>
                <c:pt idx="11">
                  <c:v>3.0223760848997472E-2</c:v>
                </c:pt>
                <c:pt idx="12">
                  <c:v>2.828995283699598E-2</c:v>
                </c:pt>
                <c:pt idx="13">
                  <c:v>2.6187545110605726E-2</c:v>
                </c:pt>
                <c:pt idx="14">
                  <c:v>2.4759428315391574E-2</c:v>
                </c:pt>
                <c:pt idx="15">
                  <c:v>2.3102331014642985E-2</c:v>
                </c:pt>
                <c:pt idx="16">
                  <c:v>2.2012319986226103E-2</c:v>
                </c:pt>
                <c:pt idx="17">
                  <c:v>2.0667439165638513E-2</c:v>
                </c:pt>
                <c:pt idx="18">
                  <c:v>1.9813915728876808E-2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EE-B34F-92F5-6D2BAA79C365}"/>
            </c:ext>
          </c:extLst>
        </c:ser>
        <c:ser>
          <c:idx val="1"/>
          <c:order val="1"/>
          <c:tx>
            <c:strRef>
              <c:f>Sheet1!$N$4</c:f>
              <c:strCache>
                <c:ptCount val="1"/>
                <c:pt idx="0">
                  <c:v>ErrorLR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shade val="76000"/>
                </a:schemeClr>
              </a:solidFill>
              <a:ln w="9525">
                <a:solidFill>
                  <a:schemeClr val="accent1">
                    <a:shade val="76000"/>
                  </a:schemeClr>
                </a:solidFill>
              </a:ln>
              <a:effectLst/>
            </c:spPr>
          </c:marker>
          <c:xVal>
            <c:numRef>
              <c:f>Sheet1!$A$5:$A$23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Sheet1!$N$5:$N$23</c:f>
              <c:numCache>
                <c:formatCode>General</c:formatCode>
                <c:ptCount val="19"/>
                <c:pt idx="0">
                  <c:v>0.3816134393241839</c:v>
                </c:pt>
                <c:pt idx="1">
                  <c:v>1.6220592939646394E-3</c:v>
                </c:pt>
                <c:pt idx="2">
                  <c:v>0.19349684269249323</c:v>
                </c:pt>
                <c:pt idx="3">
                  <c:v>6.0642830478663257E-4</c:v>
                </c:pt>
                <c:pt idx="4">
                  <c:v>0.12962840112440155</c:v>
                </c:pt>
                <c:pt idx="5">
                  <c:v>3.1463409096943451E-4</c:v>
                </c:pt>
                <c:pt idx="6">
                  <c:v>9.7471918778985867E-2</c:v>
                </c:pt>
                <c:pt idx="7">
                  <c:v>1.9214506275844201E-4</c:v>
                </c:pt>
                <c:pt idx="8">
                  <c:v>7.8104395296083595E-2</c:v>
                </c:pt>
                <c:pt idx="9">
                  <c:v>1.2941093296880979E-4</c:v>
                </c:pt>
                <c:pt idx="10">
                  <c:v>6.5160909030893777E-2</c:v>
                </c:pt>
                <c:pt idx="11">
                  <c:v>9.3048699314479677E-5</c:v>
                </c:pt>
                <c:pt idx="12">
                  <c:v>5.5899438913675326E-2</c:v>
                </c:pt>
                <c:pt idx="13">
                  <c:v>7.0108444562677619E-5</c:v>
                </c:pt>
                <c:pt idx="14">
                  <c:v>4.8944229939140271E-2</c:v>
                </c:pt>
                <c:pt idx="15">
                  <c:v>5.4713599151767767E-5</c:v>
                </c:pt>
                <c:pt idx="16">
                  <c:v>4.3529061475018338E-2</c:v>
                </c:pt>
                <c:pt idx="17">
                  <c:v>4.3884313138065068E-5</c:v>
                </c:pt>
                <c:pt idx="18">
                  <c:v>3.9193322907109973E-2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EE-B34F-92F5-6D2BAA79C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274815"/>
        <c:axId val="2070476351"/>
      </c:scatterChart>
      <c:valAx>
        <c:axId val="2070274815"/>
        <c:scaling>
          <c:logBase val="10"/>
          <c:orientation val="minMax"/>
          <c:max val="110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476351"/>
        <c:crosses val="autoZero"/>
        <c:crossBetween val="midCat"/>
      </c:valAx>
      <c:valAx>
        <c:axId val="2070476351"/>
        <c:scaling>
          <c:logBase val="10"/>
          <c:orientation val="minMax"/>
          <c:max val="0.5"/>
          <c:min val="9.9999999999999995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274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</a:t>
            </a:r>
            <a:r>
              <a:rPr lang="en-US" baseline="0"/>
              <a:t> Error Analysis: Odd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Sheet1!$M$25</c:f>
              <c:strCache>
                <c:ptCount val="1"/>
                <c:pt idx="0">
                  <c:v>ErrorCRR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tint val="77000"/>
                </a:schemeClr>
              </a:solidFill>
              <a:ln w="9525">
                <a:solidFill>
                  <a:schemeClr val="accent1">
                    <a:tint val="77000"/>
                  </a:schemeClr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tx1">
                    <a:lumMod val="65000"/>
                    <a:lumOff val="35000"/>
                    <a:alpha val="50000"/>
                  </a:schemeClr>
                </a:solidFill>
                <a:prstDash val="dash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2.6026414502211326E-2"/>
                  <c:y val="-8.262315299953851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Sheet1!$A$26:$A$44</c:f>
              <c:numCache>
                <c:formatCode>General</c:formatCode>
                <c:ptCount val="19"/>
                <c:pt idx="0">
                  <c:v>11</c:v>
                </c:pt>
                <c:pt idx="1">
                  <c:v>21</c:v>
                </c:pt>
                <c:pt idx="2">
                  <c:v>31</c:v>
                </c:pt>
                <c:pt idx="3">
                  <c:v>41</c:v>
                </c:pt>
                <c:pt idx="4">
                  <c:v>51</c:v>
                </c:pt>
                <c:pt idx="5">
                  <c:v>61</c:v>
                </c:pt>
                <c:pt idx="6">
                  <c:v>71</c:v>
                </c:pt>
                <c:pt idx="7">
                  <c:v>81</c:v>
                </c:pt>
                <c:pt idx="8">
                  <c:v>91</c:v>
                </c:pt>
                <c:pt idx="9">
                  <c:v>101</c:v>
                </c:pt>
                <c:pt idx="10">
                  <c:v>111</c:v>
                </c:pt>
                <c:pt idx="11">
                  <c:v>121</c:v>
                </c:pt>
                <c:pt idx="12">
                  <c:v>131</c:v>
                </c:pt>
                <c:pt idx="13">
                  <c:v>141</c:v>
                </c:pt>
                <c:pt idx="14">
                  <c:v>151</c:v>
                </c:pt>
                <c:pt idx="15">
                  <c:v>161</c:v>
                </c:pt>
                <c:pt idx="16">
                  <c:v>171</c:v>
                </c:pt>
                <c:pt idx="17">
                  <c:v>181</c:v>
                </c:pt>
                <c:pt idx="18">
                  <c:v>191</c:v>
                </c:pt>
              </c:numCache>
            </c:numRef>
          </c:xVal>
          <c:yVal>
            <c:numRef>
              <c:f>Sheet1!$M$26:$M$44</c:f>
              <c:numCache>
                <c:formatCode>General</c:formatCode>
                <c:ptCount val="19"/>
                <c:pt idx="0">
                  <c:v>0.18002853364267857</c:v>
                </c:pt>
                <c:pt idx="1">
                  <c:v>9.3891263279068937E-2</c:v>
                </c:pt>
                <c:pt idx="2">
                  <c:v>6.3496149492312526E-2</c:v>
                </c:pt>
                <c:pt idx="3">
                  <c:v>4.7966200320610497E-2</c:v>
                </c:pt>
                <c:pt idx="4">
                  <c:v>3.8539635885888046E-2</c:v>
                </c:pt>
                <c:pt idx="5">
                  <c:v>3.2209489339079411E-2</c:v>
                </c:pt>
                <c:pt idx="6">
                  <c:v>2.7665372413020251E-2</c:v>
                </c:pt>
                <c:pt idx="7">
                  <c:v>2.4244870600877988E-2</c:v>
                </c:pt>
                <c:pt idx="8">
                  <c:v>2.1577095754024E-2</c:v>
                </c:pt>
                <c:pt idx="9">
                  <c:v>1.9438209954845576E-2</c:v>
                </c:pt>
                <c:pt idx="10">
                  <c:v>1.7685120382589403E-2</c:v>
                </c:pt>
                <c:pt idx="11">
                  <c:v>1.6222082549489869E-2</c:v>
                </c:pt>
                <c:pt idx="12">
                  <c:v>1.4982612753511759E-2</c:v>
                </c:pt>
                <c:pt idx="13">
                  <c:v>1.3919103482509243E-2</c:v>
                </c:pt>
                <c:pt idx="14">
                  <c:v>1.299656825866613E-2</c:v>
                </c:pt>
                <c:pt idx="15">
                  <c:v>1.2188719229152767E-2</c:v>
                </c:pt>
                <c:pt idx="16">
                  <c:v>1.1475421989841195E-2</c:v>
                </c:pt>
                <c:pt idx="17">
                  <c:v>1.0840994631211132E-2</c:v>
                </c:pt>
                <c:pt idx="18">
                  <c:v>1.0273041454750498E-2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F8-894C-B608-D468ADE93C69}"/>
            </c:ext>
          </c:extLst>
        </c:ser>
        <c:ser>
          <c:idx val="1"/>
          <c:order val="1"/>
          <c:tx>
            <c:strRef>
              <c:f>Sheet1!$N$25</c:f>
              <c:strCache>
                <c:ptCount val="1"/>
                <c:pt idx="0">
                  <c:v>ErrorLR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shade val="76000"/>
                </a:schemeClr>
              </a:solidFill>
              <a:ln w="9525">
                <a:solidFill>
                  <a:schemeClr val="accent1">
                    <a:shade val="76000"/>
                  </a:schemeClr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tx1">
                    <a:lumMod val="65000"/>
                    <a:lumOff val="35000"/>
                    <a:alpha val="78000"/>
                  </a:schemeClr>
                </a:solidFill>
                <a:prstDash val="dash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2.3976200731103001E-2"/>
                  <c:y val="-9.142806733825617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Sheet1!$A$26:$A$44</c:f>
              <c:numCache>
                <c:formatCode>General</c:formatCode>
                <c:ptCount val="19"/>
                <c:pt idx="0">
                  <c:v>11</c:v>
                </c:pt>
                <c:pt idx="1">
                  <c:v>21</c:v>
                </c:pt>
                <c:pt idx="2">
                  <c:v>31</c:v>
                </c:pt>
                <c:pt idx="3">
                  <c:v>41</c:v>
                </c:pt>
                <c:pt idx="4">
                  <c:v>51</c:v>
                </c:pt>
                <c:pt idx="5">
                  <c:v>61</c:v>
                </c:pt>
                <c:pt idx="6">
                  <c:v>71</c:v>
                </c:pt>
                <c:pt idx="7">
                  <c:v>81</c:v>
                </c:pt>
                <c:pt idx="8">
                  <c:v>91</c:v>
                </c:pt>
                <c:pt idx="9">
                  <c:v>101</c:v>
                </c:pt>
                <c:pt idx="10">
                  <c:v>111</c:v>
                </c:pt>
                <c:pt idx="11">
                  <c:v>121</c:v>
                </c:pt>
                <c:pt idx="12">
                  <c:v>131</c:v>
                </c:pt>
                <c:pt idx="13">
                  <c:v>141</c:v>
                </c:pt>
                <c:pt idx="14">
                  <c:v>151</c:v>
                </c:pt>
                <c:pt idx="15">
                  <c:v>161</c:v>
                </c:pt>
                <c:pt idx="16">
                  <c:v>171</c:v>
                </c:pt>
                <c:pt idx="17">
                  <c:v>181</c:v>
                </c:pt>
                <c:pt idx="18">
                  <c:v>191</c:v>
                </c:pt>
              </c:numCache>
            </c:numRef>
          </c:xVal>
          <c:yVal>
            <c:numRef>
              <c:f>Sheet1!$N$26:$N$44</c:f>
              <c:numCache>
                <c:formatCode>General</c:formatCode>
                <c:ptCount val="19"/>
                <c:pt idx="0">
                  <c:v>2.9189072040232134E-3</c:v>
                </c:pt>
                <c:pt idx="1">
                  <c:v>8.5006125576292391E-4</c:v>
                </c:pt>
                <c:pt idx="2">
                  <c:v>3.9888947978639067E-4</c:v>
                </c:pt>
                <c:pt idx="3">
                  <c:v>2.3071557320264446E-4</c:v>
                </c:pt>
                <c:pt idx="4">
                  <c:v>1.5018316334014514E-4</c:v>
                </c:pt>
                <c:pt idx="5">
                  <c:v>1.0549026947437312E-4</c:v>
                </c:pt>
                <c:pt idx="6">
                  <c:v>7.8141017453958739E-5</c:v>
                </c:pt>
                <c:pt idx="7">
                  <c:v>6.0197360241431852E-5</c:v>
                </c:pt>
                <c:pt idx="8">
                  <c:v>4.7793175637522722E-5</c:v>
                </c:pt>
                <c:pt idx="9">
                  <c:v>3.8862458751509621E-5</c:v>
                </c:pt>
                <c:pt idx="10">
                  <c:v>3.2219732121419042E-5</c:v>
                </c:pt>
                <c:pt idx="11">
                  <c:v>2.7145290520280696E-5</c:v>
                </c:pt>
                <c:pt idx="12">
                  <c:v>2.3181663493687665E-5</c:v>
                </c:pt>
                <c:pt idx="13">
                  <c:v>2.0026793787764063E-5</c:v>
                </c:pt>
                <c:pt idx="14">
                  <c:v>1.7474733198241665E-5</c:v>
                </c:pt>
                <c:pt idx="15">
                  <c:v>1.5381139638392938E-5</c:v>
                </c:pt>
                <c:pt idx="16">
                  <c:v>1.3642434662841652E-5</c:v>
                </c:pt>
                <c:pt idx="17">
                  <c:v>1.2182709111741019E-5</c:v>
                </c:pt>
                <c:pt idx="18">
                  <c:v>1.0945323706934573E-5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F8-894C-B608-D468ADE93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111167"/>
        <c:axId val="2091224575"/>
      </c:scatterChart>
      <c:valAx>
        <c:axId val="2111111167"/>
        <c:scaling>
          <c:logBase val="10"/>
          <c:orientation val="minMax"/>
          <c:max val="200"/>
          <c:min val="1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224575"/>
        <c:crosses val="autoZero"/>
        <c:crossBetween val="midCat"/>
      </c:valAx>
      <c:valAx>
        <c:axId val="2091224575"/>
        <c:scaling>
          <c:logBase val="10"/>
          <c:orientation val="minMax"/>
          <c:max val="0.5"/>
          <c:min val="9.9999999999999995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1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177800</xdr:colOff>
      <xdr:row>3</xdr:row>
      <xdr:rowOff>12700</xdr:rowOff>
    </xdr:from>
    <xdr:to>
      <xdr:col>11</xdr:col>
      <xdr:colOff>406400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8513B4-CD99-263E-8E49-FA4287E3CA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165100</xdr:colOff>
      <xdr:row>23</xdr:row>
      <xdr:rowOff>196850</xdr:rowOff>
    </xdr:from>
    <xdr:to>
      <xdr:col>11</xdr:col>
      <xdr:colOff>393700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0774C6-9BB6-0839-8A99-6D2C4AF5F7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126292</xdr:colOff>
      <xdr:row>5</xdr:row>
      <xdr:rowOff>81643</xdr:rowOff>
    </xdr:from>
    <xdr:to>
      <xdr:col>21</xdr:col>
      <xdr:colOff>825499</xdr:colOff>
      <xdr:row>22</xdr:row>
      <xdr:rowOff>191508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0F23F6-A2D8-3A01-ED85-3CDB947BBF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126293</xdr:colOff>
      <xdr:row>26</xdr:row>
      <xdr:rowOff>90714</xdr:rowOff>
    </xdr:from>
    <xdr:to>
      <xdr:col>21</xdr:col>
      <xdr:colOff>816428</xdr:colOff>
      <xdr:row>44</xdr:row>
      <xdr:rowOff>14112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325727-0336-5906-41BB-AABFE8928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C89BA6-E1F9-BF4A-9D7A-63024297CF33}" name="Table1" displayName="Table1" ref="A1:F2" totalsRowShown="0" tableBorderDxfId="20" headerRowCellStyle="Normal" dataCellStyle="Explanatory Text">
  <autoFilter ref="A1:F2" xr:uid="{A7C89BA6-E1F9-BF4A-9D7A-63024297CF3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DB2D7E1-03B4-664F-A8D8-98712AE56476}" name="S (SpotPrice)" dataCellStyle="Explanatory Text"/>
    <tableColumn id="2" xr3:uid="{0603E37B-0F70-6C4F-AC25-C2D4E71D868C}" name="K (StrikePrice)" dataCellStyle="Explanatory Text"/>
    <tableColumn id="3" xr3:uid="{D09E7068-2C91-F343-8D36-CDF2CD6D69D2}" name="T (Maturity)" dataCellStyle="Explanatory Text"/>
    <tableColumn id="4" xr3:uid="{A23DCC45-EAB1-1142-B57B-D81D4E35A1C5}" name="r (Risk-free rate)" dataCellStyle="Explanatory Text"/>
    <tableColumn id="5" xr3:uid="{5317D451-4186-B141-B45A-6B7368AC8DE9}" name="vol (Volatility)" dataCellStyle="Explanatory Text"/>
    <tableColumn id="6" xr3:uid="{780D0279-A2C8-EF45-8A06-F377137E1D08}" name="Price (B&amp;S)" dataCellStyle="Explanatory Text">
      <calculatedColumnFormula array="1">BS_Call(Table1[[#This Row],[S (SpotPrice)]],Table1[[#This Row],[K (StrikePrice)]],Table1[[#This Row],[T (Maturity)]],Table1[[#This Row],[r (Risk-free rate)]],Table1[[#This Row],[vol (Volatility)]])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19997E-1AA7-3044-8821-FE6CFA9AC026}" name="Table2" displayName="Table2" ref="A4:D23" totalsRowShown="0" headerRowDxfId="19" dataDxfId="17" headerRowBorderDxfId="18" tableBorderDxfId="16" totalsRowBorderDxfId="15">
  <autoFilter ref="A4:D23" xr:uid="{B819997E-1AA7-3044-8821-FE6CFA9AC026}">
    <filterColumn colId="0" hiddenButton="1"/>
    <filterColumn colId="1" hiddenButton="1"/>
    <filterColumn colId="2" hiddenButton="1"/>
    <filterColumn colId="3" hiddenButton="1"/>
  </autoFilter>
  <tableColumns count="4">
    <tableColumn id="1" xr3:uid="{D0B401A2-37C6-BA4A-A623-B51F44C318D2}" name="n (Steps)" dataDxfId="14"/>
    <tableColumn id="2" xr3:uid="{E3C5D575-2F15-2F48-B980-30A2AAB23760}" name="B&amp;S" dataDxfId="13">
      <calculatedColumnFormula array="1">Table1[Price (B&amp;S)]</calculatedColumnFormula>
    </tableColumn>
    <tableColumn id="3" xr3:uid="{A2095B77-4675-BC4E-BA68-9378D753DCED}" name="CRR" dataDxfId="12">
      <calculatedColumnFormula array="1">Binomial_CRR_Call(Table1[S (SpotPrice)],Table1[K (StrikePrice)],Table1[T (Maturity)],Table1[r (Risk-free rate)],Table1[vol (Volatility)],A5)</calculatedColumnFormula>
    </tableColumn>
    <tableColumn id="4" xr3:uid="{C622F91A-AEE5-974C-85C7-DB65E98B52D5}" name="Leisen-Reimer" dataDxfId="11">
      <calculatedColumnFormula array="1">Binomial_LR_Call(Table1[S (SpotPrice)],Table1[K (StrikePrice)],Table1[T (Maturity)],Table1[r (Risk-free rate)],Table1[vol (Volatility)],A5)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942835-21D0-4946-B307-35CEF53E64CE}" name="Table24" displayName="Table24" ref="A25:D44" totalsRowShown="0" headerRowDxfId="10" dataDxfId="8" headerRowBorderDxfId="9" tableBorderDxfId="7" totalsRowBorderDxfId="6">
  <autoFilter ref="A25:D44" xr:uid="{8F942835-21D0-4946-B307-35CEF53E64CE}">
    <filterColumn colId="0" hiddenButton="1"/>
    <filterColumn colId="1" hiddenButton="1"/>
    <filterColumn colId="2" hiddenButton="1"/>
    <filterColumn colId="3" hiddenButton="1"/>
  </autoFilter>
  <tableColumns count="4">
    <tableColumn id="1" xr3:uid="{9020B463-E5A3-C241-A4BD-6F10C3AE6EFB}" name="n (Steps)" dataDxfId="5"/>
    <tableColumn id="2" xr3:uid="{4041BF94-0E72-4048-B5BB-FB7320ACB4CB}" name="B&amp;S" dataDxfId="4">
      <calculatedColumnFormula array="1">Table1[Price (B&amp;S)]</calculatedColumnFormula>
    </tableColumn>
    <tableColumn id="3" xr3:uid="{20B6410E-67FE-6040-A731-A43F9A40126B}" name="CRR" dataDxfId="3">
      <calculatedColumnFormula array="1">Binomial_CRR_Call(Table1[S (SpotPrice)],Table1[K (StrikePrice)],Table1[T (Maturity)],Table1[r (Risk-free rate)],Table1[vol (Volatility)],A26)</calculatedColumnFormula>
    </tableColumn>
    <tableColumn id="4" xr3:uid="{1B0715D3-4A27-1046-856E-052BA53F8D01}" name="Leisen-Reimer" dataDxfId="2">
      <calculatedColumnFormula array="1">Binomial_LR_Call(Table1[S (SpotPrice)],Table1[K (StrikePrice)],Table1[T (Maturity)],Table1[r (Risk-free rate)],Table1[vol (Volatility)],A26)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E122B5F-4838-284F-AA86-4AD3DA710467}" name="Table4" displayName="Table4" ref="M4:N23" totalsRowShown="0">
  <autoFilter ref="M4:N23" xr:uid="{9E122B5F-4838-284F-AA86-4AD3DA710467}">
    <filterColumn colId="0" hiddenButton="1"/>
    <filterColumn colId="1" hiddenButton="1"/>
  </autoFilter>
  <tableColumns count="2">
    <tableColumn id="1" xr3:uid="{B3058F0D-D3AA-2C48-B64F-0F41BB65E618}" name="ErrorCRR" dataDxfId="1">
      <calculatedColumnFormula>ABS(Table2[[#This Row],[CRR]]-Table2[[#This Row],[B&amp;S]])</calculatedColumnFormula>
    </tableColumn>
    <tableColumn id="2" xr3:uid="{6A341E97-7CB8-704E-9F7C-FE696B78B248}" name="ErrorLR" dataDxfId="0">
      <calculatedColumnFormula>ABS(Table2[[#This Row],[Leisen-Reimer]]-Table2[[#This Row],[B&amp;S]])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E2FDDF-BAA5-1449-AAB2-AC869B829CAE}" name="Table5" displayName="Table5" ref="M25:N44" totalsRowShown="0">
  <autoFilter ref="M25:N44" xr:uid="{22E2FDDF-BAA5-1449-AAB2-AC869B829CAE}">
    <filterColumn colId="0" hiddenButton="1"/>
    <filterColumn colId="1" hiddenButton="1"/>
  </autoFilter>
  <tableColumns count="2">
    <tableColumn id="1" xr3:uid="{49BD7FC5-CDD0-FD43-940A-23AB53DD92DA}" name="ErrorCRR">
      <calculatedColumnFormula>ABS(Table24[[#This Row],[CRR]]-Table24[[#This Row],[B&amp;S]])</calculatedColumnFormula>
    </tableColumn>
    <tableColumn id="2" xr3:uid="{CF7F4719-51D7-884B-9697-EA4BF2793E09}" name="ErrorLR">
      <calculatedColumnFormula>ABS(Table24[[#This Row],[Leisen-Reimer]]-Table24[[#This Row],[B&amp;S]])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2B7B13-43B3-A649-A520-C63077B95840}" name="Table7" displayName="Table7" ref="R4:S5" totalsRowShown="0">
  <autoFilter ref="R4:S5" xr:uid="{422B7B13-43B3-A649-A520-C63077B95840}">
    <filterColumn colId="0" hiddenButton="1"/>
    <filterColumn colId="1" hiddenButton="1"/>
  </autoFilter>
  <tableColumns count="2">
    <tableColumn id="1" xr3:uid="{C156FF14-D2A1-6741-BCD7-7A97F479DB14}" name="RateoCRR">
      <calculatedColumnFormula array="1">SLOPE(LN(Table4[ErrorCRR]), LN(Table2[n (Steps)]))</calculatedColumnFormula>
    </tableColumn>
    <tableColumn id="2" xr3:uid="{1F772224-5B8E-264C-B24D-A8C1714AD163}" name="RateoLR">
      <calculatedColumnFormula array="1">SLOPE(LN(Table4[ErrorLR]), LN(Table2[n (Steps)]))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7F2F53-023F-E042-B632-12173D109F90}" name="Table8" displayName="Table8" ref="R25:S26" totalsRowShown="0">
  <autoFilter ref="R25:S26" xr:uid="{267F2F53-023F-E042-B632-12173D109F90}">
    <filterColumn colId="0" hiddenButton="1"/>
    <filterColumn colId="1" hiddenButton="1"/>
  </autoFilter>
  <tableColumns count="2">
    <tableColumn id="1" xr3:uid="{4C3C035D-6388-384A-8FE5-01B994F9A8AB}" name="RateoCRR">
      <calculatedColumnFormula array="1">SLOPE(LN(Table5[ErrorCRR]), LN(Table24[n (Steps)]))</calculatedColumnFormula>
    </tableColumn>
    <tableColumn id="2" xr3:uid="{AB51B3B9-B894-BF4C-96DE-BFE87E782860}" name="RateoLR">
      <calculatedColumnFormula array="1">SLOPE(LN(Table5[ErrorLR]), LN(Table24[n (Steps)]))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4584C-F44D-1F43-8C9B-5B52072CADF7}">
  <sheetPr codeName="Sheet1"/>
  <dimension ref="A1:S44"/>
  <sheetViews>
    <sheetView tabSelected="1" topLeftCell="J1" zoomScale="150" zoomScaleNormal="150" workbookViewId="0">
      <selection activeCell="O25" sqref="O25"/>
    </sheetView>
  </sheetViews>
  <sheetFormatPr baseColWidth="10" defaultRowHeight="16" x14ac:dyDescent="0.2"/>
  <cols>
    <col min="1" max="1" width="14" bestFit="1" customWidth="1"/>
    <col min="2" max="2" width="16.1640625" customWidth="1"/>
    <col min="3" max="3" width="12.83203125" bestFit="1" customWidth="1"/>
    <col min="4" max="4" width="17" bestFit="1" customWidth="1"/>
    <col min="5" max="5" width="14.5" bestFit="1" customWidth="1"/>
    <col min="6" max="6" width="12.33203125" bestFit="1" customWidth="1"/>
    <col min="8" max="8" width="13" bestFit="1" customWidth="1"/>
    <col min="10" max="10" width="15" bestFit="1" customWidth="1"/>
    <col min="13" max="14" width="13.5" bestFit="1" customWidth="1"/>
    <col min="16" max="16" width="12" customWidth="1"/>
  </cols>
  <sheetData>
    <row r="1" spans="1:19" x14ac:dyDescent="0.2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13</v>
      </c>
    </row>
    <row r="2" spans="1:19" x14ac:dyDescent="0.2">
      <c r="A2" s="12">
        <v>100</v>
      </c>
      <c r="B2" s="12">
        <v>100</v>
      </c>
      <c r="C2" s="12">
        <v>1</v>
      </c>
      <c r="D2" s="13">
        <v>0.01</v>
      </c>
      <c r="E2" s="13">
        <v>0.2</v>
      </c>
      <c r="F2" s="12" cm="1">
        <f t="array" ref="F2">BS_Call(Table1[[#This Row],[S (SpotPrice)]],Table1[[#This Row],[K (StrikePrice)]],Table1[[#This Row],[T (Maturity)]],Table1[[#This Row],[r (Risk-free rate)]],Table1[[#This Row],[vol (Volatility)]])</f>
        <v>8.4333186901096084</v>
      </c>
    </row>
    <row r="3" spans="1:19" x14ac:dyDescent="0.2">
      <c r="B3" s="1"/>
      <c r="C3" s="1"/>
    </row>
    <row r="4" spans="1:19" ht="19" x14ac:dyDescent="0.25">
      <c r="A4" s="9" t="s">
        <v>0</v>
      </c>
      <c r="B4" s="5" t="s">
        <v>12</v>
      </c>
      <c r="C4" s="6" t="s">
        <v>1</v>
      </c>
      <c r="D4" s="7" t="s">
        <v>2</v>
      </c>
      <c r="M4" s="10" t="s">
        <v>3</v>
      </c>
      <c r="N4" s="11" t="s">
        <v>4</v>
      </c>
      <c r="R4" t="s">
        <v>5</v>
      </c>
      <c r="S4" t="s">
        <v>6</v>
      </c>
    </row>
    <row r="5" spans="1:19" x14ac:dyDescent="0.2">
      <c r="A5" s="8">
        <v>10</v>
      </c>
      <c r="B5" s="2" cm="1">
        <f t="array" ref="B5">Table1[Price (B&amp;S)]</f>
        <v>8.4333186901096084</v>
      </c>
      <c r="C5" s="2" cm="1">
        <f t="array" ref="C5">Binomial_CRR_Call(Table1[S (SpotPrice)],Table1[K (StrikePrice)],Table1[T (Maturity)],Table1[r (Risk-free rate)],Table1[vol (Volatility)],A5)</f>
        <v>8.2377064813940635</v>
      </c>
      <c r="D5" s="2" cm="1">
        <f t="array" ref="D5">Binomial_LR_Call(Table1[S (SpotPrice)],Table1[K (StrikePrice)],Table1[T (Maturity)],Table1[r (Risk-free rate)],Table1[vol (Volatility)],A5)</f>
        <v>8.0517052507854245</v>
      </c>
      <c r="M5">
        <f>ABS(Table2[[#This Row],[CRR]]-Table2[[#This Row],[B&amp;S]])</f>
        <v>0.19561220871554497</v>
      </c>
      <c r="N5">
        <f>ABS(Table2[[#This Row],[Leisen-Reimer]]-Table2[[#This Row],[B&amp;S]])</f>
        <v>0.3816134393241839</v>
      </c>
      <c r="R5" cm="1">
        <f t="array" ref="R5">SLOPE(LN(Table4[ErrorCRR]), LN(Table2[n (Steps)]))</f>
        <v>-0.99825588508796814</v>
      </c>
      <c r="S5" s="4" cm="1">
        <f t="array" ref="S5">SLOPE(LN(Table4[ErrorLR]), LN(Table2[n (Steps)]))</f>
        <v>-1.5522148663131232</v>
      </c>
    </row>
    <row r="6" spans="1:19" x14ac:dyDescent="0.2">
      <c r="A6" s="2">
        <v>15</v>
      </c>
      <c r="B6" s="2" cm="1">
        <f t="array" ref="B6">Table1[Price (B&amp;S)]</f>
        <v>8.4333186901096084</v>
      </c>
      <c r="C6" s="2" cm="1">
        <f t="array" ref="C6">Binomial_CRR_Call(Table1[S (SpotPrice)],Table1[K (StrikePrice)],Table1[T (Maturity)],Table1[r (Risk-free rate)],Table1[vol (Volatility)],A6)</f>
        <v>8.5650283826907572</v>
      </c>
      <c r="D6" s="2" cm="1">
        <f t="array" ref="D6">Binomial_LR_Call(Table1[S (SpotPrice)],Table1[K (StrikePrice)],Table1[T (Maturity)],Table1[r (Risk-free rate)],Table1[vol (Volatility)],A6)</f>
        <v>8.4316966308156438</v>
      </c>
      <c r="M6">
        <f>ABS(Table2[[#This Row],[CRR]]-Table2[[#This Row],[B&amp;S]])</f>
        <v>0.13170969258114873</v>
      </c>
      <c r="N6">
        <f>ABS(Table2[[#This Row],[Leisen-Reimer]]-Table2[[#This Row],[B&amp;S]])</f>
        <v>1.6220592939646394E-3</v>
      </c>
    </row>
    <row r="7" spans="1:19" x14ac:dyDescent="0.2">
      <c r="A7" s="2">
        <v>20</v>
      </c>
      <c r="B7" s="2" cm="1">
        <f t="array" ref="B7">Table1[Price (B&amp;S)]</f>
        <v>8.4333186901096084</v>
      </c>
      <c r="C7" s="2" cm="1">
        <f t="array" ref="C7">Binomial_CRR_Call(Table1[S (SpotPrice)],Table1[K (StrikePrice)],Table1[T (Maturity)],Table1[r (Risk-free rate)],Table1[vol (Volatility)],A7)</f>
        <v>8.3347816511340973</v>
      </c>
      <c r="D7" s="2" cm="1">
        <f t="array" ref="D7">Binomial_LR_Call(Table1[S (SpotPrice)],Table1[K (StrikePrice)],Table1[T (Maturity)],Table1[r (Risk-free rate)],Table1[vol (Volatility)],A7)</f>
        <v>8.2398218474171152</v>
      </c>
      <c r="M7">
        <f>ABS(Table2[[#This Row],[CRR]]-Table2[[#This Row],[B&amp;S]])</f>
        <v>9.8537038975511138E-2</v>
      </c>
      <c r="N7">
        <f>ABS(Table2[[#This Row],[Leisen-Reimer]]-Table2[[#This Row],[B&amp;S]])</f>
        <v>0.19349684269249323</v>
      </c>
    </row>
    <row r="8" spans="1:19" x14ac:dyDescent="0.2">
      <c r="A8" s="2">
        <v>25</v>
      </c>
      <c r="B8" s="2" cm="1">
        <f t="array" ref="B8">Table1[Price (B&amp;S)]</f>
        <v>8.4333186901096084</v>
      </c>
      <c r="C8" s="2" cm="1">
        <f t="array" ref="C8">Binomial_CRR_Call(Table1[S (SpotPrice)],Table1[K (StrikePrice)],Table1[T (Maturity)],Table1[r (Risk-free rate)],Table1[vol (Volatility)],A8)</f>
        <v>8.5121219141175697</v>
      </c>
      <c r="D8" s="2" cm="1">
        <f t="array" ref="D8">Binomial_LR_Call(Table1[S (SpotPrice)],Table1[K (StrikePrice)],Table1[T (Maturity)],Table1[r (Risk-free rate)],Table1[vol (Volatility)],A8)</f>
        <v>8.4327122618048218</v>
      </c>
      <c r="M8">
        <f>ABS(Table2[[#This Row],[CRR]]-Table2[[#This Row],[B&amp;S]])</f>
        <v>7.8803224007961248E-2</v>
      </c>
      <c r="N8">
        <f>ABS(Table2[[#This Row],[Leisen-Reimer]]-Table2[[#This Row],[B&amp;S]])</f>
        <v>6.0642830478663257E-4</v>
      </c>
    </row>
    <row r="9" spans="1:19" x14ac:dyDescent="0.2">
      <c r="A9" s="2">
        <v>30</v>
      </c>
      <c r="B9" s="2" cm="1">
        <f t="array" ref="B9">Table1[Price (B&amp;S)]</f>
        <v>8.4333186901096084</v>
      </c>
      <c r="C9" s="2" cm="1">
        <f t="array" ref="C9">Binomial_CRR_Call(Table1[S (SpotPrice)],Table1[K (StrikePrice)],Table1[T (Maturity)],Table1[r (Risk-free rate)],Table1[vol (Volatility)],A9)</f>
        <v>8.3674755134396381</v>
      </c>
      <c r="D9" s="2" cm="1">
        <f t="array" ref="D9">Binomial_LR_Call(Table1[S (SpotPrice)],Table1[K (StrikePrice)],Table1[T (Maturity)],Table1[r (Risk-free rate)],Table1[vol (Volatility)],A9)</f>
        <v>8.3036902889852069</v>
      </c>
      <c r="M9">
        <f>ABS(Table2[[#This Row],[CRR]]-Table2[[#This Row],[B&amp;S]])</f>
        <v>6.5843176669970305E-2</v>
      </c>
      <c r="N9">
        <f>ABS(Table2[[#This Row],[Leisen-Reimer]]-Table2[[#This Row],[B&amp;S]])</f>
        <v>0.12962840112440155</v>
      </c>
    </row>
    <row r="10" spans="1:19" x14ac:dyDescent="0.2">
      <c r="A10" s="2">
        <v>35</v>
      </c>
      <c r="B10" s="2" cm="1">
        <f t="array" ref="B10">Table1[Price (B&amp;S)]</f>
        <v>8.4333186901096084</v>
      </c>
      <c r="C10" s="2" cm="1">
        <f t="array" ref="C10">Binomial_CRR_Call(Table1[S (SpotPrice)],Table1[K (StrikePrice)],Table1[T (Maturity)],Table1[r (Risk-free rate)],Table1[vol (Volatility)],A10)</f>
        <v>8.4895346274147769</v>
      </c>
      <c r="D10" s="2" cm="1">
        <f t="array" ref="D10">Binomial_LR_Call(Table1[S (SpotPrice)],Table1[K (StrikePrice)],Table1[T (Maturity)],Table1[r (Risk-free rate)],Table1[vol (Volatility)],A10)</f>
        <v>8.433004056018639</v>
      </c>
      <c r="M10">
        <f>ABS(Table2[[#This Row],[CRR]]-Table2[[#This Row],[B&amp;S]])</f>
        <v>5.6215937305168495E-2</v>
      </c>
      <c r="N10">
        <f>ABS(Table2[[#This Row],[Leisen-Reimer]]-Table2[[#This Row],[B&amp;S]])</f>
        <v>3.1463409096943451E-4</v>
      </c>
    </row>
    <row r="11" spans="1:19" x14ac:dyDescent="0.2">
      <c r="A11" s="2">
        <v>40</v>
      </c>
      <c r="B11" s="2" cm="1">
        <f t="array" ref="B11">Table1[Price (B&amp;S)]</f>
        <v>8.4333186901096084</v>
      </c>
      <c r="C11" s="2" cm="1">
        <f t="array" ref="C11">Binomial_CRR_Call(Table1[S (SpotPrice)],Table1[K (StrikePrice)],Table1[T (Maturity)],Table1[r (Risk-free rate)],Table1[vol (Volatility)],A11)</f>
        <v>8.3838809291105569</v>
      </c>
      <c r="D11" s="2" cm="1">
        <f t="array" ref="D11">Binomial_LR_Call(Table1[S (SpotPrice)],Table1[K (StrikePrice)],Table1[T (Maturity)],Table1[r (Risk-free rate)],Table1[vol (Volatility)],A11)</f>
        <v>8.3358467713306226</v>
      </c>
      <c r="M11">
        <f>ABS(Table2[[#This Row],[CRR]]-Table2[[#This Row],[B&amp;S]])</f>
        <v>4.9437760999051505E-2</v>
      </c>
      <c r="N11">
        <f>ABS(Table2[[#This Row],[Leisen-Reimer]]-Table2[[#This Row],[B&amp;S]])</f>
        <v>9.7471918778985867E-2</v>
      </c>
    </row>
    <row r="12" spans="1:19" x14ac:dyDescent="0.2">
      <c r="A12" s="2">
        <v>45</v>
      </c>
      <c r="B12" s="2" cm="1">
        <f t="array" ref="B12">Table1[Price (B&amp;S)]</f>
        <v>8.4333186901096084</v>
      </c>
      <c r="C12" s="2" cm="1">
        <f t="array" ref="C12">Binomial_CRR_Call(Table1[S (SpotPrice)],Table1[K (StrikePrice)],Table1[T (Maturity)],Table1[r (Risk-free rate)],Table1[vol (Volatility)],A12)</f>
        <v>8.4770102590656098</v>
      </c>
      <c r="D12" s="2" cm="1">
        <f t="array" ref="D12">Binomial_LR_Call(Table1[S (SpotPrice)],Table1[K (StrikePrice)],Table1[T (Maturity)],Table1[r (Risk-free rate)],Table1[vol (Volatility)],A12)</f>
        <v>8.43312654504685</v>
      </c>
      <c r="M12">
        <f>ABS(Table2[[#This Row],[CRR]]-Table2[[#This Row],[B&amp;S]])</f>
        <v>4.3691568956001348E-2</v>
      </c>
      <c r="N12">
        <f>ABS(Table2[[#This Row],[Leisen-Reimer]]-Table2[[#This Row],[B&amp;S]])</f>
        <v>1.9214506275844201E-4</v>
      </c>
    </row>
    <row r="13" spans="1:19" x14ac:dyDescent="0.2">
      <c r="A13" s="2">
        <v>50</v>
      </c>
      <c r="B13" s="2" cm="1">
        <f t="array" ref="B13">Table1[Price (B&amp;S)]</f>
        <v>8.4333186901096084</v>
      </c>
      <c r="C13" s="2" cm="1">
        <f t="array" ref="C13">Binomial_CRR_Call(Table1[S (SpotPrice)],Table1[K (StrikePrice)],Table1[T (Maturity)],Table1[r (Risk-free rate)],Table1[vol (Volatility)],A13)</f>
        <v>8.3937423023647018</v>
      </c>
      <c r="D13" s="2" cm="1">
        <f t="array" ref="D13">Binomial_LR_Call(Table1[S (SpotPrice)],Table1[K (StrikePrice)],Table1[T (Maturity)],Table1[r (Risk-free rate)],Table1[vol (Volatility)],A13)</f>
        <v>8.3552142948135248</v>
      </c>
      <c r="M13">
        <f>ABS(Table2[[#This Row],[CRR]]-Table2[[#This Row],[B&amp;S]])</f>
        <v>3.9576387744906683E-2</v>
      </c>
      <c r="N13">
        <f>ABS(Table2[[#This Row],[Leisen-Reimer]]-Table2[[#This Row],[B&amp;S]])</f>
        <v>7.8104395296083595E-2</v>
      </c>
    </row>
    <row r="14" spans="1:19" x14ac:dyDescent="0.2">
      <c r="A14" s="2">
        <v>55</v>
      </c>
      <c r="B14" s="2" cm="1">
        <f t="array" ref="B14">Table1[Price (B&amp;S)]</f>
        <v>8.4333186901096084</v>
      </c>
      <c r="C14" s="2" cm="1">
        <f t="array" ref="C14">Binomial_CRR_Call(Table1[S (SpotPrice)],Table1[K (StrikePrice)],Table1[T (Maturity)],Table1[r (Risk-free rate)],Table1[vol (Volatility)],A14)</f>
        <v>8.469049468219275</v>
      </c>
      <c r="D14" s="2" cm="1">
        <f t="array" ref="D14">Binomial_LR_Call(Table1[S (SpotPrice)],Table1[K (StrikePrice)],Table1[T (Maturity)],Table1[r (Risk-free rate)],Table1[vol (Volatility)],A14)</f>
        <v>8.4331892791766396</v>
      </c>
      <c r="M14">
        <f>ABS(Table2[[#This Row],[CRR]]-Table2[[#This Row],[B&amp;S]])</f>
        <v>3.5730778109666517E-2</v>
      </c>
      <c r="N14">
        <f>ABS(Table2[[#This Row],[Leisen-Reimer]]-Table2[[#This Row],[B&amp;S]])</f>
        <v>1.2941093296880979E-4</v>
      </c>
    </row>
    <row r="15" spans="1:19" x14ac:dyDescent="0.2">
      <c r="A15" s="2">
        <v>60</v>
      </c>
      <c r="B15" s="2" cm="1">
        <f t="array" ref="B15">Table1[Price (B&amp;S)]</f>
        <v>8.4333186901096084</v>
      </c>
      <c r="C15" s="2" cm="1">
        <f t="array" ref="C15">Binomial_CRR_Call(Table1[S (SpotPrice)],Table1[K (StrikePrice)],Table1[T (Maturity)],Table1[r (Risk-free rate)],Table1[vol (Volatility)],A15)</f>
        <v>8.4003239638716654</v>
      </c>
      <c r="D15" s="2" cm="1">
        <f t="array" ref="D15">Binomial_LR_Call(Table1[S (SpotPrice)],Table1[K (StrikePrice)],Table1[T (Maturity)],Table1[r (Risk-free rate)],Table1[vol (Volatility)],A15)</f>
        <v>8.3681577810787147</v>
      </c>
      <c r="M15">
        <f>ABS(Table2[[#This Row],[CRR]]-Table2[[#This Row],[B&amp;S]])</f>
        <v>3.2994726237943084E-2</v>
      </c>
      <c r="N15">
        <f>ABS(Table2[[#This Row],[Leisen-Reimer]]-Table2[[#This Row],[B&amp;S]])</f>
        <v>6.5160909030893777E-2</v>
      </c>
    </row>
    <row r="16" spans="1:19" x14ac:dyDescent="0.2">
      <c r="A16" s="2">
        <v>65</v>
      </c>
      <c r="B16" s="2" cm="1">
        <f t="array" ref="B16">Table1[Price (B&amp;S)]</f>
        <v>8.4333186901096084</v>
      </c>
      <c r="C16" s="2" cm="1">
        <f t="array" ref="C16">Binomial_CRR_Call(Table1[S (SpotPrice)],Table1[K (StrikePrice)],Table1[T (Maturity)],Table1[r (Risk-free rate)],Table1[vol (Volatility)],A16)</f>
        <v>8.4635424509586059</v>
      </c>
      <c r="D16" s="2" cm="1">
        <f t="array" ref="D16">Binomial_LR_Call(Table1[S (SpotPrice)],Table1[K (StrikePrice)],Table1[T (Maturity)],Table1[r (Risk-free rate)],Table1[vol (Volatility)],A16)</f>
        <v>8.433225641410294</v>
      </c>
      <c r="M16">
        <f>ABS(Table2[[#This Row],[CRR]]-Table2[[#This Row],[B&amp;S]])</f>
        <v>3.0223760848997472E-2</v>
      </c>
      <c r="N16">
        <f>ABS(Table2[[#This Row],[Leisen-Reimer]]-Table2[[#This Row],[B&amp;S]])</f>
        <v>9.3048699314479677E-5</v>
      </c>
    </row>
    <row r="17" spans="1:19" x14ac:dyDescent="0.2">
      <c r="A17" s="2">
        <v>70</v>
      </c>
      <c r="B17" s="2" cm="1">
        <f t="array" ref="B17">Table1[Price (B&amp;S)]</f>
        <v>8.4333186901096084</v>
      </c>
      <c r="C17" s="2" cm="1">
        <f t="array" ref="C17">Binomial_CRR_Call(Table1[S (SpotPrice)],Table1[K (StrikePrice)],Table1[T (Maturity)],Table1[r (Risk-free rate)],Table1[vol (Volatility)],A17)</f>
        <v>8.4050287372726125</v>
      </c>
      <c r="D17" s="2" cm="1">
        <f t="array" ref="D17">Binomial_LR_Call(Table1[S (SpotPrice)],Table1[K (StrikePrice)],Table1[T (Maturity)],Table1[r (Risk-free rate)],Table1[vol (Volatility)],A17)</f>
        <v>8.3774192511959331</v>
      </c>
      <c r="M17">
        <f>ABS(Table2[[#This Row],[CRR]]-Table2[[#This Row],[B&amp;S]])</f>
        <v>2.828995283699598E-2</v>
      </c>
      <c r="N17">
        <f>ABS(Table2[[#This Row],[Leisen-Reimer]]-Table2[[#This Row],[B&amp;S]])</f>
        <v>5.5899438913675326E-2</v>
      </c>
    </row>
    <row r="18" spans="1:19" x14ac:dyDescent="0.2">
      <c r="A18" s="2">
        <v>75</v>
      </c>
      <c r="B18" s="2" cm="1">
        <f t="array" ref="B18">Table1[Price (B&amp;S)]</f>
        <v>8.4333186901096084</v>
      </c>
      <c r="C18" s="2" cm="1">
        <f t="array" ref="C18">Binomial_CRR_Call(Table1[S (SpotPrice)],Table1[K (StrikePrice)],Table1[T (Maturity)],Table1[r (Risk-free rate)],Table1[vol (Volatility)],A18)</f>
        <v>8.4595062352202142</v>
      </c>
      <c r="D18" s="2" cm="1">
        <f t="array" ref="D18">Binomial_LR_Call(Table1[S (SpotPrice)],Table1[K (StrikePrice)],Table1[T (Maturity)],Table1[r (Risk-free rate)],Table1[vol (Volatility)],A18)</f>
        <v>8.4332485816650458</v>
      </c>
      <c r="M18">
        <f>ABS(Table2[[#This Row],[CRR]]-Table2[[#This Row],[B&amp;S]])</f>
        <v>2.6187545110605726E-2</v>
      </c>
      <c r="N18">
        <f>ABS(Table2[[#This Row],[Leisen-Reimer]]-Table2[[#This Row],[B&amp;S]])</f>
        <v>7.0108444562677619E-5</v>
      </c>
    </row>
    <row r="19" spans="1:19" x14ac:dyDescent="0.2">
      <c r="A19" s="2">
        <v>80</v>
      </c>
      <c r="B19" s="2" cm="1">
        <f t="array" ref="B19">Table1[Price (B&amp;S)]</f>
        <v>8.4333186901096084</v>
      </c>
      <c r="C19" s="2" cm="1">
        <f t="array" ref="C19">Binomial_CRR_Call(Table1[S (SpotPrice)],Table1[K (StrikePrice)],Table1[T (Maturity)],Table1[r (Risk-free rate)],Table1[vol (Volatility)],A19)</f>
        <v>8.4085592617942169</v>
      </c>
      <c r="D19" s="2" cm="1">
        <f t="array" ref="D19">Binomial_LR_Call(Table1[S (SpotPrice)],Table1[K (StrikePrice)],Table1[T (Maturity)],Table1[r (Risk-free rate)],Table1[vol (Volatility)],A19)</f>
        <v>8.3843744601704682</v>
      </c>
      <c r="M19">
        <f>ABS(Table2[[#This Row],[CRR]]-Table2[[#This Row],[B&amp;S]])</f>
        <v>2.4759428315391574E-2</v>
      </c>
      <c r="N19">
        <f>ABS(Table2[[#This Row],[Leisen-Reimer]]-Table2[[#This Row],[B&amp;S]])</f>
        <v>4.8944229939140271E-2</v>
      </c>
    </row>
    <row r="20" spans="1:19" x14ac:dyDescent="0.2">
      <c r="A20" s="2">
        <v>85</v>
      </c>
      <c r="B20" s="2" cm="1">
        <f t="array" ref="B20">Table1[Price (B&amp;S)]</f>
        <v>8.4333186901096084</v>
      </c>
      <c r="C20" s="2" cm="1">
        <f t="array" ref="C20">Binomial_CRR_Call(Table1[S (SpotPrice)],Table1[K (StrikePrice)],Table1[T (Maturity)],Table1[r (Risk-free rate)],Table1[vol (Volatility)],A20)</f>
        <v>8.4564210211242514</v>
      </c>
      <c r="D20" s="2" cm="1">
        <f t="array" ref="D20">Binomial_LR_Call(Table1[S (SpotPrice)],Table1[K (StrikePrice)],Table1[T (Maturity)],Table1[r (Risk-free rate)],Table1[vol (Volatility)],A20)</f>
        <v>8.4332639765104567</v>
      </c>
      <c r="M20">
        <f>ABS(Table2[[#This Row],[CRR]]-Table2[[#This Row],[B&amp;S]])</f>
        <v>2.3102331014642985E-2</v>
      </c>
      <c r="N20">
        <f>ABS(Table2[[#This Row],[Leisen-Reimer]]-Table2[[#This Row],[B&amp;S]])</f>
        <v>5.4713599151767767E-5</v>
      </c>
    </row>
    <row r="21" spans="1:19" x14ac:dyDescent="0.2">
      <c r="A21" s="2">
        <v>90</v>
      </c>
      <c r="B21" s="2" cm="1">
        <f t="array" ref="B21">Table1[Price (B&amp;S)]</f>
        <v>8.4333186901096084</v>
      </c>
      <c r="C21" s="2" cm="1">
        <f t="array" ref="C21">Binomial_CRR_Call(Table1[S (SpotPrice)],Table1[K (StrikePrice)],Table1[T (Maturity)],Table1[r (Risk-free rate)],Table1[vol (Volatility)],A21)</f>
        <v>8.4113063701233823</v>
      </c>
      <c r="D21" s="2" cm="1">
        <f t="array" ref="D21">Binomial_LR_Call(Table1[S (SpotPrice)],Table1[K (StrikePrice)],Table1[T (Maturity)],Table1[r (Risk-free rate)],Table1[vol (Volatility)],A21)</f>
        <v>8.3897896286345901</v>
      </c>
      <c r="M21">
        <f>ABS(Table2[[#This Row],[CRR]]-Table2[[#This Row],[B&amp;S]])</f>
        <v>2.2012319986226103E-2</v>
      </c>
      <c r="N21">
        <f>ABS(Table2[[#This Row],[Leisen-Reimer]]-Table2[[#This Row],[B&amp;S]])</f>
        <v>4.3529061475018338E-2</v>
      </c>
    </row>
    <row r="22" spans="1:19" x14ac:dyDescent="0.2">
      <c r="A22" s="2">
        <v>95</v>
      </c>
      <c r="B22" s="2" cm="1">
        <f t="array" ref="B22">Table1[Price (B&amp;S)]</f>
        <v>8.4333186901096084</v>
      </c>
      <c r="C22" s="2" cm="1">
        <f t="array" ref="C22">Binomial_CRR_Call(Table1[S (SpotPrice)],Table1[K (StrikePrice)],Table1[T (Maturity)],Table1[r (Risk-free rate)],Table1[vol (Volatility)],A22)</f>
        <v>8.453986129275247</v>
      </c>
      <c r="D22" s="2" cm="1">
        <f t="array" ref="D22">Binomial_LR_Call(Table1[S (SpotPrice)],Table1[K (StrikePrice)],Table1[T (Maturity)],Table1[r (Risk-free rate)],Table1[vol (Volatility)],A22)</f>
        <v>8.4332748057964704</v>
      </c>
      <c r="M22">
        <f>ABS(Table2[[#This Row],[CRR]]-Table2[[#This Row],[B&amp;S]])</f>
        <v>2.0667439165638513E-2</v>
      </c>
      <c r="N22">
        <f>ABS(Table2[[#This Row],[Leisen-Reimer]]-Table2[[#This Row],[B&amp;S]])</f>
        <v>4.3884313138065068E-5</v>
      </c>
    </row>
    <row r="23" spans="1:19" x14ac:dyDescent="0.2">
      <c r="A23" s="2">
        <v>100</v>
      </c>
      <c r="B23" s="2" cm="1">
        <f t="array" ref="B23">Table1[Price (B&amp;S)]</f>
        <v>8.4333186901096084</v>
      </c>
      <c r="C23" s="2" cm="1">
        <f t="array" ref="C23">Binomial_CRR_Call(Table1[S (SpotPrice)],Table1[K (StrikePrice)],Table1[T (Maturity)],Table1[r (Risk-free rate)],Table1[vol (Volatility)],A23)</f>
        <v>8.4135047743807316</v>
      </c>
      <c r="D23" s="2" cm="1">
        <f t="array" ref="D23">Binomial_LR_Call(Table1[S (SpotPrice)],Table1[K (StrikePrice)],Table1[T (Maturity)],Table1[r (Risk-free rate)],Table1[vol (Volatility)],A23)</f>
        <v>8.3941253672024985</v>
      </c>
      <c r="M23">
        <f>ABS(Table2[[#This Row],[CRR]]-Table2[[#This Row],[B&amp;S]])</f>
        <v>1.9813915728876808E-2</v>
      </c>
      <c r="N23">
        <f>ABS(Table2[[#This Row],[Leisen-Reimer]]-Table2[[#This Row],[B&amp;S]])</f>
        <v>3.9193322907109973E-2</v>
      </c>
    </row>
    <row r="25" spans="1:19" ht="19" x14ac:dyDescent="0.25">
      <c r="A25" s="9" t="s">
        <v>0</v>
      </c>
      <c r="B25" s="5" t="s">
        <v>12</v>
      </c>
      <c r="C25" s="6" t="s">
        <v>1</v>
      </c>
      <c r="D25" s="7" t="s">
        <v>2</v>
      </c>
      <c r="M25" s="10" t="s">
        <v>3</v>
      </c>
      <c r="N25" s="11" t="s">
        <v>4</v>
      </c>
      <c r="R25" t="s">
        <v>5</v>
      </c>
      <c r="S25" t="s">
        <v>6</v>
      </c>
    </row>
    <row r="26" spans="1:19" x14ac:dyDescent="0.2">
      <c r="A26" s="8">
        <v>11</v>
      </c>
      <c r="B26" s="2" cm="1">
        <f t="array" ref="B26">Table1[Price (B&amp;S)]</f>
        <v>8.4333186901096084</v>
      </c>
      <c r="C26" s="2" cm="1">
        <f t="array" ref="C26">Binomial_CRR_Call(Table1[S (SpotPrice)],Table1[K (StrikePrice)],Table1[T (Maturity)],Table1[r (Risk-free rate)],Table1[vol (Volatility)],A26)</f>
        <v>8.613347223752287</v>
      </c>
      <c r="D26" s="2" cm="1">
        <f t="array" ref="D26">Binomial_LR_Call(Table1[S (SpotPrice)],Table1[K (StrikePrice)],Table1[T (Maturity)],Table1[r (Risk-free rate)],Table1[vol (Volatility)],A26)</f>
        <v>8.4303997829055852</v>
      </c>
      <c r="M26">
        <f>ABS(Table24[[#This Row],[CRR]]-Table24[[#This Row],[B&amp;S]])</f>
        <v>0.18002853364267857</v>
      </c>
      <c r="N26">
        <f>ABS(Table24[[#This Row],[Leisen-Reimer]]-Table24[[#This Row],[B&amp;S]])</f>
        <v>2.9189072040232134E-3</v>
      </c>
      <c r="R26" cm="1">
        <f t="array" ref="R26">SLOPE(LN(Table5[ErrorCRR]), LN(Table24[n (Steps)]))</f>
        <v>-1.0026639059718201</v>
      </c>
      <c r="S26" cm="1">
        <f t="array" ref="S26">SLOPE(LN(Table5[ErrorLR]), LN(Table24[n (Steps)]))</f>
        <v>-1.9649209273938195</v>
      </c>
    </row>
    <row r="27" spans="1:19" x14ac:dyDescent="0.2">
      <c r="A27" s="2">
        <v>21</v>
      </c>
      <c r="B27" s="2" cm="1">
        <f t="array" ref="B27">Table1[Price (B&amp;S)]</f>
        <v>8.4333186901096084</v>
      </c>
      <c r="C27" s="2" cm="1">
        <f t="array" ref="C27">Binomial_CRR_Call(Table1[S (SpotPrice)],Table1[K (StrikePrice)],Table1[T (Maturity)],Table1[r (Risk-free rate)],Table1[vol (Volatility)],A27)</f>
        <v>8.5272099533886774</v>
      </c>
      <c r="D27" s="2" cm="1">
        <f t="array" ref="D27">Binomial_LR_Call(Table1[S (SpotPrice)],Table1[K (StrikePrice)],Table1[T (Maturity)],Table1[r (Risk-free rate)],Table1[vol (Volatility)],A27)</f>
        <v>8.4324686288538455</v>
      </c>
      <c r="M27">
        <f>ABS(Table24[[#This Row],[CRR]]-Table24[[#This Row],[B&amp;S]])</f>
        <v>9.3891263279068937E-2</v>
      </c>
      <c r="N27">
        <f>ABS(Table24[[#This Row],[Leisen-Reimer]]-Table24[[#This Row],[B&amp;S]])</f>
        <v>8.5006125576292391E-4</v>
      </c>
    </row>
    <row r="28" spans="1:19" x14ac:dyDescent="0.2">
      <c r="A28" s="2">
        <v>31</v>
      </c>
      <c r="B28" s="2" cm="1">
        <f t="array" ref="B28">Table1[Price (B&amp;S)]</f>
        <v>8.4333186901096084</v>
      </c>
      <c r="C28" s="2" cm="1">
        <f t="array" ref="C28">Binomial_CRR_Call(Table1[S (SpotPrice)],Table1[K (StrikePrice)],Table1[T (Maturity)],Table1[r (Risk-free rate)],Table1[vol (Volatility)],A28)</f>
        <v>8.496814839601921</v>
      </c>
      <c r="D28" s="2" cm="1">
        <f t="array" ref="D28">Binomial_LR_Call(Table1[S (SpotPrice)],Table1[K (StrikePrice)],Table1[T (Maturity)],Table1[r (Risk-free rate)],Table1[vol (Volatility)],A28)</f>
        <v>8.432919800629822</v>
      </c>
      <c r="M28">
        <f>ABS(Table24[[#This Row],[CRR]]-Table24[[#This Row],[B&amp;S]])</f>
        <v>6.3496149492312526E-2</v>
      </c>
      <c r="N28">
        <f>ABS(Table24[[#This Row],[Leisen-Reimer]]-Table24[[#This Row],[B&amp;S]])</f>
        <v>3.9888947978639067E-4</v>
      </c>
    </row>
    <row r="29" spans="1:19" x14ac:dyDescent="0.2">
      <c r="A29" s="2">
        <v>41</v>
      </c>
      <c r="B29" s="2" cm="1">
        <f t="array" ref="B29">Table1[Price (B&amp;S)]</f>
        <v>8.4333186901096084</v>
      </c>
      <c r="C29" s="2" cm="1">
        <f t="array" ref="C29">Binomial_CRR_Call(Table1[S (SpotPrice)],Table1[K (StrikePrice)],Table1[T (Maturity)],Table1[r (Risk-free rate)],Table1[vol (Volatility)],A29)</f>
        <v>8.4812848904302189</v>
      </c>
      <c r="D29" s="2" cm="1">
        <f t="array" ref="D29">Binomial_LR_Call(Table1[S (SpotPrice)],Table1[K (StrikePrice)],Table1[T (Maturity)],Table1[r (Risk-free rate)],Table1[vol (Volatility)],A29)</f>
        <v>8.4330879745364058</v>
      </c>
      <c r="M29">
        <f>ABS(Table24[[#This Row],[CRR]]-Table24[[#This Row],[B&amp;S]])</f>
        <v>4.7966200320610497E-2</v>
      </c>
      <c r="N29">
        <f>ABS(Table24[[#This Row],[Leisen-Reimer]]-Table24[[#This Row],[B&amp;S]])</f>
        <v>2.3071557320264446E-4</v>
      </c>
    </row>
    <row r="30" spans="1:19" x14ac:dyDescent="0.2">
      <c r="A30" s="2">
        <v>51</v>
      </c>
      <c r="B30" s="2" cm="1">
        <f t="array" ref="B30">Table1[Price (B&amp;S)]</f>
        <v>8.4333186901096084</v>
      </c>
      <c r="C30" s="2" cm="1">
        <f t="array" ref="C30">Binomial_CRR_Call(Table1[S (SpotPrice)],Table1[K (StrikePrice)],Table1[T (Maturity)],Table1[r (Risk-free rate)],Table1[vol (Volatility)],A30)</f>
        <v>8.4718583259954965</v>
      </c>
      <c r="D30" s="2" cm="1">
        <f t="array" ref="D30">Binomial_LR_Call(Table1[S (SpotPrice)],Table1[K (StrikePrice)],Table1[T (Maturity)],Table1[r (Risk-free rate)],Table1[vol (Volatility)],A30)</f>
        <v>8.4331685069462683</v>
      </c>
      <c r="M30">
        <f>ABS(Table24[[#This Row],[CRR]]-Table24[[#This Row],[B&amp;S]])</f>
        <v>3.8539635885888046E-2</v>
      </c>
      <c r="N30">
        <f>ABS(Table24[[#This Row],[Leisen-Reimer]]-Table24[[#This Row],[B&amp;S]])</f>
        <v>1.5018316334014514E-4</v>
      </c>
    </row>
    <row r="31" spans="1:19" x14ac:dyDescent="0.2">
      <c r="A31" s="2">
        <v>61</v>
      </c>
      <c r="B31" s="2" cm="1">
        <f t="array" ref="B31">Table1[Price (B&amp;S)]</f>
        <v>8.4333186901096084</v>
      </c>
      <c r="C31" s="2" cm="1">
        <f t="array" ref="C31">Binomial_CRR_Call(Table1[S (SpotPrice)],Table1[K (StrikePrice)],Table1[T (Maturity)],Table1[r (Risk-free rate)],Table1[vol (Volatility)],A31)</f>
        <v>8.4655281794486879</v>
      </c>
      <c r="D31" s="2" cm="1">
        <f t="array" ref="D31">Binomial_LR_Call(Table1[S (SpotPrice)],Table1[K (StrikePrice)],Table1[T (Maturity)],Table1[r (Risk-free rate)],Table1[vol (Volatility)],A31)</f>
        <v>8.4332131998401341</v>
      </c>
      <c r="M31">
        <f>ABS(Table24[[#This Row],[CRR]]-Table24[[#This Row],[B&amp;S]])</f>
        <v>3.2209489339079411E-2</v>
      </c>
      <c r="N31">
        <f>ABS(Table24[[#This Row],[Leisen-Reimer]]-Table24[[#This Row],[B&amp;S]])</f>
        <v>1.0549026947437312E-4</v>
      </c>
    </row>
    <row r="32" spans="1:19" x14ac:dyDescent="0.2">
      <c r="A32" s="2">
        <v>71</v>
      </c>
      <c r="B32" s="2" cm="1">
        <f t="array" ref="B32">Table1[Price (B&amp;S)]</f>
        <v>8.4333186901096084</v>
      </c>
      <c r="C32" s="2" cm="1">
        <f t="array" ref="C32">Binomial_CRR_Call(Table1[S (SpotPrice)],Table1[K (StrikePrice)],Table1[T (Maturity)],Table1[r (Risk-free rate)],Table1[vol (Volatility)],A32)</f>
        <v>8.4609840625226287</v>
      </c>
      <c r="D32" s="2" cm="1">
        <f t="array" ref="D32">Binomial_LR_Call(Table1[S (SpotPrice)],Table1[K (StrikePrice)],Table1[T (Maturity)],Table1[r (Risk-free rate)],Table1[vol (Volatility)],A32)</f>
        <v>8.4332405490921545</v>
      </c>
      <c r="M32">
        <f>ABS(Table24[[#This Row],[CRR]]-Table24[[#This Row],[B&amp;S]])</f>
        <v>2.7665372413020251E-2</v>
      </c>
      <c r="N32">
        <f>ABS(Table24[[#This Row],[Leisen-Reimer]]-Table24[[#This Row],[B&amp;S]])</f>
        <v>7.8141017453958739E-5</v>
      </c>
    </row>
    <row r="33" spans="1:14" x14ac:dyDescent="0.2">
      <c r="A33" s="2">
        <v>81</v>
      </c>
      <c r="B33" s="2" cm="1">
        <f t="array" ref="B33">Table1[Price (B&amp;S)]</f>
        <v>8.4333186901096084</v>
      </c>
      <c r="C33" s="2" cm="1">
        <f t="array" ref="C33">Binomial_CRR_Call(Table1[S (SpotPrice)],Table1[K (StrikePrice)],Table1[T (Maturity)],Table1[r (Risk-free rate)],Table1[vol (Volatility)],A33)</f>
        <v>8.4575635607104864</v>
      </c>
      <c r="D33" s="2" cm="1">
        <f t="array" ref="D33">Binomial_LR_Call(Table1[S (SpotPrice)],Table1[K (StrikePrice)],Table1[T (Maturity)],Table1[r (Risk-free rate)],Table1[vol (Volatility)],A33)</f>
        <v>8.433258492749367</v>
      </c>
      <c r="M33">
        <f>ABS(Table24[[#This Row],[CRR]]-Table24[[#This Row],[B&amp;S]])</f>
        <v>2.4244870600877988E-2</v>
      </c>
      <c r="N33">
        <f>ABS(Table24[[#This Row],[Leisen-Reimer]]-Table24[[#This Row],[B&amp;S]])</f>
        <v>6.0197360241431852E-5</v>
      </c>
    </row>
    <row r="34" spans="1:14" x14ac:dyDescent="0.2">
      <c r="A34" s="2">
        <v>91</v>
      </c>
      <c r="B34" s="2" cm="1">
        <f t="array" ref="B34">Table1[Price (B&amp;S)]</f>
        <v>8.4333186901096084</v>
      </c>
      <c r="C34" s="2" cm="1">
        <f t="array" ref="C34">Binomial_CRR_Call(Table1[S (SpotPrice)],Table1[K (StrikePrice)],Table1[T (Maturity)],Table1[r (Risk-free rate)],Table1[vol (Volatility)],A34)</f>
        <v>8.4548957858636324</v>
      </c>
      <c r="D34" s="2" cm="1">
        <f t="array" ref="D34">Binomial_LR_Call(Table1[S (SpotPrice)],Table1[K (StrikePrice)],Table1[T (Maturity)],Table1[r (Risk-free rate)],Table1[vol (Volatility)],A34)</f>
        <v>8.4332708969339709</v>
      </c>
      <c r="M34">
        <f>ABS(Table24[[#This Row],[CRR]]-Table24[[#This Row],[B&amp;S]])</f>
        <v>2.1577095754024E-2</v>
      </c>
      <c r="N34">
        <f>ABS(Table24[[#This Row],[Leisen-Reimer]]-Table24[[#This Row],[B&amp;S]])</f>
        <v>4.7793175637522722E-5</v>
      </c>
    </row>
    <row r="35" spans="1:14" x14ac:dyDescent="0.2">
      <c r="A35" s="2">
        <v>101</v>
      </c>
      <c r="B35" s="2" cm="1">
        <f t="array" ref="B35">Table1[Price (B&amp;S)]</f>
        <v>8.4333186901096084</v>
      </c>
      <c r="C35" s="2" cm="1">
        <f t="array" ref="C35">Binomial_CRR_Call(Table1[S (SpotPrice)],Table1[K (StrikePrice)],Table1[T (Maturity)],Table1[r (Risk-free rate)],Table1[vol (Volatility)],A35)</f>
        <v>8.452756900064454</v>
      </c>
      <c r="D35" s="2" cm="1">
        <f t="array" ref="D35">Binomial_LR_Call(Table1[S (SpotPrice)],Table1[K (StrikePrice)],Table1[T (Maturity)],Table1[r (Risk-free rate)],Table1[vol (Volatility)],A35)</f>
        <v>8.4332798276508569</v>
      </c>
      <c r="M35">
        <f>ABS(Table24[[#This Row],[CRR]]-Table24[[#This Row],[B&amp;S]])</f>
        <v>1.9438209954845576E-2</v>
      </c>
      <c r="N35">
        <f>ABS(Table24[[#This Row],[Leisen-Reimer]]-Table24[[#This Row],[B&amp;S]])</f>
        <v>3.8862458751509621E-5</v>
      </c>
    </row>
    <row r="36" spans="1:14" x14ac:dyDescent="0.2">
      <c r="A36" s="2">
        <v>111</v>
      </c>
      <c r="B36" s="2" cm="1">
        <f t="array" ref="B36">Table1[Price (B&amp;S)]</f>
        <v>8.4333186901096084</v>
      </c>
      <c r="C36" s="2" cm="1">
        <f t="array" ref="C36">Binomial_CRR_Call(Table1[S (SpotPrice)],Table1[K (StrikePrice)],Table1[T (Maturity)],Table1[r (Risk-free rate)],Table1[vol (Volatility)],A36)</f>
        <v>8.4510038104921978</v>
      </c>
      <c r="D36" s="2" cm="1">
        <f t="array" ref="D36">Binomial_LR_Call(Table1[S (SpotPrice)],Table1[K (StrikePrice)],Table1[T (Maturity)],Table1[r (Risk-free rate)],Table1[vol (Volatility)],A36)</f>
        <v>8.433286470377487</v>
      </c>
      <c r="M36">
        <f>ABS(Table24[[#This Row],[CRR]]-Table24[[#This Row],[B&amp;S]])</f>
        <v>1.7685120382589403E-2</v>
      </c>
      <c r="N36">
        <f>ABS(Table24[[#This Row],[Leisen-Reimer]]-Table24[[#This Row],[B&amp;S]])</f>
        <v>3.2219732121419042E-5</v>
      </c>
    </row>
    <row r="37" spans="1:14" x14ac:dyDescent="0.2">
      <c r="A37" s="2">
        <v>121</v>
      </c>
      <c r="B37" s="2" cm="1">
        <f t="array" ref="B37">Table1[Price (B&amp;S)]</f>
        <v>8.4333186901096084</v>
      </c>
      <c r="C37" s="2" cm="1">
        <f t="array" ref="C37">Binomial_CRR_Call(Table1[S (SpotPrice)],Table1[K (StrikePrice)],Table1[T (Maturity)],Table1[r (Risk-free rate)],Table1[vol (Volatility)],A37)</f>
        <v>8.4495407726590983</v>
      </c>
      <c r="D37" s="2" cm="1">
        <f t="array" ref="D37">Binomial_LR_Call(Table1[S (SpotPrice)],Table1[K (StrikePrice)],Table1[T (Maturity)],Table1[r (Risk-free rate)],Table1[vol (Volatility)],A37)</f>
        <v>8.4332915448190882</v>
      </c>
      <c r="M37">
        <f>ABS(Table24[[#This Row],[CRR]]-Table24[[#This Row],[B&amp;S]])</f>
        <v>1.6222082549489869E-2</v>
      </c>
      <c r="N37">
        <f>ABS(Table24[[#This Row],[Leisen-Reimer]]-Table24[[#This Row],[B&amp;S]])</f>
        <v>2.7145290520280696E-5</v>
      </c>
    </row>
    <row r="38" spans="1:14" x14ac:dyDescent="0.2">
      <c r="A38" s="2">
        <v>131</v>
      </c>
      <c r="B38" s="2" cm="1">
        <f t="array" ref="B38">Table1[Price (B&amp;S)]</f>
        <v>8.4333186901096084</v>
      </c>
      <c r="C38" s="2" cm="1">
        <f t="array" ref="C38">Binomial_CRR_Call(Table1[S (SpotPrice)],Table1[K (StrikePrice)],Table1[T (Maturity)],Table1[r (Risk-free rate)],Table1[vol (Volatility)],A38)</f>
        <v>8.4483013028631202</v>
      </c>
      <c r="D38" s="2" cm="1">
        <f t="array" ref="D38">Binomial_LR_Call(Table1[S (SpotPrice)],Table1[K (StrikePrice)],Table1[T (Maturity)],Table1[r (Risk-free rate)],Table1[vol (Volatility)],A38)</f>
        <v>8.4332955084461148</v>
      </c>
      <c r="M38">
        <f>ABS(Table24[[#This Row],[CRR]]-Table24[[#This Row],[B&amp;S]])</f>
        <v>1.4982612753511759E-2</v>
      </c>
      <c r="N38">
        <f>ABS(Table24[[#This Row],[Leisen-Reimer]]-Table24[[#This Row],[B&amp;S]])</f>
        <v>2.3181663493687665E-5</v>
      </c>
    </row>
    <row r="39" spans="1:14" x14ac:dyDescent="0.2">
      <c r="A39" s="2">
        <v>141</v>
      </c>
      <c r="B39" s="2" cm="1">
        <f t="array" ref="B39">Table1[Price (B&amp;S)]</f>
        <v>8.4333186901096084</v>
      </c>
      <c r="C39" s="2" cm="1">
        <f t="array" ref="C39">Binomial_CRR_Call(Table1[S (SpotPrice)],Table1[K (StrikePrice)],Table1[T (Maturity)],Table1[r (Risk-free rate)],Table1[vol (Volatility)],A39)</f>
        <v>8.4472377935921177</v>
      </c>
      <c r="D39" s="2" cm="1">
        <f t="array" ref="D39">Binomial_LR_Call(Table1[S (SpotPrice)],Table1[K (StrikePrice)],Table1[T (Maturity)],Table1[r (Risk-free rate)],Table1[vol (Volatility)],A39)</f>
        <v>8.4332986633158207</v>
      </c>
      <c r="M39">
        <f>ABS(Table24[[#This Row],[CRR]]-Table24[[#This Row],[B&amp;S]])</f>
        <v>1.3919103482509243E-2</v>
      </c>
      <c r="N39">
        <f>ABS(Table24[[#This Row],[Leisen-Reimer]]-Table24[[#This Row],[B&amp;S]])</f>
        <v>2.0026793787764063E-5</v>
      </c>
    </row>
    <row r="40" spans="1:14" x14ac:dyDescent="0.2">
      <c r="A40" s="2">
        <v>151</v>
      </c>
      <c r="B40" s="2" cm="1">
        <f t="array" ref="B40">Table1[Price (B&amp;S)]</f>
        <v>8.4333186901096084</v>
      </c>
      <c r="C40" s="2" cm="1">
        <f t="array" ref="C40">Binomial_CRR_Call(Table1[S (SpotPrice)],Table1[K (StrikePrice)],Table1[T (Maturity)],Table1[r (Risk-free rate)],Table1[vol (Volatility)],A40)</f>
        <v>8.4463152583682746</v>
      </c>
      <c r="D40" s="2" cm="1">
        <f t="array" ref="D40">Binomial_LR_Call(Table1[S (SpotPrice)],Table1[K (StrikePrice)],Table1[T (Maturity)],Table1[r (Risk-free rate)],Table1[vol (Volatility)],A40)</f>
        <v>8.4333012153764102</v>
      </c>
      <c r="M40">
        <f>ABS(Table24[[#This Row],[CRR]]-Table24[[#This Row],[B&amp;S]])</f>
        <v>1.299656825866613E-2</v>
      </c>
      <c r="N40">
        <f>ABS(Table24[[#This Row],[Leisen-Reimer]]-Table24[[#This Row],[B&amp;S]])</f>
        <v>1.7474733198241665E-5</v>
      </c>
    </row>
    <row r="41" spans="1:14" x14ac:dyDescent="0.2">
      <c r="A41" s="2">
        <v>161</v>
      </c>
      <c r="B41" s="2" cm="1">
        <f t="array" ref="B41">Table1[Price (B&amp;S)]</f>
        <v>8.4333186901096084</v>
      </c>
      <c r="C41" s="2" cm="1">
        <f t="array" ref="C41">Binomial_CRR_Call(Table1[S (SpotPrice)],Table1[K (StrikePrice)],Table1[T (Maturity)],Table1[r (Risk-free rate)],Table1[vol (Volatility)],A41)</f>
        <v>8.4455074093387612</v>
      </c>
      <c r="D41" s="2" cm="1">
        <f t="array" ref="D41">Binomial_LR_Call(Table1[S (SpotPrice)],Table1[K (StrikePrice)],Table1[T (Maturity)],Table1[r (Risk-free rate)],Table1[vol (Volatility)],A41)</f>
        <v>8.43330330896997</v>
      </c>
      <c r="M41">
        <f>ABS(Table24[[#This Row],[CRR]]-Table24[[#This Row],[B&amp;S]])</f>
        <v>1.2188719229152767E-2</v>
      </c>
      <c r="N41">
        <f>ABS(Table24[[#This Row],[Leisen-Reimer]]-Table24[[#This Row],[B&amp;S]])</f>
        <v>1.5381139638392938E-5</v>
      </c>
    </row>
    <row r="42" spans="1:14" x14ac:dyDescent="0.2">
      <c r="A42" s="2">
        <v>171</v>
      </c>
      <c r="B42" s="2" cm="1">
        <f t="array" ref="B42">Table1[Price (B&amp;S)]</f>
        <v>8.4333186901096084</v>
      </c>
      <c r="C42" s="2" cm="1">
        <f t="array" ref="C42">Binomial_CRR_Call(Table1[S (SpotPrice)],Table1[K (StrikePrice)],Table1[T (Maturity)],Table1[r (Risk-free rate)],Table1[vol (Volatility)],A42)</f>
        <v>8.4447941120994496</v>
      </c>
      <c r="D42" s="2" cm="1">
        <f t="array" ref="D42">Binomial_LR_Call(Table1[S (SpotPrice)],Table1[K (StrikePrice)],Table1[T (Maturity)],Table1[r (Risk-free rate)],Table1[vol (Volatility)],A42)</f>
        <v>8.4333050476749456</v>
      </c>
      <c r="M42">
        <f>ABS(Table24[[#This Row],[CRR]]-Table24[[#This Row],[B&amp;S]])</f>
        <v>1.1475421989841195E-2</v>
      </c>
      <c r="N42">
        <f>ABS(Table24[[#This Row],[Leisen-Reimer]]-Table24[[#This Row],[B&amp;S]])</f>
        <v>1.3642434662841652E-5</v>
      </c>
    </row>
    <row r="43" spans="1:14" x14ac:dyDescent="0.2">
      <c r="A43" s="2">
        <v>181</v>
      </c>
      <c r="B43" s="2" cm="1">
        <f t="array" ref="B43">Table1[Price (B&amp;S)]</f>
        <v>8.4333186901096084</v>
      </c>
      <c r="C43" s="2" cm="1">
        <f t="array" ref="C43">Binomial_CRR_Call(Table1[S (SpotPrice)],Table1[K (StrikePrice)],Table1[T (Maturity)],Table1[r (Risk-free rate)],Table1[vol (Volatility)],A43)</f>
        <v>8.4441596847408196</v>
      </c>
      <c r="D43" s="2" cm="1">
        <f t="array" ref="D43">Binomial_LR_Call(Table1[S (SpotPrice)],Table1[K (StrikePrice)],Table1[T (Maturity)],Table1[r (Risk-free rate)],Table1[vol (Volatility)],A43)</f>
        <v>8.4333065074004967</v>
      </c>
      <c r="M43">
        <f>ABS(Table24[[#This Row],[CRR]]-Table24[[#This Row],[B&amp;S]])</f>
        <v>1.0840994631211132E-2</v>
      </c>
      <c r="N43">
        <f>ABS(Table24[[#This Row],[Leisen-Reimer]]-Table24[[#This Row],[B&amp;S]])</f>
        <v>1.2182709111741019E-5</v>
      </c>
    </row>
    <row r="44" spans="1:14" x14ac:dyDescent="0.2">
      <c r="A44" s="3">
        <v>191</v>
      </c>
      <c r="B44" s="2" cm="1">
        <f t="array" ref="B44">Table1[Price (B&amp;S)]</f>
        <v>8.4333186901096084</v>
      </c>
      <c r="C44" s="2" cm="1">
        <f t="array" ref="C44">Binomial_CRR_Call(Table1[S (SpotPrice)],Table1[K (StrikePrice)],Table1[T (Maturity)],Table1[r (Risk-free rate)],Table1[vol (Volatility)],A44)</f>
        <v>8.4435917315643589</v>
      </c>
      <c r="D44" s="2" cm="1">
        <f t="array" ref="D44">Binomial_LR_Call(Table1[S (SpotPrice)],Table1[K (StrikePrice)],Table1[T (Maturity)],Table1[r (Risk-free rate)],Table1[vol (Volatility)],A44)</f>
        <v>8.4333077447859015</v>
      </c>
      <c r="M44">
        <f>ABS(Table24[[#This Row],[CRR]]-Table24[[#This Row],[B&amp;S]])</f>
        <v>1.0273041454750498E-2</v>
      </c>
      <c r="N44">
        <f>ABS(Table24[[#This Row],[Leisen-Reimer]]-Table24[[#This Row],[B&amp;S]])</f>
        <v>1.0945323706934573E-5</v>
      </c>
    </row>
  </sheetData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Quartucci Davide</dc:creator>
  <cp:lastModifiedBy>Quartucci Davide</cp:lastModifiedBy>
  <dcterms:created xsi:type="dcterms:W3CDTF">2026-03-28T15:55:03Z</dcterms:created>
  <dcterms:modified xsi:type="dcterms:W3CDTF">2026-03-29T13:30:33Z</dcterms:modified>
</cp:coreProperties>
</file>